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RW\"/>
    </mc:Choice>
  </mc:AlternateContent>
  <xr:revisionPtr revIDLastSave="0" documentId="8_{9EB683AD-96A2-4596-8A01-47A78E12F3A4}" xr6:coauthVersionLast="47" xr6:coauthVersionMax="47" xr10:uidLastSave="{00000000-0000-0000-0000-000000000000}"/>
  <bookViews>
    <workbookView xWindow="-110" yWindow="-110" windowWidth="19420" windowHeight="10300" activeTab="3" xr2:uid="{00000000-000D-0000-FFFF-FFFF00000000}"/>
  </bookViews>
  <sheets>
    <sheet name="DashBoard" sheetId="6" r:id="rId1"/>
    <sheet name="Data" sheetId="2" r:id="rId2"/>
    <sheet name="Analysis" sheetId="3" r:id="rId3"/>
    <sheet name="Raw Data" sheetId="1" r:id="rId4"/>
    <sheet name="Calculation" sheetId="4" state="hidden" r:id="rId5"/>
  </sheets>
  <externalReferences>
    <externalReference r:id="rId6"/>
  </externalReferences>
  <definedNames>
    <definedName name="_xlchart.v5.0" hidden="1">Analysis!$D$32</definedName>
    <definedName name="_xlchart.v5.1" hidden="1">Analysis!$D$33:$D$43</definedName>
    <definedName name="_xlchart.v5.2" hidden="1">Analysis!$E$32</definedName>
    <definedName name="_xlchart.v5.3" hidden="1">Analysis!$E$33:$E$43</definedName>
    <definedName name="_xlchart.v5.4" hidden="1">Analysis!$D$32</definedName>
    <definedName name="_xlchart.v5.5" hidden="1">Analysis!$D$33:$D$43</definedName>
    <definedName name="_xlchart.v5.6" hidden="1">Analysis!$E$32</definedName>
    <definedName name="_xlchart.v5.7" hidden="1">Analysis!$E$33:$E$43</definedName>
    <definedName name="Customer_behavior">Table1[]</definedName>
    <definedName name="DynamicData">OFFSET([1]ecommerce_customer_behavior_dat!$A$1,0,0,COUNTA([1]ecommerce_customer_behavior_dat!$A:$A),18)</definedName>
    <definedName name="Slicer_City">#N/A</definedName>
    <definedName name="Slicer_Gender">#N/A</definedName>
    <definedName name="Slicer_Product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Lst>
</workbook>
</file>

<file path=xl/calcChain.xml><?xml version="1.0" encoding="utf-8"?>
<calcChain xmlns="http://schemas.openxmlformats.org/spreadsheetml/2006/main">
  <c r="G67" i="6" l="1"/>
  <c r="G61" i="6"/>
  <c r="G65" i="6"/>
  <c r="G63" i="6"/>
  <c r="A2" i="4"/>
  <c r="A1" i="4"/>
  <c r="A4" i="4"/>
  <c r="A3" i="4"/>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2" i="2"/>
</calcChain>
</file>

<file path=xl/sharedStrings.xml><?xml version="1.0" encoding="utf-8"?>
<sst xmlns="http://schemas.openxmlformats.org/spreadsheetml/2006/main" count="8018" uniqueCount="1203">
  <si>
    <t>Order_ID</t>
  </si>
  <si>
    <t>Customer_ID</t>
  </si>
  <si>
    <t>Date</t>
  </si>
  <si>
    <t>Age</t>
  </si>
  <si>
    <t>Gender</t>
  </si>
  <si>
    <t>City</t>
  </si>
  <si>
    <t>Product_Category</t>
  </si>
  <si>
    <t>Unit_Price</t>
  </si>
  <si>
    <t>Quantity</t>
  </si>
  <si>
    <t>Discount_Amount</t>
  </si>
  <si>
    <t>Total_Amount</t>
  </si>
  <si>
    <t>Payment_Method</t>
  </si>
  <si>
    <t>Device_Type</t>
  </si>
  <si>
    <t>Session_Duration_Minutes</t>
  </si>
  <si>
    <t>Pages_Viewed</t>
  </si>
  <si>
    <t>Is_Returning_Customer</t>
  </si>
  <si>
    <t>Delivery_Time_Days</t>
  </si>
  <si>
    <t>Customer_Rating</t>
  </si>
  <si>
    <t>ORD_001337</t>
  </si>
  <si>
    <t>CUST_01337</t>
  </si>
  <si>
    <t>Female</t>
  </si>
  <si>
    <t>Bursa</t>
  </si>
  <si>
    <t>Toys</t>
  </si>
  <si>
    <t>Debit Card</t>
  </si>
  <si>
    <t>Mobile</t>
  </si>
  <si>
    <t>ORD_004885</t>
  </si>
  <si>
    <t>CUST_04885</t>
  </si>
  <si>
    <t>Male</t>
  </si>
  <si>
    <t>Konya</t>
  </si>
  <si>
    <t>Credit Card</t>
  </si>
  <si>
    <t>ORD_004507</t>
  </si>
  <si>
    <t>CUST_04507</t>
  </si>
  <si>
    <t>Ankara</t>
  </si>
  <si>
    <t>Food</t>
  </si>
  <si>
    <t>ORD_000645</t>
  </si>
  <si>
    <t>CUST_00645</t>
  </si>
  <si>
    <t>Istanbul</t>
  </si>
  <si>
    <t>Electronics</t>
  </si>
  <si>
    <t>ORD_000690</t>
  </si>
  <si>
    <t>CUST_00690</t>
  </si>
  <si>
    <t>Sports</t>
  </si>
  <si>
    <t>Cash on Delivery</t>
  </si>
  <si>
    <t>Desktop</t>
  </si>
  <si>
    <t>ORD_000223</t>
  </si>
  <si>
    <t>CUST_00223</t>
  </si>
  <si>
    <t>Beauty</t>
  </si>
  <si>
    <t>ORD_002506</t>
  </si>
  <si>
    <t>CUST_02506</t>
  </si>
  <si>
    <t>Izmir</t>
  </si>
  <si>
    <t>Digital Wallet</t>
  </si>
  <si>
    <t>ORD_004540</t>
  </si>
  <si>
    <t>CUST_04540</t>
  </si>
  <si>
    <t>ORD_001808</t>
  </si>
  <si>
    <t>CUST_01808</t>
  </si>
  <si>
    <t>Fashion</t>
  </si>
  <si>
    <t>Tablet</t>
  </si>
  <si>
    <t>ORD_003413</t>
  </si>
  <si>
    <t>CUST_03413</t>
  </si>
  <si>
    <t>ORD_004457</t>
  </si>
  <si>
    <t>CUST_04457</t>
  </si>
  <si>
    <t>ORD_004797</t>
  </si>
  <si>
    <t>CUST_04797</t>
  </si>
  <si>
    <t>ORD_001211</t>
  </si>
  <si>
    <t>CUST_01211</t>
  </si>
  <si>
    <t>ORD_000514</t>
  </si>
  <si>
    <t>CUST_00514</t>
  </si>
  <si>
    <t>Eskisehir</t>
  </si>
  <si>
    <t>Home &amp; Garden</t>
  </si>
  <si>
    <t>ORD_003462</t>
  </si>
  <si>
    <t>CUST_03462</t>
  </si>
  <si>
    <t>Books</t>
  </si>
  <si>
    <t>ORD_001418</t>
  </si>
  <si>
    <t>CUST_01418</t>
  </si>
  <si>
    <t>ORD_000198</t>
  </si>
  <si>
    <t>CUST_00198</t>
  </si>
  <si>
    <t>ORD_000374</t>
  </si>
  <si>
    <t>CUST_00374</t>
  </si>
  <si>
    <t>ORD_003204</t>
  </si>
  <si>
    <t>CUST_03204</t>
  </si>
  <si>
    <t>ORD_004204</t>
  </si>
  <si>
    <t>CUST_04204</t>
  </si>
  <si>
    <t>ORD_000751</t>
  </si>
  <si>
    <t>CUST_00751</t>
  </si>
  <si>
    <t>Antalya</t>
  </si>
  <si>
    <t>ORD_002466</t>
  </si>
  <si>
    <t>CUST_02466</t>
  </si>
  <si>
    <t>ORD_003920</t>
  </si>
  <si>
    <t>CUST_03920</t>
  </si>
  <si>
    <t>Kayseri</t>
  </si>
  <si>
    <t>ORD_000038</t>
  </si>
  <si>
    <t>CUST_00038</t>
  </si>
  <si>
    <t>ORD_003721</t>
  </si>
  <si>
    <t>CUST_03721</t>
  </si>
  <si>
    <t>ORD_002069</t>
  </si>
  <si>
    <t>CUST_02069</t>
  </si>
  <si>
    <t>ORD_002080</t>
  </si>
  <si>
    <t>CUST_02080</t>
  </si>
  <si>
    <t>ORD_000285</t>
  </si>
  <si>
    <t>CUST_00285</t>
  </si>
  <si>
    <t>Bank Transfer</t>
  </si>
  <si>
    <t>ORD_000846</t>
  </si>
  <si>
    <t>CUST_00846</t>
  </si>
  <si>
    <t>ORD_003744</t>
  </si>
  <si>
    <t>CUST_03744</t>
  </si>
  <si>
    <t>ORD_003991</t>
  </si>
  <si>
    <t>CUST_03991</t>
  </si>
  <si>
    <t>ORD_003301</t>
  </si>
  <si>
    <t>CUST_03301</t>
  </si>
  <si>
    <t>ORD_004873</t>
  </si>
  <si>
    <t>CUST_04873</t>
  </si>
  <si>
    <t>ORD_002003</t>
  </si>
  <si>
    <t>CUST_02003</t>
  </si>
  <si>
    <t>ORD_003730</t>
  </si>
  <si>
    <t>CUST_03730</t>
  </si>
  <si>
    <t>ORD_001602</t>
  </si>
  <si>
    <t>CUST_01602</t>
  </si>
  <si>
    <t>ORD_000477</t>
  </si>
  <si>
    <t>CUST_00477</t>
  </si>
  <si>
    <t>ORD_002957</t>
  </si>
  <si>
    <t>CUST_02957</t>
  </si>
  <si>
    <t>ORD_001565</t>
  </si>
  <si>
    <t>CUST_01565</t>
  </si>
  <si>
    <t>ORD_000527</t>
  </si>
  <si>
    <t>CUST_00527</t>
  </si>
  <si>
    <t>Gaziantep</t>
  </si>
  <si>
    <t>ORD_004551</t>
  </si>
  <si>
    <t>CUST_04551</t>
  </si>
  <si>
    <t>ORD_004850</t>
  </si>
  <si>
    <t>CUST_04850</t>
  </si>
  <si>
    <t>Other</t>
  </si>
  <si>
    <t>ORD_000450</t>
  </si>
  <si>
    <t>CUST_00450</t>
  </si>
  <si>
    <t>ORD_003803</t>
  </si>
  <si>
    <t>CUST_03803</t>
  </si>
  <si>
    <t>ORD_004585</t>
  </si>
  <si>
    <t>CUST_04585</t>
  </si>
  <si>
    <t>ORD_003246</t>
  </si>
  <si>
    <t>CUST_03246</t>
  </si>
  <si>
    <t>ORD_004291</t>
  </si>
  <si>
    <t>CUST_04291</t>
  </si>
  <si>
    <t>ORD_004550</t>
  </si>
  <si>
    <t>CUST_04550</t>
  </si>
  <si>
    <t>ORD_004883</t>
  </si>
  <si>
    <t>CUST_04883</t>
  </si>
  <si>
    <t>ORD_000182</t>
  </si>
  <si>
    <t>CUST_00182</t>
  </si>
  <si>
    <t>ORD_004113</t>
  </si>
  <si>
    <t>CUST_04113</t>
  </si>
  <si>
    <t>ORD_004744</t>
  </si>
  <si>
    <t>CUST_04744</t>
  </si>
  <si>
    <t>ORD_001054</t>
  </si>
  <si>
    <t>CUST_01054</t>
  </si>
  <si>
    <t>ORD_003313</t>
  </si>
  <si>
    <t>CUST_03313</t>
  </si>
  <si>
    <t>ORD_003948</t>
  </si>
  <si>
    <t>CUST_03948</t>
  </si>
  <si>
    <t>ORD_000991</t>
  </si>
  <si>
    <t>CUST_00991</t>
  </si>
  <si>
    <t>ORD_004801</t>
  </si>
  <si>
    <t>CUST_04801</t>
  </si>
  <si>
    <t>ORD_001144</t>
  </si>
  <si>
    <t>CUST_01144</t>
  </si>
  <si>
    <t>ORD_004740</t>
  </si>
  <si>
    <t>CUST_04740</t>
  </si>
  <si>
    <t>ORD_004656</t>
  </si>
  <si>
    <t>CUST_04656</t>
  </si>
  <si>
    <t>ORD_003748</t>
  </si>
  <si>
    <t>CUST_03748</t>
  </si>
  <si>
    <t>ORD_003622</t>
  </si>
  <si>
    <t>CUST_03622</t>
  </si>
  <si>
    <t>ORD_001373</t>
  </si>
  <si>
    <t>CUST_01373</t>
  </si>
  <si>
    <t>ORD_004676</t>
  </si>
  <si>
    <t>CUST_04676</t>
  </si>
  <si>
    <t>ORD_001127</t>
  </si>
  <si>
    <t>CUST_01127</t>
  </si>
  <si>
    <t>ORD_003274</t>
  </si>
  <si>
    <t>CUST_03274</t>
  </si>
  <si>
    <t>Adana</t>
  </si>
  <si>
    <t>ORD_001822</t>
  </si>
  <si>
    <t>CUST_01822</t>
  </si>
  <si>
    <t>ORD_000359</t>
  </si>
  <si>
    <t>CUST_00359</t>
  </si>
  <si>
    <t>ORD_001477</t>
  </si>
  <si>
    <t>CUST_01477</t>
  </si>
  <si>
    <t>ORD_001690</t>
  </si>
  <si>
    <t>CUST_01690</t>
  </si>
  <si>
    <t>ORD_003755</t>
  </si>
  <si>
    <t>CUST_03755</t>
  </si>
  <si>
    <t>ORD_003743</t>
  </si>
  <si>
    <t>CUST_03743</t>
  </si>
  <si>
    <t>ORD_004501</t>
  </si>
  <si>
    <t>CUST_04501</t>
  </si>
  <si>
    <t>ORD_002535</t>
  </si>
  <si>
    <t>CUST_02535</t>
  </si>
  <si>
    <t>ORD_003836</t>
  </si>
  <si>
    <t>CUST_03836</t>
  </si>
  <si>
    <t>ORD_003039</t>
  </si>
  <si>
    <t>CUST_03039</t>
  </si>
  <si>
    <t>ORD_002497</t>
  </si>
  <si>
    <t>CUST_02497</t>
  </si>
  <si>
    <t>ORD_003749</t>
  </si>
  <si>
    <t>CUST_03749</t>
  </si>
  <si>
    <t>ORD_004673</t>
  </si>
  <si>
    <t>CUST_04673</t>
  </si>
  <si>
    <t>ORD_001072</t>
  </si>
  <si>
    <t>CUST_01072</t>
  </si>
  <si>
    <t>ORD_003669</t>
  </si>
  <si>
    <t>CUST_03669</t>
  </si>
  <si>
    <t>ORD_001829</t>
  </si>
  <si>
    <t>CUST_01829</t>
  </si>
  <si>
    <t>ORD_003491</t>
  </si>
  <si>
    <t>CUST_03491</t>
  </si>
  <si>
    <t>ORD_003083</t>
  </si>
  <si>
    <t>CUST_03083</t>
  </si>
  <si>
    <t>ORD_000227</t>
  </si>
  <si>
    <t>CUST_00227</t>
  </si>
  <si>
    <t>ORD_002321</t>
  </si>
  <si>
    <t>CUST_02321</t>
  </si>
  <si>
    <t>ORD_002468</t>
  </si>
  <si>
    <t>CUST_02468</t>
  </si>
  <si>
    <t>ORD_002102</t>
  </si>
  <si>
    <t>CUST_02102</t>
  </si>
  <si>
    <t>ORD_000912</t>
  </si>
  <si>
    <t>CUST_00912</t>
  </si>
  <si>
    <t>ORD_001284</t>
  </si>
  <si>
    <t>CUST_01284</t>
  </si>
  <si>
    <t>ORD_000839</t>
  </si>
  <si>
    <t>CUST_00839</t>
  </si>
  <si>
    <t>ORD_002117</t>
  </si>
  <si>
    <t>CUST_02117</t>
  </si>
  <si>
    <t>ORD_002525</t>
  </si>
  <si>
    <t>CUST_02525</t>
  </si>
  <si>
    <t>ORD_000279</t>
  </si>
  <si>
    <t>CUST_00279</t>
  </si>
  <si>
    <t>ORD_001784</t>
  </si>
  <si>
    <t>CUST_01784</t>
  </si>
  <si>
    <t>ORD_000928</t>
  </si>
  <si>
    <t>CUST_00928</t>
  </si>
  <si>
    <t>ORD_001597</t>
  </si>
  <si>
    <t>CUST_01597</t>
  </si>
  <si>
    <t>ORD_003464</t>
  </si>
  <si>
    <t>CUST_03464</t>
  </si>
  <si>
    <t>ORD_004168</t>
  </si>
  <si>
    <t>CUST_04168</t>
  </si>
  <si>
    <t>ORD_002937</t>
  </si>
  <si>
    <t>CUST_02937</t>
  </si>
  <si>
    <t>ORD_003409</t>
  </si>
  <si>
    <t>CUST_03409</t>
  </si>
  <si>
    <t>ORD_000729</t>
  </si>
  <si>
    <t>CUST_00729</t>
  </si>
  <si>
    <t>ORD_004875</t>
  </si>
  <si>
    <t>CUST_04875</t>
  </si>
  <si>
    <t>ORD_001709</t>
  </si>
  <si>
    <t>CUST_01709</t>
  </si>
  <si>
    <t>ORD_004136</t>
  </si>
  <si>
    <t>CUST_04136</t>
  </si>
  <si>
    <t>ORD_000568</t>
  </si>
  <si>
    <t>CUST_00568</t>
  </si>
  <si>
    <t>ORD_000601</t>
  </si>
  <si>
    <t>CUST_00601</t>
  </si>
  <si>
    <t>ORD_000003</t>
  </si>
  <si>
    <t>CUST_00003</t>
  </si>
  <si>
    <t>ORD_000024</t>
  </si>
  <si>
    <t>CUST_00024</t>
  </si>
  <si>
    <t>ORD_000955</t>
  </si>
  <si>
    <t>CUST_00955</t>
  </si>
  <si>
    <t>ORD_004628</t>
  </si>
  <si>
    <t>CUST_04628</t>
  </si>
  <si>
    <t>ORD_000880</t>
  </si>
  <si>
    <t>CUST_00880</t>
  </si>
  <si>
    <t>ORD_001820</t>
  </si>
  <si>
    <t>CUST_01820</t>
  </si>
  <si>
    <t>ORD_002701</t>
  </si>
  <si>
    <t>CUST_02701</t>
  </si>
  <si>
    <t>ORD_001989</t>
  </si>
  <si>
    <t>CUST_01989</t>
  </si>
  <si>
    <t>ORD_003052</t>
  </si>
  <si>
    <t>CUST_03052</t>
  </si>
  <si>
    <t>ORD_004043</t>
  </si>
  <si>
    <t>CUST_04043</t>
  </si>
  <si>
    <t>ORD_002433</t>
  </si>
  <si>
    <t>CUST_02433</t>
  </si>
  <si>
    <t>ORD_002759</t>
  </si>
  <si>
    <t>CUST_02759</t>
  </si>
  <si>
    <t>ORD_003937</t>
  </si>
  <si>
    <t>CUST_03937</t>
  </si>
  <si>
    <t>ORD_001276</t>
  </si>
  <si>
    <t>CUST_01276</t>
  </si>
  <si>
    <t>ORD_000885</t>
  </si>
  <si>
    <t>CUST_00885</t>
  </si>
  <si>
    <t>ORD_000866</t>
  </si>
  <si>
    <t>CUST_00866</t>
  </si>
  <si>
    <t>ORD_001995</t>
  </si>
  <si>
    <t>CUST_01995</t>
  </si>
  <si>
    <t>ORD_001364</t>
  </si>
  <si>
    <t>CUST_01364</t>
  </si>
  <si>
    <t>ORD_001529</t>
  </si>
  <si>
    <t>CUST_01529</t>
  </si>
  <si>
    <t>ORD_001036</t>
  </si>
  <si>
    <t>CUST_01036</t>
  </si>
  <si>
    <t>ORD_004196</t>
  </si>
  <si>
    <t>CUST_04196</t>
  </si>
  <si>
    <t>ORD_000619</t>
  </si>
  <si>
    <t>CUST_00619</t>
  </si>
  <si>
    <t>ORD_002849</t>
  </si>
  <si>
    <t>CUST_02849</t>
  </si>
  <si>
    <t>ORD_002444</t>
  </si>
  <si>
    <t>CUST_02444</t>
  </si>
  <si>
    <t>ORD_001860</t>
  </si>
  <si>
    <t>CUST_01860</t>
  </si>
  <si>
    <t>ORD_002014</t>
  </si>
  <si>
    <t>CUST_02014</t>
  </si>
  <si>
    <t>ORD_000924</t>
  </si>
  <si>
    <t>CUST_00924</t>
  </si>
  <si>
    <t>ORD_000018</t>
  </si>
  <si>
    <t>CUST_00018</t>
  </si>
  <si>
    <t>ORD_002863</t>
  </si>
  <si>
    <t>CUST_02863</t>
  </si>
  <si>
    <t>ORD_004995</t>
  </si>
  <si>
    <t>CUST_04995</t>
  </si>
  <si>
    <t>ORD_004312</t>
  </si>
  <si>
    <t>CUST_04312</t>
  </si>
  <si>
    <t>ORD_003882</t>
  </si>
  <si>
    <t>CUST_03882</t>
  </si>
  <si>
    <t>ORD_004764</t>
  </si>
  <si>
    <t>CUST_04764</t>
  </si>
  <si>
    <t>ORD_002664</t>
  </si>
  <si>
    <t>CUST_02664</t>
  </si>
  <si>
    <t>ORD_001755</t>
  </si>
  <si>
    <t>CUST_01755</t>
  </si>
  <si>
    <t>ORD_003078</t>
  </si>
  <si>
    <t>CUST_03078</t>
  </si>
  <si>
    <t>ORD_003427</t>
  </si>
  <si>
    <t>CUST_03427</t>
  </si>
  <si>
    <t>ORD_004358</t>
  </si>
  <si>
    <t>CUST_04358</t>
  </si>
  <si>
    <t>ORD_002681</t>
  </si>
  <si>
    <t>CUST_02681</t>
  </si>
  <si>
    <t>ORD_001218</t>
  </si>
  <si>
    <t>CUST_01218</t>
  </si>
  <si>
    <t>ORD_003794</t>
  </si>
  <si>
    <t>CUST_03794</t>
  </si>
  <si>
    <t>ORD_003485</t>
  </si>
  <si>
    <t>CUST_03485</t>
  </si>
  <si>
    <t>ORD_003832</t>
  </si>
  <si>
    <t>CUST_03832</t>
  </si>
  <si>
    <t>ORD_004317</t>
  </si>
  <si>
    <t>CUST_04317</t>
  </si>
  <si>
    <t>ORD_000292</t>
  </si>
  <si>
    <t>CUST_00292</t>
  </si>
  <si>
    <t>ORD_000126</t>
  </si>
  <si>
    <t>CUST_00126</t>
  </si>
  <si>
    <t>ORD_000017</t>
  </si>
  <si>
    <t>CUST_00017</t>
  </si>
  <si>
    <t>ORD_003713</t>
  </si>
  <si>
    <t>CUST_03713</t>
  </si>
  <si>
    <t>ORD_002671</t>
  </si>
  <si>
    <t>CUST_02671</t>
  </si>
  <si>
    <t>ORD_001641</t>
  </si>
  <si>
    <t>CUST_01641</t>
  </si>
  <si>
    <t>ORD_003497</t>
  </si>
  <si>
    <t>CUST_03497</t>
  </si>
  <si>
    <t>ORD_003235</t>
  </si>
  <si>
    <t>CUST_03235</t>
  </si>
  <si>
    <t>ORD_001508</t>
  </si>
  <si>
    <t>CUST_01508</t>
  </si>
  <si>
    <t>ORD_002572</t>
  </si>
  <si>
    <t>CUST_02572</t>
  </si>
  <si>
    <t>ORD_001325</t>
  </si>
  <si>
    <t>CUST_01325</t>
  </si>
  <si>
    <t>ORD_000533</t>
  </si>
  <si>
    <t>CUST_00533</t>
  </si>
  <si>
    <t>ORD_001464</t>
  </si>
  <si>
    <t>CUST_01464</t>
  </si>
  <si>
    <t>ORD_004810</t>
  </si>
  <si>
    <t>CUST_04810</t>
  </si>
  <si>
    <t>ORD_002587</t>
  </si>
  <si>
    <t>CUST_02587</t>
  </si>
  <si>
    <t>ORD_004084</t>
  </si>
  <si>
    <t>CUST_04084</t>
  </si>
  <si>
    <t>ORD_001727</t>
  </si>
  <si>
    <t>CUST_01727</t>
  </si>
  <si>
    <t>ORD_002344</t>
  </si>
  <si>
    <t>CUST_02344</t>
  </si>
  <si>
    <t>ORD_003230</t>
  </si>
  <si>
    <t>CUST_03230</t>
  </si>
  <si>
    <t>ORD_000626</t>
  </si>
  <si>
    <t>CUST_00626</t>
  </si>
  <si>
    <t>ORD_002454</t>
  </si>
  <si>
    <t>CUST_02454</t>
  </si>
  <si>
    <t>ORD_003245</t>
  </si>
  <si>
    <t>CUST_03245</t>
  </si>
  <si>
    <t>ORD_002208</t>
  </si>
  <si>
    <t>CUST_02208</t>
  </si>
  <si>
    <t>ORD_000587</t>
  </si>
  <si>
    <t>CUST_00587</t>
  </si>
  <si>
    <t>ORD_003006</t>
  </si>
  <si>
    <t>CUST_03006</t>
  </si>
  <si>
    <t>ORD_001290</t>
  </si>
  <si>
    <t>CUST_01290</t>
  </si>
  <si>
    <t>ORD_001270</t>
  </si>
  <si>
    <t>CUST_01270</t>
  </si>
  <si>
    <t>ORD_000546</t>
  </si>
  <si>
    <t>CUST_00546</t>
  </si>
  <si>
    <t>ORD_002249</t>
  </si>
  <si>
    <t>CUST_02249</t>
  </si>
  <si>
    <t>ORD_004977</t>
  </si>
  <si>
    <t>CUST_04977</t>
  </si>
  <si>
    <t>ORD_004679</t>
  </si>
  <si>
    <t>CUST_04679</t>
  </si>
  <si>
    <t>ORD_003606</t>
  </si>
  <si>
    <t>CUST_03606</t>
  </si>
  <si>
    <t>ORD_000922</t>
  </si>
  <si>
    <t>CUST_00922</t>
  </si>
  <si>
    <t>ORD_001637</t>
  </si>
  <si>
    <t>CUST_01637</t>
  </si>
  <si>
    <t>ORD_003004</t>
  </si>
  <si>
    <t>CUST_03004</t>
  </si>
  <si>
    <t>ORD_000425</t>
  </si>
  <si>
    <t>CUST_00425</t>
  </si>
  <si>
    <t>ORD_002227</t>
  </si>
  <si>
    <t>CUST_02227</t>
  </si>
  <si>
    <t>ORD_003817</t>
  </si>
  <si>
    <t>CUST_03817</t>
  </si>
  <si>
    <t>ORD_004343</t>
  </si>
  <si>
    <t>CUST_04343</t>
  </si>
  <si>
    <t>ORD_000981</t>
  </si>
  <si>
    <t>CUST_00981</t>
  </si>
  <si>
    <t>ORD_002100</t>
  </si>
  <si>
    <t>CUST_02100</t>
  </si>
  <si>
    <t>ORD_003163</t>
  </si>
  <si>
    <t>CUST_03163</t>
  </si>
  <si>
    <t>ORD_002578</t>
  </si>
  <si>
    <t>CUST_02578</t>
  </si>
  <si>
    <t>ORD_000541</t>
  </si>
  <si>
    <t>CUST_00541</t>
  </si>
  <si>
    <t>ORD_002644</t>
  </si>
  <si>
    <t>CUST_02644</t>
  </si>
  <si>
    <t>ORD_002846</t>
  </si>
  <si>
    <t>CUST_02846</t>
  </si>
  <si>
    <t>ORD_004904</t>
  </si>
  <si>
    <t>CUST_04904</t>
  </si>
  <si>
    <t>ORD_000513</t>
  </si>
  <si>
    <t>CUST_00513</t>
  </si>
  <si>
    <t>ORD_004102</t>
  </si>
  <si>
    <t>CUST_04102</t>
  </si>
  <si>
    <t>ORD_002575</t>
  </si>
  <si>
    <t>CUST_02575</t>
  </si>
  <si>
    <t>ORD_000060</t>
  </si>
  <si>
    <t>CUST_00060</t>
  </si>
  <si>
    <t>ORD_000642</t>
  </si>
  <si>
    <t>CUST_00642</t>
  </si>
  <si>
    <t>ORD_004164</t>
  </si>
  <si>
    <t>CUST_04164</t>
  </si>
  <si>
    <t>ORD_004798</t>
  </si>
  <si>
    <t>CUST_04798</t>
  </si>
  <si>
    <t>ORD_001450</t>
  </si>
  <si>
    <t>CUST_01450</t>
  </si>
  <si>
    <t>ORD_003506</t>
  </si>
  <si>
    <t>CUST_03506</t>
  </si>
  <si>
    <t>ORD_001851</t>
  </si>
  <si>
    <t>CUST_01851</t>
  </si>
  <si>
    <t>ORD_002551</t>
  </si>
  <si>
    <t>CUST_02551</t>
  </si>
  <si>
    <t>ORD_002364</t>
  </si>
  <si>
    <t>CUST_02364</t>
  </si>
  <si>
    <t>ORD_002529</t>
  </si>
  <si>
    <t>CUST_02529</t>
  </si>
  <si>
    <t>ORD_001530</t>
  </si>
  <si>
    <t>CUST_01530</t>
  </si>
  <si>
    <t>ORD_003663</t>
  </si>
  <si>
    <t>CUST_03663</t>
  </si>
  <si>
    <t>ORD_002968</t>
  </si>
  <si>
    <t>CUST_02968</t>
  </si>
  <si>
    <t>ORD_002851</t>
  </si>
  <si>
    <t>CUST_02851</t>
  </si>
  <si>
    <t>ORD_002064</t>
  </si>
  <si>
    <t>CUST_02064</t>
  </si>
  <si>
    <t>ORD_000730</t>
  </si>
  <si>
    <t>CUST_00730</t>
  </si>
  <si>
    <t>ORD_001132</t>
  </si>
  <si>
    <t>CUST_01132</t>
  </si>
  <si>
    <t>ORD_004803</t>
  </si>
  <si>
    <t>CUST_04803</t>
  </si>
  <si>
    <t>ORD_003418</t>
  </si>
  <si>
    <t>CUST_03418</t>
  </si>
  <si>
    <t>ORD_004495</t>
  </si>
  <si>
    <t>CUST_04495</t>
  </si>
  <si>
    <t>ORD_003005</t>
  </si>
  <si>
    <t>CUST_03005</t>
  </si>
  <si>
    <t>ORD_001726</t>
  </si>
  <si>
    <t>CUST_01726</t>
  </si>
  <si>
    <t>ORD_000078</t>
  </si>
  <si>
    <t>CUST_00078</t>
  </si>
  <si>
    <t>ORD_003825</t>
  </si>
  <si>
    <t>CUST_03825</t>
  </si>
  <si>
    <t>ORD_004836</t>
  </si>
  <si>
    <t>CUST_04836</t>
  </si>
  <si>
    <t>ORD_003719</t>
  </si>
  <si>
    <t>CUST_03719</t>
  </si>
  <si>
    <t>ORD_002595</t>
  </si>
  <si>
    <t>CUST_02595</t>
  </si>
  <si>
    <t>ORD_003551</t>
  </si>
  <si>
    <t>CUST_03551</t>
  </si>
  <si>
    <t>ORD_000163</t>
  </si>
  <si>
    <t>CUST_00163</t>
  </si>
  <si>
    <t>ORD_003503</t>
  </si>
  <si>
    <t>CUST_03503</t>
  </si>
  <si>
    <t>ORD_004494</t>
  </si>
  <si>
    <t>CUST_04494</t>
  </si>
  <si>
    <t>ORD_002484</t>
  </si>
  <si>
    <t>CUST_02484</t>
  </si>
  <si>
    <t>ORD_002946</t>
  </si>
  <si>
    <t>CUST_02946</t>
  </si>
  <si>
    <t>ORD_002947</t>
  </si>
  <si>
    <t>CUST_02947</t>
  </si>
  <si>
    <t>ORD_001785</t>
  </si>
  <si>
    <t>CUST_01785</t>
  </si>
  <si>
    <t>ORD_001608</t>
  </si>
  <si>
    <t>CUST_01608</t>
  </si>
  <si>
    <t>ORD_003188</t>
  </si>
  <si>
    <t>CUST_03188</t>
  </si>
  <si>
    <t>ORD_000764</t>
  </si>
  <si>
    <t>CUST_00764</t>
  </si>
  <si>
    <t>ORD_004989</t>
  </si>
  <si>
    <t>CUST_04989</t>
  </si>
  <si>
    <t>ORD_002037</t>
  </si>
  <si>
    <t>CUST_02037</t>
  </si>
  <si>
    <t>ORD_000401</t>
  </si>
  <si>
    <t>CUST_00401</t>
  </si>
  <si>
    <t>ORD_000355</t>
  </si>
  <si>
    <t>CUST_00355</t>
  </si>
  <si>
    <t>ORD_000893</t>
  </si>
  <si>
    <t>CUST_00893</t>
  </si>
  <si>
    <t>ORD_002913</t>
  </si>
  <si>
    <t>CUST_02913</t>
  </si>
  <si>
    <t>ORD_001353</t>
  </si>
  <si>
    <t>CUST_01353</t>
  </si>
  <si>
    <t>ORD_004831</t>
  </si>
  <si>
    <t>CUST_04831</t>
  </si>
  <si>
    <t>ORD_001152</t>
  </si>
  <si>
    <t>CUST_01152</t>
  </si>
  <si>
    <t>ORD_000915</t>
  </si>
  <si>
    <t>CUST_00915</t>
  </si>
  <si>
    <t>ORD_003600</t>
  </si>
  <si>
    <t>CUST_03600</t>
  </si>
  <si>
    <t>ORD_001832</t>
  </si>
  <si>
    <t>CUST_01832</t>
  </si>
  <si>
    <t>ORD_001954</t>
  </si>
  <si>
    <t>CUST_01954</t>
  </si>
  <si>
    <t>ORD_004527</t>
  </si>
  <si>
    <t>CUST_04527</t>
  </si>
  <si>
    <t>ORD_000507</t>
  </si>
  <si>
    <t>CUST_00507</t>
  </si>
  <si>
    <t>ORD_003194</t>
  </si>
  <si>
    <t>CUST_03194</t>
  </si>
  <si>
    <t>ORD_002970</t>
  </si>
  <si>
    <t>CUST_02970</t>
  </si>
  <si>
    <t>ORD_002267</t>
  </si>
  <si>
    <t>CUST_02267</t>
  </si>
  <si>
    <t>ORD_002032</t>
  </si>
  <si>
    <t>CUST_02032</t>
  </si>
  <si>
    <t>ORD_002406</t>
  </si>
  <si>
    <t>CUST_02406</t>
  </si>
  <si>
    <t>ORD_003063</t>
  </si>
  <si>
    <t>CUST_03063</t>
  </si>
  <si>
    <t>ORD_002435</t>
  </si>
  <si>
    <t>CUST_02435</t>
  </si>
  <si>
    <t>ORD_001133</t>
  </si>
  <si>
    <t>CUST_01133</t>
  </si>
  <si>
    <t>ORD_001343</t>
  </si>
  <si>
    <t>CUST_01343</t>
  </si>
  <si>
    <t>ORD_000324</t>
  </si>
  <si>
    <t>CUST_00324</t>
  </si>
  <si>
    <t>ORD_004288</t>
  </si>
  <si>
    <t>CUST_04288</t>
  </si>
  <si>
    <t>ORD_001165</t>
  </si>
  <si>
    <t>CUST_01165</t>
  </si>
  <si>
    <t>ORD_004643</t>
  </si>
  <si>
    <t>CUST_04643</t>
  </si>
  <si>
    <t>ORD_003868</t>
  </si>
  <si>
    <t>CUST_03868</t>
  </si>
  <si>
    <t>ORD_000123</t>
  </si>
  <si>
    <t>CUST_00123</t>
  </si>
  <si>
    <t>ORD_004732</t>
  </si>
  <si>
    <t>CUST_04732</t>
  </si>
  <si>
    <t>ORD_002805</t>
  </si>
  <si>
    <t>CUST_02805</t>
  </si>
  <si>
    <t>ORD_003515</t>
  </si>
  <si>
    <t>CUST_03515</t>
  </si>
  <si>
    <t>ORD_002201</t>
  </si>
  <si>
    <t>CUST_02201</t>
  </si>
  <si>
    <t>ORD_002068</t>
  </si>
  <si>
    <t>CUST_02068</t>
  </si>
  <si>
    <t>ORD_003395</t>
  </si>
  <si>
    <t>CUST_03395</t>
  </si>
  <si>
    <t>ORD_004780</t>
  </si>
  <si>
    <t>CUST_04780</t>
  </si>
  <si>
    <t>ORD_003801</t>
  </si>
  <si>
    <t>CUST_03801</t>
  </si>
  <si>
    <t>ORD_001533</t>
  </si>
  <si>
    <t>CUST_01533</t>
  </si>
  <si>
    <t>ORD_000393</t>
  </si>
  <si>
    <t>CUST_00393</t>
  </si>
  <si>
    <t>ORD_002209</t>
  </si>
  <si>
    <t>CUST_02209</t>
  </si>
  <si>
    <t>ORD_000235</t>
  </si>
  <si>
    <t>CUST_00235</t>
  </si>
  <si>
    <t>ORD_003402</t>
  </si>
  <si>
    <t>CUST_03402</t>
  </si>
  <si>
    <t>ORD_002653</t>
  </si>
  <si>
    <t>CUST_02653</t>
  </si>
  <si>
    <t>ORD_000408</t>
  </si>
  <si>
    <t>CUST_00408</t>
  </si>
  <si>
    <t>ORD_003578</t>
  </si>
  <si>
    <t>CUST_03578</t>
  </si>
  <si>
    <t>ORD_004724</t>
  </si>
  <si>
    <t>CUST_04724</t>
  </si>
  <si>
    <t>ORD_000400</t>
  </si>
  <si>
    <t>CUST_00400</t>
  </si>
  <si>
    <t>ORD_003424</t>
  </si>
  <si>
    <t>CUST_03424</t>
  </si>
  <si>
    <t>ORD_003711</t>
  </si>
  <si>
    <t>CUST_03711</t>
  </si>
  <si>
    <t>ORD_004413</t>
  </si>
  <si>
    <t>CUST_04413</t>
  </si>
  <si>
    <t>ORD_003220</t>
  </si>
  <si>
    <t>CUST_03220</t>
  </si>
  <si>
    <t>ORD_004390</t>
  </si>
  <si>
    <t>CUST_04390</t>
  </si>
  <si>
    <t>ORD_004899</t>
  </si>
  <si>
    <t>CUST_04899</t>
  </si>
  <si>
    <t>ORD_000289</t>
  </si>
  <si>
    <t>CUST_00289</t>
  </si>
  <si>
    <t>ORD_004680</t>
  </si>
  <si>
    <t>CUST_04680</t>
  </si>
  <si>
    <t>ORD_002880</t>
  </si>
  <si>
    <t>CUST_02880</t>
  </si>
  <si>
    <t>ORD_003735</t>
  </si>
  <si>
    <t>CUST_03735</t>
  </si>
  <si>
    <t>ORD_001939</t>
  </si>
  <si>
    <t>CUST_01939</t>
  </si>
  <si>
    <t>ORD_001194</t>
  </si>
  <si>
    <t>CUST_01194</t>
  </si>
  <si>
    <t>ORD_001247</t>
  </si>
  <si>
    <t>CUST_01247</t>
  </si>
  <si>
    <t>ORD_000371</t>
  </si>
  <si>
    <t>CUST_00371</t>
  </si>
  <si>
    <t>ORD_000397</t>
  </si>
  <si>
    <t>CUST_00397</t>
  </si>
  <si>
    <t>ORD_003372</t>
  </si>
  <si>
    <t>CUST_03372</t>
  </si>
  <si>
    <t>ORD_002238</t>
  </si>
  <si>
    <t>CUST_02238</t>
  </si>
  <si>
    <t>ORD_003540</t>
  </si>
  <si>
    <t>CUST_03540</t>
  </si>
  <si>
    <t>ORD_004924</t>
  </si>
  <si>
    <t>CUST_04924</t>
  </si>
  <si>
    <t>ORD_001861</t>
  </si>
  <si>
    <t>CUST_01861</t>
  </si>
  <si>
    <t>ORD_003319</t>
  </si>
  <si>
    <t>CUST_03319</t>
  </si>
  <si>
    <t>ORD_000329</t>
  </si>
  <si>
    <t>CUST_00329</t>
  </si>
  <si>
    <t>ORD_001770</t>
  </si>
  <si>
    <t>CUST_01770</t>
  </si>
  <si>
    <t>ORD_000831</t>
  </si>
  <si>
    <t>CUST_00831</t>
  </si>
  <si>
    <t>ORD_003100</t>
  </si>
  <si>
    <t>CUST_03100</t>
  </si>
  <si>
    <t>ORD_003969</t>
  </si>
  <si>
    <t>CUST_03969</t>
  </si>
  <si>
    <t>ORD_004213</t>
  </si>
  <si>
    <t>CUST_04213</t>
  </si>
  <si>
    <t>ORD_000824</t>
  </si>
  <si>
    <t>CUST_00824</t>
  </si>
  <si>
    <t>ORD_000173</t>
  </si>
  <si>
    <t>CUST_00173</t>
  </si>
  <si>
    <t>ORD_001839</t>
  </si>
  <si>
    <t>CUST_01839</t>
  </si>
  <si>
    <t>ORD_002568</t>
  </si>
  <si>
    <t>CUST_02568</t>
  </si>
  <si>
    <t>ORD_002491</t>
  </si>
  <si>
    <t>CUST_02491</t>
  </si>
  <si>
    <t>ORD_004470</t>
  </si>
  <si>
    <t>CUST_04470</t>
  </si>
  <si>
    <t>ORD_003422</t>
  </si>
  <si>
    <t>CUST_03422</t>
  </si>
  <si>
    <t>ORD_001716</t>
  </si>
  <si>
    <t>CUST_01716</t>
  </si>
  <si>
    <t>ORD_004770</t>
  </si>
  <si>
    <t>CUST_04770</t>
  </si>
  <si>
    <t>ORD_000277</t>
  </si>
  <si>
    <t>CUST_00277</t>
  </si>
  <si>
    <t>ORD_002736</t>
  </si>
  <si>
    <t>CUST_02736</t>
  </si>
  <si>
    <t>ORD_001876</t>
  </si>
  <si>
    <t>CUST_01876</t>
  </si>
  <si>
    <t>ORD_002272</t>
  </si>
  <si>
    <t>CUST_02272</t>
  </si>
  <si>
    <t>ORD_001158</t>
  </si>
  <si>
    <t>CUST_01158</t>
  </si>
  <si>
    <t>ORD_004717</t>
  </si>
  <si>
    <t>CUST_04717</t>
  </si>
  <si>
    <t>ORD_002770</t>
  </si>
  <si>
    <t>CUST_02770</t>
  </si>
  <si>
    <t>ORD_000131</t>
  </si>
  <si>
    <t>CUST_00131</t>
  </si>
  <si>
    <t>ORD_003494</t>
  </si>
  <si>
    <t>CUST_03494</t>
  </si>
  <si>
    <t>ORD_004675</t>
  </si>
  <si>
    <t>CUST_04675</t>
  </si>
  <si>
    <t>ORD_000415</t>
  </si>
  <si>
    <t>CUST_00415</t>
  </si>
  <si>
    <t>ORD_004162</t>
  </si>
  <si>
    <t>CUST_04162</t>
  </si>
  <si>
    <t>ORD_002538</t>
  </si>
  <si>
    <t>CUST_02538</t>
  </si>
  <si>
    <t>ORD_001926</t>
  </si>
  <si>
    <t>CUST_01926</t>
  </si>
  <si>
    <t>ORD_002673</t>
  </si>
  <si>
    <t>CUST_02673</t>
  </si>
  <si>
    <t>ORD_002518</t>
  </si>
  <si>
    <t>CUST_02518</t>
  </si>
  <si>
    <t>ORD_002193</t>
  </si>
  <si>
    <t>CUST_02193</t>
  </si>
  <si>
    <t>ORD_000291</t>
  </si>
  <si>
    <t>CUST_00291</t>
  </si>
  <si>
    <t>ORD_003727</t>
  </si>
  <si>
    <t>CUST_03727</t>
  </si>
  <si>
    <t>ORD_000462</t>
  </si>
  <si>
    <t>CUST_00462</t>
  </si>
  <si>
    <t>ORD_000077</t>
  </si>
  <si>
    <t>CUST_00077</t>
  </si>
  <si>
    <t>ORD_004053</t>
  </si>
  <si>
    <t>CUST_04053</t>
  </si>
  <si>
    <t>ORD_000244</t>
  </si>
  <si>
    <t>CUST_00244</t>
  </si>
  <si>
    <t>ORD_000987</t>
  </si>
  <si>
    <t>CUST_00987</t>
  </si>
  <si>
    <t>ORD_000608</t>
  </si>
  <si>
    <t>CUST_00608</t>
  </si>
  <si>
    <t>ORD_003425</t>
  </si>
  <si>
    <t>CUST_03425</t>
  </si>
  <si>
    <t>ORD_000919</t>
  </si>
  <si>
    <t>CUST_00919</t>
  </si>
  <si>
    <t>ORD_002010</t>
  </si>
  <si>
    <t>CUST_02010</t>
  </si>
  <si>
    <t>ORD_000413</t>
  </si>
  <si>
    <t>CUST_00413</t>
  </si>
  <si>
    <t>ORD_004582</t>
  </si>
  <si>
    <t>CUST_04582</t>
  </si>
  <si>
    <t>ORD_001407</t>
  </si>
  <si>
    <t>CUST_01407</t>
  </si>
  <si>
    <t>ORD_001510</t>
  </si>
  <si>
    <t>CUST_01510</t>
  </si>
  <si>
    <t>ORD_000657</t>
  </si>
  <si>
    <t>CUST_00657</t>
  </si>
  <si>
    <t>ORD_001793</t>
  </si>
  <si>
    <t>CUST_01793</t>
  </si>
  <si>
    <t>ORD_004838</t>
  </si>
  <si>
    <t>CUST_04838</t>
  </si>
  <si>
    <t>ORD_000295</t>
  </si>
  <si>
    <t>CUST_00295</t>
  </si>
  <si>
    <t>ORD_000103</t>
  </si>
  <si>
    <t>CUST_00103</t>
  </si>
  <si>
    <t>ORD_004561</t>
  </si>
  <si>
    <t>CUST_04561</t>
  </si>
  <si>
    <t>ORD_000286</t>
  </si>
  <si>
    <t>CUST_00286</t>
  </si>
  <si>
    <t>ORD_001246</t>
  </si>
  <si>
    <t>CUST_01246</t>
  </si>
  <si>
    <t>ORD_002096</t>
  </si>
  <si>
    <t>CUST_02096</t>
  </si>
  <si>
    <t>ORD_004654</t>
  </si>
  <si>
    <t>CUST_04654</t>
  </si>
  <si>
    <t>ORD_001226</t>
  </si>
  <si>
    <t>CUST_01226</t>
  </si>
  <si>
    <t>ORD_002977</t>
  </si>
  <si>
    <t>CUST_02977</t>
  </si>
  <si>
    <t>ORD_000449</t>
  </si>
  <si>
    <t>CUST_00449</t>
  </si>
  <si>
    <t>ORD_004672</t>
  </si>
  <si>
    <t>CUST_04672</t>
  </si>
  <si>
    <t>ORD_003608</t>
  </si>
  <si>
    <t>CUST_03608</t>
  </si>
  <si>
    <t>ORD_002786</t>
  </si>
  <si>
    <t>CUST_02786</t>
  </si>
  <si>
    <t>ORD_003417</t>
  </si>
  <si>
    <t>CUST_03417</t>
  </si>
  <si>
    <t>ORD_003905</t>
  </si>
  <si>
    <t>CUST_03905</t>
  </si>
  <si>
    <t>ORD_002782</t>
  </si>
  <si>
    <t>CUST_02782</t>
  </si>
  <si>
    <t>ORD_001161</t>
  </si>
  <si>
    <t>CUST_01161</t>
  </si>
  <si>
    <t>ORD_001572</t>
  </si>
  <si>
    <t>CUST_01572</t>
  </si>
  <si>
    <t>ORD_002878</t>
  </si>
  <si>
    <t>CUST_02878</t>
  </si>
  <si>
    <t>ORD_002723</t>
  </si>
  <si>
    <t>CUST_02723</t>
  </si>
  <si>
    <t>ORD_004072</t>
  </si>
  <si>
    <t>CUST_04072</t>
  </si>
  <si>
    <t>ORD_000736</t>
  </si>
  <si>
    <t>CUST_00736</t>
  </si>
  <si>
    <t>ORD_000455</t>
  </si>
  <si>
    <t>CUST_00455</t>
  </si>
  <si>
    <t>ORD_001871</t>
  </si>
  <si>
    <t>CUST_01871</t>
  </si>
  <si>
    <t>ORD_002204</t>
  </si>
  <si>
    <t>CUST_02204</t>
  </si>
  <si>
    <t>ORD_004943</t>
  </si>
  <si>
    <t>CUST_04943</t>
  </si>
  <si>
    <t>ORD_001674</t>
  </si>
  <si>
    <t>CUST_01674</t>
  </si>
  <si>
    <t>ORD_001209</t>
  </si>
  <si>
    <t>CUST_01209</t>
  </si>
  <si>
    <t>ORD_004440</t>
  </si>
  <si>
    <t>CUST_04440</t>
  </si>
  <si>
    <t>ORD_003873</t>
  </si>
  <si>
    <t>CUST_03873</t>
  </si>
  <si>
    <t>ORD_000963</t>
  </si>
  <si>
    <t>CUST_00963</t>
  </si>
  <si>
    <t>ORD_002171</t>
  </si>
  <si>
    <t>CUST_02171</t>
  </si>
  <si>
    <t>ORD_000348</t>
  </si>
  <si>
    <t>CUST_00348</t>
  </si>
  <si>
    <t>ORD_000529</t>
  </si>
  <si>
    <t>CUST_00529</t>
  </si>
  <si>
    <t>ORD_002654</t>
  </si>
  <si>
    <t>CUST_02654</t>
  </si>
  <si>
    <t>ORD_001484</t>
  </si>
  <si>
    <t>CUST_01484</t>
  </si>
  <si>
    <t>ORD_003826</t>
  </si>
  <si>
    <t>CUST_03826</t>
  </si>
  <si>
    <t>ORD_003716</t>
  </si>
  <si>
    <t>CUST_03716</t>
  </si>
  <si>
    <t>ORD_004921</t>
  </si>
  <si>
    <t>CUST_04921</t>
  </si>
  <si>
    <t>ORD_003977</t>
  </si>
  <si>
    <t>CUST_03977</t>
  </si>
  <si>
    <t>ORD_002145</t>
  </si>
  <si>
    <t>CUST_02145</t>
  </si>
  <si>
    <t>ORD_004775</t>
  </si>
  <si>
    <t>CUST_04775</t>
  </si>
  <si>
    <t>ORD_002213</t>
  </si>
  <si>
    <t>CUST_02213</t>
  </si>
  <si>
    <t>ORD_003845</t>
  </si>
  <si>
    <t>CUST_03845</t>
  </si>
  <si>
    <t>ORD_002104</t>
  </si>
  <si>
    <t>CUST_02104</t>
  </si>
  <si>
    <t>ORD_002333</t>
  </si>
  <si>
    <t>CUST_02333</t>
  </si>
  <si>
    <t>ORD_002690</t>
  </si>
  <si>
    <t>CUST_02690</t>
  </si>
  <si>
    <t>ORD_000807</t>
  </si>
  <si>
    <t>CUST_00807</t>
  </si>
  <si>
    <t>ORD_003369</t>
  </si>
  <si>
    <t>CUST_03369</t>
  </si>
  <si>
    <t>ORD_004543</t>
  </si>
  <si>
    <t>CUST_04543</t>
  </si>
  <si>
    <t>ORD_004825</t>
  </si>
  <si>
    <t>CUST_04825</t>
  </si>
  <si>
    <t>ORD_001548</t>
  </si>
  <si>
    <t>CUST_01548</t>
  </si>
  <si>
    <t>ORD_003777</t>
  </si>
  <si>
    <t>CUST_03777</t>
  </si>
  <si>
    <t>ORD_002621</t>
  </si>
  <si>
    <t>CUST_02621</t>
  </si>
  <si>
    <t>ORD_000083</t>
  </si>
  <si>
    <t>CUST_00083</t>
  </si>
  <si>
    <t>ORD_003166</t>
  </si>
  <si>
    <t>CUST_03166</t>
  </si>
  <si>
    <t>ORD_002820</t>
  </si>
  <si>
    <t>CUST_02820</t>
  </si>
  <si>
    <t>ORD_003864</t>
  </si>
  <si>
    <t>CUST_03864</t>
  </si>
  <si>
    <t>ORD_000066</t>
  </si>
  <si>
    <t>CUST_00066</t>
  </si>
  <si>
    <t>ORD_000239</t>
  </si>
  <si>
    <t>CUST_00239</t>
  </si>
  <si>
    <t>ORD_003591</t>
  </si>
  <si>
    <t>CUST_03591</t>
  </si>
  <si>
    <t>ORD_002467</t>
  </si>
  <si>
    <t>CUST_02467</t>
  </si>
  <si>
    <t>ORD_002630</t>
  </si>
  <si>
    <t>CUST_02630</t>
  </si>
  <si>
    <t>ORD_004702</t>
  </si>
  <si>
    <t>CUST_04702</t>
  </si>
  <si>
    <t>ORD_002135</t>
  </si>
  <si>
    <t>CUST_02135</t>
  </si>
  <si>
    <t>ORD_002441</t>
  </si>
  <si>
    <t>CUST_02441</t>
  </si>
  <si>
    <t>ORD_001204</t>
  </si>
  <si>
    <t>CUST_01204</t>
  </si>
  <si>
    <t>ORD_002039</t>
  </si>
  <si>
    <t>CUST_02039</t>
  </si>
  <si>
    <t>ORD_003444</t>
  </si>
  <si>
    <t>CUST_03444</t>
  </si>
  <si>
    <t>ORD_002850</t>
  </si>
  <si>
    <t>CUST_02850</t>
  </si>
  <si>
    <t>ORD_001493</t>
  </si>
  <si>
    <t>CUST_01493</t>
  </si>
  <si>
    <t>ORD_002287</t>
  </si>
  <si>
    <t>CUST_02287</t>
  </si>
  <si>
    <t>ORD_001268</t>
  </si>
  <si>
    <t>CUST_01268</t>
  </si>
  <si>
    <t>ORD_003363</t>
  </si>
  <si>
    <t>CUST_03363</t>
  </si>
  <si>
    <t>ORD_001872</t>
  </si>
  <si>
    <t>CUST_01872</t>
  </si>
  <si>
    <t>ORD_000410</t>
  </si>
  <si>
    <t>CUST_00410</t>
  </si>
  <si>
    <t>ORD_000815</t>
  </si>
  <si>
    <t>CUST_00815</t>
  </si>
  <si>
    <t>ORD_000427</t>
  </si>
  <si>
    <t>CUST_00427</t>
  </si>
  <si>
    <t>ORD_000910</t>
  </si>
  <si>
    <t>CUST_00910</t>
  </si>
  <si>
    <t>ORD_003789</t>
  </si>
  <si>
    <t>CUST_03789</t>
  </si>
  <si>
    <t>ORD_004700</t>
  </si>
  <si>
    <t>CUST_04700</t>
  </si>
  <si>
    <t>ORD_004693</t>
  </si>
  <si>
    <t>CUST_04693</t>
  </si>
  <si>
    <t>ORD_003806</t>
  </si>
  <si>
    <t>CUST_03806</t>
  </si>
  <si>
    <t>ORD_004310</t>
  </si>
  <si>
    <t>CUST_04310</t>
  </si>
  <si>
    <t>ORD_003906</t>
  </si>
  <si>
    <t>CUST_03906</t>
  </si>
  <si>
    <t>ORD_002618</t>
  </si>
  <si>
    <t>CUST_02618</t>
  </si>
  <si>
    <t>ORD_002419</t>
  </si>
  <si>
    <t>CUST_02419</t>
  </si>
  <si>
    <t>ORD_000886</t>
  </si>
  <si>
    <t>CUST_00886</t>
  </si>
  <si>
    <t>ORD_004522</t>
  </si>
  <si>
    <t>CUST_04522</t>
  </si>
  <si>
    <t>ORD_003898</t>
  </si>
  <si>
    <t>CUST_03898</t>
  </si>
  <si>
    <t>ORD_004251</t>
  </si>
  <si>
    <t>CUST_04251</t>
  </si>
  <si>
    <t>ORD_001057</t>
  </si>
  <si>
    <t>CUST_01057</t>
  </si>
  <si>
    <t>ORD_004618</t>
  </si>
  <si>
    <t>CUST_04618</t>
  </si>
  <si>
    <t>ORD_002031</t>
  </si>
  <si>
    <t>CUST_02031</t>
  </si>
  <si>
    <t>ORD_000712</t>
  </si>
  <si>
    <t>CUST_00712</t>
  </si>
  <si>
    <t>ORD_001171</t>
  </si>
  <si>
    <t>CUST_01171</t>
  </si>
  <si>
    <t>ORD_003953</t>
  </si>
  <si>
    <t>CUST_03953</t>
  </si>
  <si>
    <t>ORD_001929</t>
  </si>
  <si>
    <t>CUST_01929</t>
  </si>
  <si>
    <t>ORD_002300</t>
  </si>
  <si>
    <t>CUST_02300</t>
  </si>
  <si>
    <t>ORD_002245</t>
  </si>
  <si>
    <t>CUST_02245</t>
  </si>
  <si>
    <t>ORD_000240</t>
  </si>
  <si>
    <t>CUST_00240</t>
  </si>
  <si>
    <t>ORD_004141</t>
  </si>
  <si>
    <t>CUST_04141</t>
  </si>
  <si>
    <t>ORD_002515</t>
  </si>
  <si>
    <t>CUST_02515</t>
  </si>
  <si>
    <t>ORD_004092</t>
  </si>
  <si>
    <t>CUST_04092</t>
  </si>
  <si>
    <t>ORD_004913</t>
  </si>
  <si>
    <t>CUST_04913</t>
  </si>
  <si>
    <t>ORD_002769</t>
  </si>
  <si>
    <t>CUST_02769</t>
  </si>
  <si>
    <t>ORD_004847</t>
  </si>
  <si>
    <t>CUST_04847</t>
  </si>
  <si>
    <t>ORD_003292</t>
  </si>
  <si>
    <t>CUST_03292</t>
  </si>
  <si>
    <t>ORD_004726</t>
  </si>
  <si>
    <t>CUST_04726</t>
  </si>
  <si>
    <t>ORD_001025</t>
  </si>
  <si>
    <t>CUST_01025</t>
  </si>
  <si>
    <t>ORD_004602</t>
  </si>
  <si>
    <t>CUST_04602</t>
  </si>
  <si>
    <t>ORD_004364</t>
  </si>
  <si>
    <t>CUST_04364</t>
  </si>
  <si>
    <t>ORD_000014</t>
  </si>
  <si>
    <t>CUST_00014</t>
  </si>
  <si>
    <t>ORD_003928</t>
  </si>
  <si>
    <t>CUST_03928</t>
  </si>
  <si>
    <t>ORD_002728</t>
  </si>
  <si>
    <t>CUST_02728</t>
  </si>
  <si>
    <t>ORD_001327</t>
  </si>
  <si>
    <t>CUST_01327</t>
  </si>
  <si>
    <t>ORD_004564</t>
  </si>
  <si>
    <t>CUST_04564</t>
  </si>
  <si>
    <t>ORD_002126</t>
  </si>
  <si>
    <t>CUST_02126</t>
  </si>
  <si>
    <t>ORD_003222</t>
  </si>
  <si>
    <t>CUST_03222</t>
  </si>
  <si>
    <t>ORD_003938</t>
  </si>
  <si>
    <t>CUST_03938</t>
  </si>
  <si>
    <t>ORD_004968</t>
  </si>
  <si>
    <t>CUST_04968</t>
  </si>
  <si>
    <t>ORD_003391</t>
  </si>
  <si>
    <t>CUST_03391</t>
  </si>
  <si>
    <t>ORD_002015</t>
  </si>
  <si>
    <t>CUST_02015</t>
  </si>
  <si>
    <t>ORD_004537</t>
  </si>
  <si>
    <t>CUST_04537</t>
  </si>
  <si>
    <t>ORD_002217</t>
  </si>
  <si>
    <t>CUST_02217</t>
  </si>
  <si>
    <t>ORD_001927</t>
  </si>
  <si>
    <t>CUST_01927</t>
  </si>
  <si>
    <t>ORD_001517</t>
  </si>
  <si>
    <t>CUST_01517</t>
  </si>
  <si>
    <t>ORD_002938</t>
  </si>
  <si>
    <t>CUST_02938</t>
  </si>
  <si>
    <t>ORD_001277</t>
  </si>
  <si>
    <t>CUST_01277</t>
  </si>
  <si>
    <t>ORD_001687</t>
  </si>
  <si>
    <t>CUST_01687</t>
  </si>
  <si>
    <t>ORD_002428</t>
  </si>
  <si>
    <t>CUST_02428</t>
  </si>
  <si>
    <t>ORD_003919</t>
  </si>
  <si>
    <t>CUST_03919</t>
  </si>
  <si>
    <t>ORD_000161</t>
  </si>
  <si>
    <t>CUST_00161</t>
  </si>
  <si>
    <t>ORD_001778</t>
  </si>
  <si>
    <t>CUST_01778</t>
  </si>
  <si>
    <t>ORD_001646</t>
  </si>
  <si>
    <t>CUST_01646</t>
  </si>
  <si>
    <t>ORD_001305</t>
  </si>
  <si>
    <t>CUST_01305</t>
  </si>
  <si>
    <t>ORD_004983</t>
  </si>
  <si>
    <t>CUST_04983</t>
  </si>
  <si>
    <t>ORD_000051</t>
  </si>
  <si>
    <t>CUST_00051</t>
  </si>
  <si>
    <t>ORD_000508</t>
  </si>
  <si>
    <t>CUST_00508</t>
  </si>
  <si>
    <t>ORD_002315</t>
  </si>
  <si>
    <t>CUST_02315</t>
  </si>
  <si>
    <t>ORD_004462</t>
  </si>
  <si>
    <t>CUST_04462</t>
  </si>
  <si>
    <t>ORD_000719</t>
  </si>
  <si>
    <t>CUST_00719</t>
  </si>
  <si>
    <t>ORD_001376</t>
  </si>
  <si>
    <t>CUST_01376</t>
  </si>
  <si>
    <t>ORD_001073</t>
  </si>
  <si>
    <t>CUST_01073</t>
  </si>
  <si>
    <t>ORD_000019</t>
  </si>
  <si>
    <t>CUST_00019</t>
  </si>
  <si>
    <t>ORD_003941</t>
  </si>
  <si>
    <t>CUST_03941</t>
  </si>
  <si>
    <t>ORD_002831</t>
  </si>
  <si>
    <t>CUST_02831</t>
  </si>
  <si>
    <t>ORD_004903</t>
  </si>
  <si>
    <t>CUST_04903</t>
  </si>
  <si>
    <t>ORD_004518</t>
  </si>
  <si>
    <t>CUST_04518</t>
  </si>
  <si>
    <t>ORD_003595</t>
  </si>
  <si>
    <t>CUST_03595</t>
  </si>
  <si>
    <t>ORD_004445</t>
  </si>
  <si>
    <t>CUST_04445</t>
  </si>
  <si>
    <t>ORD_000360</t>
  </si>
  <si>
    <t>CUST_00360</t>
  </si>
  <si>
    <t>ORD_003795</t>
  </si>
  <si>
    <t>CUST_03795</t>
  </si>
  <si>
    <t>ORD_001930</t>
  </si>
  <si>
    <t>CUST_01930</t>
  </si>
  <si>
    <t>ORD_003815</t>
  </si>
  <si>
    <t>CUST_03815</t>
  </si>
  <si>
    <t>ORD_004408</t>
  </si>
  <si>
    <t>CUST_04408</t>
  </si>
  <si>
    <t>ORD_004539</t>
  </si>
  <si>
    <t>CUST_04539</t>
  </si>
  <si>
    <t>ORD_002274</t>
  </si>
  <si>
    <t>CUST_02274</t>
  </si>
  <si>
    <t>ORD_004915</t>
  </si>
  <si>
    <t>CUST_04915</t>
  </si>
  <si>
    <t>ORD_000314</t>
  </si>
  <si>
    <t>CUST_00314</t>
  </si>
  <si>
    <t>ORD_001916</t>
  </si>
  <si>
    <t>CUST_01916</t>
  </si>
  <si>
    <t>ORD_003295</t>
  </si>
  <si>
    <t>CUST_03295</t>
  </si>
  <si>
    <t>ORD_003764</t>
  </si>
  <si>
    <t>CUST_03764</t>
  </si>
  <si>
    <t>ORD_000053</t>
  </si>
  <si>
    <t>CUST_00053</t>
  </si>
  <si>
    <t>ORD_001731</t>
  </si>
  <si>
    <t>CUST_01731</t>
  </si>
  <si>
    <t>ORD_002912</t>
  </si>
  <si>
    <t>CUST_02912</t>
  </si>
  <si>
    <t>ORD_001932</t>
  </si>
  <si>
    <t>CUST_01932</t>
  </si>
  <si>
    <t>ORD_004156</t>
  </si>
  <si>
    <t>CUST_04156</t>
  </si>
  <si>
    <t>ORD_002990</t>
  </si>
  <si>
    <t>CUST_02990</t>
  </si>
  <si>
    <t>ORD_000315</t>
  </si>
  <si>
    <t>CUST_00315</t>
  </si>
  <si>
    <t>ORD_001634</t>
  </si>
  <si>
    <t>CUST_01634</t>
  </si>
  <si>
    <t>ORD_001197</t>
  </si>
  <si>
    <t>CUST_01197</t>
  </si>
  <si>
    <t>ORD_001519</t>
  </si>
  <si>
    <t>CUST_01519</t>
  </si>
  <si>
    <t>ORD_002446</t>
  </si>
  <si>
    <t>CUST_02446</t>
  </si>
  <si>
    <t>ORD_001749</t>
  </si>
  <si>
    <t>CUST_01749</t>
  </si>
  <si>
    <t>ORD_001893</t>
  </si>
  <si>
    <t>CUST_01893</t>
  </si>
  <si>
    <t>ORD_000328</t>
  </si>
  <si>
    <t>CUST_00328</t>
  </si>
  <si>
    <t>ORD_004114</t>
  </si>
  <si>
    <t>CUST_04114</t>
  </si>
  <si>
    <t>ORD_003869</t>
  </si>
  <si>
    <t>CUST_03869</t>
  </si>
  <si>
    <t>ORD_000354</t>
  </si>
  <si>
    <t>CUST_00354</t>
  </si>
  <si>
    <t>ORD_001764</t>
  </si>
  <si>
    <t>CUST_01764</t>
  </si>
  <si>
    <t>ORD_004496</t>
  </si>
  <si>
    <t>CUST_04496</t>
  </si>
  <si>
    <t>ORD_003652</t>
  </si>
  <si>
    <t>CUST_03652</t>
  </si>
  <si>
    <t>ORD_000454</t>
  </si>
  <si>
    <t>CUST_00454</t>
  </si>
  <si>
    <t>ORD_004603</t>
  </si>
  <si>
    <t>CUST_04603</t>
  </si>
  <si>
    <t>ORD_002337</t>
  </si>
  <si>
    <t>CUST_02337</t>
  </si>
  <si>
    <t>ORD_003200</t>
  </si>
  <si>
    <t>CUST_03200</t>
  </si>
  <si>
    <t>ORD_001470</t>
  </si>
  <si>
    <t>CUST_01470</t>
  </si>
  <si>
    <t>ORD_000087</t>
  </si>
  <si>
    <t>CUST_00087</t>
  </si>
  <si>
    <t>ORD_003195</t>
  </si>
  <si>
    <t>CUST_03195</t>
  </si>
  <si>
    <t>ORD_001119</t>
  </si>
  <si>
    <t>CUST_01119</t>
  </si>
  <si>
    <t>ORD_001524</t>
  </si>
  <si>
    <t>CUST_01524</t>
  </si>
  <si>
    <t>ORD_001474</t>
  </si>
  <si>
    <t>CUST_01474</t>
  </si>
  <si>
    <t>ORD_003495</t>
  </si>
  <si>
    <t>CUST_03495</t>
  </si>
  <si>
    <t>ORD_002240</t>
  </si>
  <si>
    <t>CUST_02240</t>
  </si>
  <si>
    <t>ORD_000969</t>
  </si>
  <si>
    <t>CUST_00969</t>
  </si>
  <si>
    <t>ORD_000050</t>
  </si>
  <si>
    <t>CUST_00050</t>
  </si>
  <si>
    <t>ORD_004789</t>
  </si>
  <si>
    <t>CUST_04789</t>
  </si>
  <si>
    <t>ORD_004567</t>
  </si>
  <si>
    <t>CUST_04567</t>
  </si>
  <si>
    <t>ORD_002629</t>
  </si>
  <si>
    <t>CUST_02629</t>
  </si>
  <si>
    <t>ORD_004350</t>
  </si>
  <si>
    <t>CUST_04350</t>
  </si>
  <si>
    <t>ORD_002161</t>
  </si>
  <si>
    <t>CUST_02161</t>
  </si>
  <si>
    <t>ORD_003926</t>
  </si>
  <si>
    <t>CUST_03926</t>
  </si>
  <si>
    <t>ORD_004215</t>
  </si>
  <si>
    <t>CUST_04215</t>
  </si>
  <si>
    <t>ORD_002412</t>
  </si>
  <si>
    <t>CUST_02412</t>
  </si>
  <si>
    <t>ORD_004568</t>
  </si>
  <si>
    <t>CUST_04568</t>
  </si>
  <si>
    <t>ORD_000552</t>
  </si>
  <si>
    <t>CUST_00552</t>
  </si>
  <si>
    <t>Age Group</t>
  </si>
  <si>
    <t>Day_Name</t>
  </si>
  <si>
    <t>Row Labels</t>
  </si>
  <si>
    <t>Grand Total</t>
  </si>
  <si>
    <t>Sum of Total_Amount</t>
  </si>
  <si>
    <t>Gen X/Boomers</t>
  </si>
  <si>
    <t>Gen Z</t>
  </si>
  <si>
    <t>Millennials</t>
  </si>
  <si>
    <t>Average of Session_Duration_Minutes</t>
  </si>
  <si>
    <t>Average of Customer_Rating</t>
  </si>
  <si>
    <t>Count of Order_ID</t>
  </si>
  <si>
    <t>Summary Table</t>
  </si>
  <si>
    <t>Customer Demographic &amp; Spending</t>
  </si>
  <si>
    <t>Geographical &amp; Product Insights</t>
  </si>
  <si>
    <t xml:space="preserve">City </t>
  </si>
  <si>
    <t>Total Amount</t>
  </si>
  <si>
    <t>Payment Method Analysis</t>
  </si>
  <si>
    <t>Sum Total-Amount</t>
  </si>
  <si>
    <t>Avg_Rating</t>
  </si>
  <si>
    <t>Count_orderID</t>
  </si>
  <si>
    <t>avg _Session</t>
  </si>
  <si>
    <t>Enter Order ID</t>
  </si>
  <si>
    <t>Customer Name</t>
  </si>
  <si>
    <t>Amount</t>
  </si>
  <si>
    <t>Category</t>
  </si>
  <si>
    <t>Total Product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</si>
</sst>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1">
    <font>
      <sz val="11"/>
      <color theme="1"/>
      <name val="Calibri"/>
      <charset val="134"/>
      <scheme val="minor"/>
    </font>
    <font>
      <sz val="11"/>
      <color theme="1"/>
      <name val="Calibri"/>
      <family val="2"/>
      <scheme val="minor"/>
    </font>
    <font>
      <b/>
      <sz val="11"/>
      <color theme="1"/>
      <name val="Calibri"/>
      <family val="2"/>
      <scheme val="minor"/>
    </font>
    <font>
      <b/>
      <i/>
      <sz val="14"/>
      <color theme="1"/>
      <name val="Calibri"/>
      <family val="2"/>
      <scheme val="minor"/>
    </font>
    <font>
      <sz val="11"/>
      <color theme="1"/>
      <name val="Calibri"/>
      <family val="2"/>
      <charset val="134"/>
      <scheme val="minor"/>
    </font>
    <font>
      <b/>
      <sz val="11"/>
      <color theme="1"/>
      <name val="Calibri"/>
      <charset val="134"/>
      <scheme val="minor"/>
    </font>
    <font>
      <sz val="11"/>
      <color theme="1"/>
      <name val="Arial"/>
      <family val="2"/>
    </font>
    <font>
      <sz val="11"/>
      <color theme="0"/>
      <name val="Calibri"/>
      <family val="2"/>
      <scheme val="minor"/>
    </font>
    <font>
      <b/>
      <sz val="18"/>
      <color theme="0"/>
      <name val="Calibri"/>
      <family val="2"/>
      <scheme val="minor"/>
    </font>
    <font>
      <sz val="18"/>
      <color theme="0"/>
      <name val="Calibri"/>
      <family val="2"/>
      <scheme val="minor"/>
    </font>
    <font>
      <sz val="20"/>
      <color theme="0"/>
      <name val="Calibri"/>
      <family val="2"/>
      <scheme val="minor"/>
    </font>
  </fonts>
  <fills count="5">
    <fill>
      <patternFill patternType="none"/>
    </fill>
    <fill>
      <patternFill patternType="gray125"/>
    </fill>
    <fill>
      <patternFill patternType="solid">
        <fgColor theme="4" tint="0.79995117038483843"/>
        <bgColor theme="4" tint="0.79995117038483843"/>
      </patternFill>
    </fill>
    <fill>
      <patternFill patternType="solid">
        <fgColor rgb="FF0F172A"/>
        <bgColor indexed="64"/>
      </patternFill>
    </fill>
    <fill>
      <patternFill patternType="solid">
        <fgColor theme="8" tint="0.59999389629810485"/>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thin">
        <color theme="4" tint="0.39994506668294322"/>
      </top>
      <bottom/>
      <diagonal/>
    </border>
  </borders>
  <cellStyleXfs count="1">
    <xf numFmtId="0" fontId="0" fillId="0" borderId="0">
      <alignment vertical="center"/>
    </xf>
  </cellStyleXfs>
  <cellXfs count="42">
    <xf numFmtId="0" fontId="0" fillId="0" borderId="0" xfId="0">
      <alignment vertical="center"/>
    </xf>
    <xf numFmtId="14" fontId="0" fillId="0" borderId="0" xfId="0" applyNumberFormat="1">
      <alignment vertical="center"/>
    </xf>
    <xf numFmtId="164" fontId="0" fillId="0" borderId="0" xfId="0" applyNumberFormat="1">
      <alignment vertical="center"/>
    </xf>
    <xf numFmtId="0" fontId="1" fillId="0" borderId="0" xfId="0" applyFont="1">
      <alignment vertical="center"/>
    </xf>
    <xf numFmtId="164" fontId="1" fillId="0" borderId="0" xfId="0" applyNumberFormat="1" applyFont="1">
      <alignment vertical="center"/>
    </xf>
    <xf numFmtId="0" fontId="0" fillId="0" borderId="0" xfId="0" applyAlignment="1">
      <alignment horizontal="center" vertical="center"/>
    </xf>
    <xf numFmtId="164" fontId="0" fillId="0" borderId="0" xfId="0" applyNumberFormat="1" applyAlignment="1">
      <alignment horizontal="center" vertical="center"/>
    </xf>
    <xf numFmtId="0" fontId="3" fillId="0" borderId="0" xfId="0" applyFont="1">
      <alignment vertical="center"/>
    </xf>
    <xf numFmtId="0" fontId="2" fillId="0" borderId="0" xfId="0" applyFont="1">
      <alignment vertical="center"/>
    </xf>
    <xf numFmtId="0" fontId="3" fillId="0" borderId="8" xfId="0" applyFont="1" applyBorder="1">
      <alignment vertical="center"/>
    </xf>
    <xf numFmtId="0" fontId="5" fillId="2" borderId="10" xfId="0" applyFont="1" applyFill="1" applyBorder="1" applyAlignment="1">
      <alignment horizontal="left" vertical="center"/>
    </xf>
    <xf numFmtId="0" fontId="5" fillId="2" borderId="10" xfId="0" applyFont="1" applyFill="1" applyBorder="1">
      <alignment vertical="center"/>
    </xf>
    <xf numFmtId="0" fontId="0" fillId="3" borderId="0" xfId="0" applyFill="1">
      <alignment vertical="center"/>
    </xf>
    <xf numFmtId="2" fontId="0" fillId="0" borderId="0" xfId="0" applyNumberFormat="1">
      <alignment vertical="center"/>
    </xf>
    <xf numFmtId="2" fontId="1" fillId="0" borderId="0" xfId="0" applyNumberFormat="1" applyFont="1">
      <alignment vertical="center"/>
    </xf>
    <xf numFmtId="2" fontId="6" fillId="0" borderId="0" xfId="0" applyNumberFormat="1" applyFont="1">
      <alignment vertical="center"/>
    </xf>
    <xf numFmtId="0" fontId="4" fillId="0" borderId="0" xfId="0" applyFont="1" applyAlignment="1">
      <alignment horizontal="center" vertical="center"/>
    </xf>
    <xf numFmtId="0" fontId="8" fillId="3" borderId="0" xfId="0" applyFont="1" applyFill="1">
      <alignment vertical="center"/>
    </xf>
    <xf numFmtId="0" fontId="10" fillId="3" borderId="0" xfId="0" applyFont="1" applyFill="1">
      <alignment vertical="center"/>
    </xf>
    <xf numFmtId="0" fontId="0" fillId="3" borderId="7" xfId="0" applyFill="1" applyBorder="1">
      <alignment vertical="center"/>
    </xf>
    <xf numFmtId="0" fontId="9" fillId="3" borderId="0" xfId="0" applyFont="1" applyFill="1">
      <alignment vertical="center"/>
    </xf>
    <xf numFmtId="0" fontId="7" fillId="3" borderId="0" xfId="0" applyFont="1" applyFill="1">
      <alignment vertical="center"/>
    </xf>
    <xf numFmtId="0" fontId="0" fillId="0" borderId="9" xfId="0" applyBorder="1">
      <alignment vertical="center"/>
    </xf>
    <xf numFmtId="0" fontId="0" fillId="0" borderId="8" xfId="0" applyBorder="1">
      <alignment vertical="center"/>
    </xf>
    <xf numFmtId="0" fontId="0" fillId="0" borderId="8" xfId="0" pivotButton="1" applyBorder="1">
      <alignment vertical="center"/>
    </xf>
    <xf numFmtId="0" fontId="0" fillId="0" borderId="8" xfId="0" applyBorder="1" applyAlignment="1">
      <alignment horizontal="left" vertical="center"/>
    </xf>
    <xf numFmtId="0" fontId="2" fillId="0" borderId="8" xfId="0" applyFont="1" applyBorder="1">
      <alignment vertical="center"/>
    </xf>
    <xf numFmtId="0" fontId="0" fillId="0" borderId="0" xfId="0" applyAlignment="1">
      <alignment horizontal="lef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3" fillId="4" borderId="8"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9" xfId="0" applyFont="1" applyFill="1" applyBorder="1" applyAlignment="1">
      <alignment horizontal="center" vertical="center"/>
    </xf>
  </cellXfs>
  <cellStyles count="1">
    <cellStyle name="Normal" xfId="0" builtinId="0"/>
  </cellStyles>
  <dxfs count="101">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numFmt numFmtId="0" formatCode="General"/>
    </dxf>
    <dxf>
      <alignment horizontal="left" vertical="center" textRotation="0" wrapText="0" indent="0" justifyLastLine="0" shrinkToFit="0" readingOrder="0"/>
    </dxf>
    <dxf>
      <border outline="0">
        <bottom style="thin">
          <color theme="4" tint="0.39994506668294322"/>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rgb="FF1E293B"/>
        </patternFill>
      </fill>
    </dxf>
    <dxf>
      <fill>
        <patternFill>
          <bgColor rgb="FF1E293B"/>
        </patternFill>
      </fill>
    </dxf>
    <dxf>
      <font>
        <color rgb="FF0F172A"/>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6" defaultTableStyle="TableStylePreset3_Accent1" defaultPivotStyle="PivotStylePreset2_Accent1">
    <tableStyle name="TableStylePreset3_Accent1" pivot="0" count="7" xr9:uid="{59DB682C-5494-4EDE-A608-00C9E5F0F923}">
      <tableStyleElement type="wholeTable" dxfId="100"/>
      <tableStyleElement type="headerRow" dxfId="99"/>
      <tableStyleElement type="totalRow" dxfId="98"/>
      <tableStyleElement type="firstColumn" dxfId="97"/>
      <tableStyleElement type="lastColumn" dxfId="96"/>
      <tableStyleElement type="firstRowStripe" dxfId="95"/>
      <tableStyleElement type="firstColumnStripe" dxfId="94"/>
    </tableStyle>
    <tableStyle name="PivotStylePreset2_Accent1" table="0" count="10" xr9:uid="{267968C8-6FFD-4C36-ACC1-9EA1FD1885CA}">
      <tableStyleElement type="headerRow" dxfId="93"/>
      <tableStyleElement type="totalRow" dxfId="92"/>
      <tableStyleElement type="firstRowStripe" dxfId="91"/>
      <tableStyleElement type="firstColumnStripe" dxfId="90"/>
      <tableStyleElement type="firstSubtotalRow" dxfId="89"/>
      <tableStyleElement type="secondSubtotalRow" dxfId="88"/>
      <tableStyleElement type="firstRowSubheading" dxfId="87"/>
      <tableStyleElement type="secondRowSubheading" dxfId="86"/>
      <tableStyleElement type="pageFieldLabels" dxfId="85"/>
      <tableStyleElement type="pageFieldValues" dxfId="84"/>
    </tableStyle>
    <tableStyle name="Slicer Style 1" pivot="0" table="0" count="1" xr9:uid="{1756899D-480F-43D2-9797-D2927E70B91A}">
      <tableStyleElement type="wholeTable" dxfId="83"/>
    </tableStyle>
    <tableStyle name="Slicer Style 2" pivot="0" table="0" count="1" xr9:uid="{8B003330-AB30-422B-930B-705F59496CA9}"/>
    <tableStyle name="Slicer Style 3" pivot="0" table="0" count="1" xr9:uid="{BCBEA612-B918-4F42-B5C2-BF4409AA11B4}">
      <tableStyleElement type="wholeTable" dxfId="82"/>
    </tableStyle>
    <tableStyle name="Slicer Style 4" pivot="0" table="0" count="3" xr9:uid="{8A216308-FA9C-4410-BAA9-312BCAFE307C}">
      <tableStyleElement type="wholeTable" dxfId="81"/>
    </tableStyle>
  </tableStyles>
  <colors>
    <mruColors>
      <color rgb="FF0F172A"/>
      <color rgb="FF1E293B"/>
      <color rgb="FFF8FAFC"/>
      <color rgb="FF38BDF8"/>
      <color rgb="FF800000"/>
    </mruColors>
  </colors>
  <extLst>
    <ext xmlns:x14="http://schemas.microsoft.com/office/spreadsheetml/2009/9/main" uri="{46F421CA-312F-682f-3DD2-61675219B42D}">
      <x14:dxfs count="3">
        <dxf>
          <fill>
            <patternFill>
              <bgColor rgb="FF00B0F0"/>
            </patternFill>
          </fill>
        </dxf>
        <dxf>
          <fill>
            <patternFill>
              <bgColor theme="0" tint="-0.24994659260841701"/>
            </patternFill>
          </fill>
        </dxf>
        <dxf>
          <font>
            <color rgb="FF1E293B"/>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s>
        </x14:slicerStyle>
        <x14:slicerStyle name="Slicer Style 3"/>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[Nensy_ExcelDashboard.xlsx]Analysis!PivotTable11</c:name>
    <c:fmtId val="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rgbClr val="F8FAFC"/>
                </a:solidFill>
              </a:rPr>
              <a:t>Payment Method Analysis</a:t>
            </a:r>
          </a:p>
        </c:rich>
      </c:tx>
      <c:layout>
        <c:manualLayout>
          <c:xMode val="edge"/>
          <c:yMode val="edge"/>
          <c:x val="0.200497197847951"/>
          <c:y val="8.130150782248699E-3"/>
        </c:manualLayout>
      </c:layout>
      <c:overlay val="0"/>
      <c:spPr>
        <a:noFill/>
        <a:ln>
          <a:noFill/>
        </a:ln>
        <a:effectLst/>
      </c:sp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9303796880923644E-2"/>
              <c:y val="4.78032624956931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9303796880923644E-2"/>
              <c:y val="4.78032624956931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9303796880923644E-2"/>
              <c:y val="4.78032624956931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Lst>
        </c:dLbl>
      </c:pivotFmt>
      <c:pivotFmt>
        <c:idx val="2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690206427865996E-2"/>
              <c:y val="-2.80792104251602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Lst>
        </c:dLbl>
      </c:pivotFmt>
      <c:pivotFmt>
        <c:idx val="2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Analysis!$B$57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DFC-4DB4-B7DB-37AC6C89D8D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5DFC-4DB4-B7DB-37AC6C89D8D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5DFC-4DB4-B7DB-37AC6C89D8D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5DFC-4DB4-B7DB-37AC6C89D8D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5DFC-4DB4-B7DB-37AC6C89D8DC}"/>
              </c:ext>
            </c:extLst>
          </c:dPt>
          <c:dLbls>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 xmlns:c16="http://schemas.microsoft.com/office/drawing/2014/chart" uri="{C3380CC4-5D6E-409C-BE32-E72D297353CC}">
                  <c16:uniqueId val="{0000000D-5DFC-4DB4-B7DB-37AC6C89D8DC}"/>
                </c:ext>
              </c:extLst>
            </c:dLbl>
            <c:dLbl>
              <c:idx val="1"/>
              <c:layout>
                <c:manualLayout>
                  <c:x val="-2.690206427865996E-2"/>
                  <c:y val="-2.8079210425160279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 xmlns:c16="http://schemas.microsoft.com/office/drawing/2014/chart" uri="{C3380CC4-5D6E-409C-BE32-E72D297353CC}">
                  <c16:uniqueId val="{0000000F-5DFC-4DB4-B7DB-37AC6C89D8DC}"/>
                </c:ext>
              </c:extLst>
            </c:dLbl>
            <c:dLbl>
              <c:idx val="2"/>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DFC-4DB4-B7DB-37AC6C89D8DC}"/>
                </c:ext>
              </c:extLst>
            </c:dLbl>
            <c:dLbl>
              <c:idx val="3"/>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DFC-4DB4-B7DB-37AC6C89D8DC}"/>
                </c:ext>
              </c:extLst>
            </c:dLbl>
            <c:dLbl>
              <c:idx val="4"/>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DFC-4DB4-B7DB-37AC6C89D8D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Analysis!$A$58:$A$63</c:f>
              <c:strCache>
                <c:ptCount val="5"/>
                <c:pt idx="0">
                  <c:v>Bank Transfer</c:v>
                </c:pt>
                <c:pt idx="1">
                  <c:v>Cash on Delivery</c:v>
                </c:pt>
                <c:pt idx="2">
                  <c:v>Credit Card</c:v>
                </c:pt>
                <c:pt idx="3">
                  <c:v>Debit Card</c:v>
                </c:pt>
                <c:pt idx="4">
                  <c:v>Digital Wallet</c:v>
                </c:pt>
              </c:strCache>
            </c:strRef>
          </c:cat>
          <c:val>
            <c:numRef>
              <c:f>Analysis!$B$58:$B$63</c:f>
              <c:numCache>
                <c:formatCode>General</c:formatCode>
                <c:ptCount val="5"/>
                <c:pt idx="0">
                  <c:v>28</c:v>
                </c:pt>
                <c:pt idx="1">
                  <c:v>15</c:v>
                </c:pt>
                <c:pt idx="2">
                  <c:v>109</c:v>
                </c:pt>
                <c:pt idx="3">
                  <c:v>59</c:v>
                </c:pt>
                <c:pt idx="4">
                  <c:v>52</c:v>
                </c:pt>
              </c:numCache>
            </c:numRef>
          </c:val>
          <c:extLst>
            <c:ext xmlns:c16="http://schemas.microsoft.com/office/drawing/2014/chart" uri="{C3380CC4-5D6E-409C-BE32-E72D297353CC}">
              <c16:uniqueId val="{00000016-5DFC-4DB4-B7DB-37AC6C89D8DC}"/>
            </c:ext>
          </c:extLst>
        </c:ser>
        <c:dLbls>
          <c:dLblPos val="outEnd"/>
          <c:showLegendKey val="0"/>
          <c:showVal val="0"/>
          <c:showCatName val="1"/>
          <c:showSerName val="0"/>
          <c:showPercent val="0"/>
          <c:showBubbleSize val="0"/>
          <c:showLeaderLines val="1"/>
        </c:dLbls>
      </c:pie3DChart>
    </c:plotArea>
    <c:legend>
      <c:legendPos val="b"/>
      <c:overlay val="0"/>
      <c:txPr>
        <a:bodyPr/>
        <a:lstStyle/>
        <a:p>
          <a:pPr>
            <a:defRPr>
              <a:solidFill>
                <a:srgbClr val="F8FAFC"/>
              </a:solidFill>
            </a:defRPr>
          </a:pPr>
          <a:endParaRPr lang="en-US"/>
        </a:p>
      </c:txPr>
    </c:legend>
    <c:plotVisOnly val="1"/>
    <c:dispBlanksAs val="gap"/>
    <c:showDLblsOverMax val="0"/>
    <c:extLst/>
  </c:chart>
  <c:spPr>
    <a:noFill/>
    <a:ln>
      <a:noFill/>
    </a:ln>
    <a:effectLst>
      <a:outerShdw blurRad="50800" dist="38100" dir="5400000" algn="t" rotWithShape="0">
        <a:srgbClr val="F8FAF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[Nensy_ExcelDashboard.xlsx]Analysis!PivotTable7</c:name>
    <c:fmtId val="9"/>
  </c:pivotSource>
  <c:chart>
    <c:title>
      <c:tx>
        <c:rich>
          <a:bodyPr rot="0" spcFirstLastPara="1" vertOverflow="ellipsis" vert="horz" wrap="square" anchor="t" anchorCtr="0"/>
          <a:lstStyle/>
          <a:p>
            <a:pPr algn="ct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a:t>AGE</a:t>
            </a:r>
            <a:r>
              <a:rPr lang="en-IN" sz="1800" baseline="0"/>
              <a:t> GROUP SPENDING TIME</a:t>
            </a:r>
            <a:endParaRPr lang="en-IN" sz="1800"/>
          </a:p>
        </c:rich>
      </c:tx>
      <c:layout>
        <c:manualLayout>
          <c:xMode val="edge"/>
          <c:yMode val="edge"/>
          <c:x val="0.24600271915082803"/>
          <c:y val="0"/>
        </c:manualLayout>
      </c:layout>
      <c:overlay val="0"/>
      <c:spPr>
        <a:noFill/>
        <a:ln>
          <a:noFill/>
        </a:ln>
        <a:effectLst/>
      </c:spPr>
      <c:txPr>
        <a:bodyPr rot="0" spcFirstLastPara="1" vertOverflow="ellipsis" vert="horz" wrap="square" anchor="t" anchorCtr="0"/>
        <a:lstStyle/>
        <a:p>
          <a:pPr algn="ct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48293963254"/>
          <c:y val="0.13054753572470107"/>
          <c:w val="0.78453258967629047"/>
          <c:h val="0.78520122484689414"/>
        </c:manualLayout>
      </c:layout>
      <c:barChart>
        <c:barDir val="col"/>
        <c:grouping val="clustered"/>
        <c:varyColors val="0"/>
        <c:ser>
          <c:idx val="1"/>
          <c:order val="1"/>
          <c:tx>
            <c:strRef>
              <c:f>Analysis!$C$12</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Analysis!$A$13:$A$16</c:f>
              <c:strCache>
                <c:ptCount val="3"/>
                <c:pt idx="0">
                  <c:v>Gen X/Boomers</c:v>
                </c:pt>
                <c:pt idx="1">
                  <c:v>Gen Z</c:v>
                </c:pt>
                <c:pt idx="2">
                  <c:v>Millennials</c:v>
                </c:pt>
              </c:strCache>
            </c:strRef>
          </c:cat>
          <c:val>
            <c:numRef>
              <c:f>Analysis!$C$13:$C$16</c:f>
              <c:numCache>
                <c:formatCode>General</c:formatCode>
                <c:ptCount val="3"/>
                <c:pt idx="0">
                  <c:v>67035.900000000023</c:v>
                </c:pt>
                <c:pt idx="1">
                  <c:v>43405.099999999991</c:v>
                </c:pt>
                <c:pt idx="2">
                  <c:v>148039.27000000008</c:v>
                </c:pt>
              </c:numCache>
            </c:numRef>
          </c:val>
          <c:extLst>
            <c:ext xmlns:c16="http://schemas.microsoft.com/office/drawing/2014/chart" uri="{C3380CC4-5D6E-409C-BE32-E72D297353CC}">
              <c16:uniqueId val="{00000000-65AE-44D6-A3AC-6F948A1D81A9}"/>
            </c:ext>
          </c:extLst>
        </c:ser>
        <c:dLbls>
          <c:showLegendKey val="0"/>
          <c:showVal val="0"/>
          <c:showCatName val="0"/>
          <c:showSerName val="0"/>
          <c:showPercent val="0"/>
          <c:showBubbleSize val="0"/>
        </c:dLbls>
        <c:gapWidth val="269"/>
        <c:axId val="630192848"/>
        <c:axId val="630196088"/>
      </c:barChart>
      <c:lineChart>
        <c:grouping val="standard"/>
        <c:varyColors val="0"/>
        <c:ser>
          <c:idx val="0"/>
          <c:order val="0"/>
          <c:tx>
            <c:strRef>
              <c:f>Analysis!$B$12</c:f>
              <c:strCache>
                <c:ptCount val="1"/>
                <c:pt idx="0">
                  <c:v>Average of Session_Duration_Minutes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Analysis!$A$13:$A$16</c:f>
              <c:strCache>
                <c:ptCount val="3"/>
                <c:pt idx="0">
                  <c:v>Gen X/Boomers</c:v>
                </c:pt>
                <c:pt idx="1">
                  <c:v>Gen Z</c:v>
                </c:pt>
                <c:pt idx="2">
                  <c:v>Millennials</c:v>
                </c:pt>
              </c:strCache>
            </c:strRef>
          </c:cat>
          <c:val>
            <c:numRef>
              <c:f>Analysis!$B$13:$B$16</c:f>
              <c:numCache>
                <c:formatCode>General</c:formatCode>
                <c:ptCount val="3"/>
                <c:pt idx="0">
                  <c:v>12.296296296296296</c:v>
                </c:pt>
                <c:pt idx="1">
                  <c:v>16.632653061224488</c:v>
                </c:pt>
                <c:pt idx="2">
                  <c:v>14.324999999999999</c:v>
                </c:pt>
              </c:numCache>
            </c:numRef>
          </c:val>
          <c:smooth val="1"/>
          <c:extLst>
            <c:ext xmlns:c16="http://schemas.microsoft.com/office/drawing/2014/chart" uri="{C3380CC4-5D6E-409C-BE32-E72D297353CC}">
              <c16:uniqueId val="{00000001-65AE-44D6-A3AC-6F948A1D81A9}"/>
            </c:ext>
          </c:extLst>
        </c:ser>
        <c:dLbls>
          <c:showLegendKey val="0"/>
          <c:showVal val="0"/>
          <c:showCatName val="0"/>
          <c:showSerName val="0"/>
          <c:showPercent val="0"/>
          <c:showBubbleSize val="0"/>
        </c:dLbls>
        <c:marker val="1"/>
        <c:smooth val="0"/>
        <c:axId val="630201128"/>
        <c:axId val="630200768"/>
      </c:lineChart>
      <c:catAx>
        <c:axId val="630192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196088"/>
        <c:crosses val="autoZero"/>
        <c:auto val="1"/>
        <c:lblAlgn val="ctr"/>
        <c:lblOffset val="100"/>
        <c:noMultiLvlLbl val="0"/>
      </c:catAx>
      <c:valAx>
        <c:axId val="6301960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192848"/>
        <c:crosses val="autoZero"/>
        <c:crossBetween val="between"/>
      </c:valAx>
      <c:valAx>
        <c:axId val="6302007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201128"/>
        <c:crosses val="max"/>
        <c:crossBetween val="between"/>
      </c:valAx>
      <c:catAx>
        <c:axId val="630201128"/>
        <c:scaling>
          <c:orientation val="minMax"/>
        </c:scaling>
        <c:delete val="0"/>
        <c:axPos val="t"/>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020076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0800" dist="38100" dir="5400000" algn="t" rotWithShape="0">
        <a:srgbClr val="F8FAF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[Nensy_ExcelDashboard.xlsx]Analysis!PivotTable12</c:name>
    <c:fmtId val="1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cATEGORY</a:t>
            </a:r>
            <a:r>
              <a:rPr lang="en-US" baseline="0"/>
              <a:t> TOTAL</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Analysis!$B$72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Analysis!$A$73:$A$81</c:f>
              <c:strCache>
                <c:ptCount val="8"/>
                <c:pt idx="0">
                  <c:v>Beauty</c:v>
                </c:pt>
                <c:pt idx="1">
                  <c:v>Books</c:v>
                </c:pt>
                <c:pt idx="2">
                  <c:v>Electronics</c:v>
                </c:pt>
                <c:pt idx="3">
                  <c:v>Fashion</c:v>
                </c:pt>
                <c:pt idx="4">
                  <c:v>Food</c:v>
                </c:pt>
                <c:pt idx="5">
                  <c:v>Home &amp; Garden</c:v>
                </c:pt>
                <c:pt idx="6">
                  <c:v>Sports</c:v>
                </c:pt>
                <c:pt idx="7">
                  <c:v>Toys</c:v>
                </c:pt>
              </c:strCache>
            </c:strRef>
          </c:cat>
          <c:val>
            <c:numRef>
              <c:f>Analysis!$B$73:$B$81</c:f>
              <c:numCache>
                <c:formatCode>General</c:formatCode>
                <c:ptCount val="8"/>
                <c:pt idx="0">
                  <c:v>6104.03</c:v>
                </c:pt>
                <c:pt idx="1">
                  <c:v>3007.4499999999994</c:v>
                </c:pt>
                <c:pt idx="2">
                  <c:v>125871.37000000001</c:v>
                </c:pt>
                <c:pt idx="3">
                  <c:v>14785.910000000002</c:v>
                </c:pt>
                <c:pt idx="4">
                  <c:v>5478.16</c:v>
                </c:pt>
                <c:pt idx="5">
                  <c:v>44427.409999999996</c:v>
                </c:pt>
                <c:pt idx="6">
                  <c:v>48987.439999999995</c:v>
                </c:pt>
                <c:pt idx="7">
                  <c:v>9818.5</c:v>
                </c:pt>
              </c:numCache>
            </c:numRef>
          </c:val>
          <c:extLst>
            <c:ext xmlns:c16="http://schemas.microsoft.com/office/drawing/2014/chart" uri="{C3380CC4-5D6E-409C-BE32-E72D297353CC}">
              <c16:uniqueId val="{00000000-97D2-4F09-80E8-5B4A5157A9BC}"/>
            </c:ext>
          </c:extLst>
        </c:ser>
        <c:dLbls>
          <c:showLegendKey val="0"/>
          <c:showVal val="1"/>
          <c:showCatName val="0"/>
          <c:showSerName val="0"/>
          <c:showPercent val="0"/>
          <c:showBubbleSize val="0"/>
        </c:dLbls>
        <c:gapWidth val="84"/>
        <c:gapDepth val="53"/>
        <c:shape val="box"/>
        <c:axId val="663821168"/>
        <c:axId val="663815768"/>
        <c:axId val="0"/>
      </c:bar3DChart>
      <c:catAx>
        <c:axId val="66382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3815768"/>
        <c:crosses val="autoZero"/>
        <c:auto val="1"/>
        <c:lblAlgn val="ctr"/>
        <c:lblOffset val="100"/>
        <c:noMultiLvlLbl val="0"/>
      </c:catAx>
      <c:valAx>
        <c:axId val="663815768"/>
        <c:scaling>
          <c:orientation val="minMax"/>
        </c:scaling>
        <c:delete val="1"/>
        <c:axPos val="l"/>
        <c:numFmt formatCode="General" sourceLinked="1"/>
        <c:majorTickMark val="out"/>
        <c:minorTickMark val="none"/>
        <c:tickLblPos val="nextTo"/>
        <c:crossAx val="6638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a:outerShdw blurRad="50800" dist="38100" dir="5400000" algn="t" rotWithShape="0">
        <a:srgbClr val="F8FAFC">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[Nensy_ExcelDashboard.xlsx]Analysis!PivotTable7</c:name>
    <c:fmtId val="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3648293963254"/>
          <c:y val="0.13054753572470107"/>
          <c:w val="0.78453258967629047"/>
          <c:h val="0.78520122484689414"/>
        </c:manualLayout>
      </c:layout>
      <c:barChart>
        <c:barDir val="col"/>
        <c:grouping val="clustered"/>
        <c:varyColors val="0"/>
        <c:ser>
          <c:idx val="1"/>
          <c:order val="1"/>
          <c:tx>
            <c:strRef>
              <c:f>Analysis!$C$12</c:f>
              <c:strCache>
                <c:ptCount val="1"/>
                <c:pt idx="0">
                  <c:v>Sum of Total_Amount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Analysis!$A$13:$A$16</c:f>
              <c:strCache>
                <c:ptCount val="3"/>
                <c:pt idx="0">
                  <c:v>Gen X/Boomers</c:v>
                </c:pt>
                <c:pt idx="1">
                  <c:v>Gen Z</c:v>
                </c:pt>
                <c:pt idx="2">
                  <c:v>Millennials</c:v>
                </c:pt>
              </c:strCache>
            </c:strRef>
          </c:cat>
          <c:val>
            <c:numRef>
              <c:f>Analysis!$C$13:$C$16</c:f>
              <c:numCache>
                <c:formatCode>General</c:formatCode>
                <c:ptCount val="3"/>
                <c:pt idx="0">
                  <c:v>67035.900000000023</c:v>
                </c:pt>
                <c:pt idx="1">
                  <c:v>43405.099999999991</c:v>
                </c:pt>
                <c:pt idx="2">
                  <c:v>148039.27000000008</c:v>
                </c:pt>
              </c:numCache>
            </c:numRef>
          </c:val>
          <c:extLst>
            <c:ext xmlns:c16="http://schemas.microsoft.com/office/drawing/2014/chart" uri="{C3380CC4-5D6E-409C-BE32-E72D297353CC}">
              <c16:uniqueId val="{00000000-AFA7-4BB3-9C2D-96E2BF8678A1}"/>
            </c:ext>
          </c:extLst>
        </c:ser>
        <c:dLbls>
          <c:showLegendKey val="0"/>
          <c:showVal val="0"/>
          <c:showCatName val="0"/>
          <c:showSerName val="0"/>
          <c:showPercent val="0"/>
          <c:showBubbleSize val="0"/>
        </c:dLbls>
        <c:gapWidth val="269"/>
        <c:axId val="630192848"/>
        <c:axId val="630196088"/>
      </c:barChart>
      <c:lineChart>
        <c:grouping val="standard"/>
        <c:varyColors val="0"/>
        <c:ser>
          <c:idx val="0"/>
          <c:order val="0"/>
          <c:tx>
            <c:strRef>
              <c:f>Analysis!$B$12</c:f>
              <c:strCache>
                <c:ptCount val="1"/>
                <c:pt idx="0">
                  <c:v>Average of Session_Duration_Minutes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Analysis!$A$13:$A$16</c:f>
              <c:strCache>
                <c:ptCount val="3"/>
                <c:pt idx="0">
                  <c:v>Gen X/Boomers</c:v>
                </c:pt>
                <c:pt idx="1">
                  <c:v>Gen Z</c:v>
                </c:pt>
                <c:pt idx="2">
                  <c:v>Millennials</c:v>
                </c:pt>
              </c:strCache>
            </c:strRef>
          </c:cat>
          <c:val>
            <c:numRef>
              <c:f>Analysis!$B$13:$B$16</c:f>
              <c:numCache>
                <c:formatCode>General</c:formatCode>
                <c:ptCount val="3"/>
                <c:pt idx="0">
                  <c:v>12.296296296296296</c:v>
                </c:pt>
                <c:pt idx="1">
                  <c:v>16.632653061224488</c:v>
                </c:pt>
                <c:pt idx="2">
                  <c:v>14.324999999999999</c:v>
                </c:pt>
              </c:numCache>
            </c:numRef>
          </c:val>
          <c:smooth val="1"/>
          <c:extLst>
            <c:ext xmlns:c16="http://schemas.microsoft.com/office/drawing/2014/chart" uri="{C3380CC4-5D6E-409C-BE32-E72D297353CC}">
              <c16:uniqueId val="{00000001-AFA7-4BB3-9C2D-96E2BF8678A1}"/>
            </c:ext>
          </c:extLst>
        </c:ser>
        <c:dLbls>
          <c:showLegendKey val="0"/>
          <c:showVal val="0"/>
          <c:showCatName val="0"/>
          <c:showSerName val="0"/>
          <c:showPercent val="0"/>
          <c:showBubbleSize val="0"/>
        </c:dLbls>
        <c:marker val="1"/>
        <c:smooth val="0"/>
        <c:axId val="630201128"/>
        <c:axId val="630200768"/>
      </c:lineChart>
      <c:catAx>
        <c:axId val="63019284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96088"/>
        <c:crosses val="autoZero"/>
        <c:auto val="1"/>
        <c:lblAlgn val="ctr"/>
        <c:lblOffset val="100"/>
        <c:noMultiLvlLbl val="0"/>
      </c:catAx>
      <c:valAx>
        <c:axId val="630196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192848"/>
        <c:crosses val="autoZero"/>
        <c:crossBetween val="between"/>
      </c:valAx>
      <c:valAx>
        <c:axId val="6302007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01128"/>
        <c:crosses val="max"/>
        <c:crossBetween val="between"/>
      </c:valAx>
      <c:catAx>
        <c:axId val="630201128"/>
        <c:scaling>
          <c:orientation val="minMax"/>
        </c:scaling>
        <c:delete val="0"/>
        <c:axPos val="t"/>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00768"/>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[Nensy_ExcelDashboard.xlsx]Analysis!PivotTable11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Payment Method Analysis</a:t>
            </a:r>
            <a:endParaRPr lang="en-US"/>
          </a:p>
        </c:rich>
      </c:tx>
      <c:layout>
        <c:manualLayout>
          <c:xMode val="edge"/>
          <c:yMode val="edge"/>
          <c:x val="0.200497197847951"/>
          <c:y val="8.130150782248699E-3"/>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9303796880923644E-2"/>
              <c:y val="4.78032624956931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Analysis!$B$57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2643-49B8-BAFC-05E45DB1425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643-49B8-BAFC-05E45DB1425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2643-49B8-BAFC-05E45DB1425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643-49B8-BAFC-05E45DB1425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2643-49B8-BAFC-05E45DB1425B}"/>
              </c:ext>
            </c:extLst>
          </c:dPt>
          <c:dLbls>
            <c:dLbl>
              <c:idx val="0"/>
              <c:layout>
                <c:manualLayout>
                  <c:x val="-0.1320275156850671"/>
                  <c:y val="1.45852157997073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9501704317838897"/>
                      <c:h val="0.20036882974305781"/>
                    </c:manualLayout>
                  </c15:layout>
                </c:ext>
                <c:ext xmlns:c16="http://schemas.microsoft.com/office/drawing/2014/chart" uri="{C3380CC4-5D6E-409C-BE32-E72D297353CC}">
                  <c16:uniqueId val="{00000002-2643-49B8-BAFC-05E45DB1425B}"/>
                </c:ext>
              </c:extLst>
            </c:dLbl>
            <c:dLbl>
              <c:idx val="1"/>
              <c:layout>
                <c:manualLayout>
                  <c:x val="-8.9303796880923644E-2"/>
                  <c:y val="4.7803262495693173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6069789150050809"/>
                      <c:h val="0.22416320471075515"/>
                    </c:manualLayout>
                  </c15:layout>
                </c:ext>
                <c:ext xmlns:c16="http://schemas.microsoft.com/office/drawing/2014/chart" uri="{C3380CC4-5D6E-409C-BE32-E72D297353CC}">
                  <c16:uniqueId val="{00000003-2643-49B8-BAFC-05E45DB1425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Analysis!$A$58:$A$63</c:f>
              <c:strCache>
                <c:ptCount val="5"/>
                <c:pt idx="0">
                  <c:v>Bank Transfer</c:v>
                </c:pt>
                <c:pt idx="1">
                  <c:v>Cash on Delivery</c:v>
                </c:pt>
                <c:pt idx="2">
                  <c:v>Credit Card</c:v>
                </c:pt>
                <c:pt idx="3">
                  <c:v>Debit Card</c:v>
                </c:pt>
                <c:pt idx="4">
                  <c:v>Digital Wallet</c:v>
                </c:pt>
              </c:strCache>
            </c:strRef>
          </c:cat>
          <c:val>
            <c:numRef>
              <c:f>Analysis!$B$58:$B$63</c:f>
              <c:numCache>
                <c:formatCode>General</c:formatCode>
                <c:ptCount val="5"/>
                <c:pt idx="0">
                  <c:v>28</c:v>
                </c:pt>
                <c:pt idx="1">
                  <c:v>15</c:v>
                </c:pt>
                <c:pt idx="2">
                  <c:v>109</c:v>
                </c:pt>
                <c:pt idx="3">
                  <c:v>59</c:v>
                </c:pt>
                <c:pt idx="4">
                  <c:v>52</c:v>
                </c:pt>
              </c:numCache>
            </c:numRef>
          </c:val>
          <c:extLst>
            <c:ext xmlns:c16="http://schemas.microsoft.com/office/drawing/2014/chart" uri="{C3380CC4-5D6E-409C-BE32-E72D297353CC}">
              <c16:uniqueId val="{00000000-2643-49B8-BAFC-05E45DB1425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[Nensy_ExcelDashboard.xlsx]Analysis!PivotTable12</c:name>
    <c:fmtId val="1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Analysis!$B$72</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Analysis!$A$73:$A$81</c:f>
              <c:strCache>
                <c:ptCount val="8"/>
                <c:pt idx="0">
                  <c:v>Beauty</c:v>
                </c:pt>
                <c:pt idx="1">
                  <c:v>Books</c:v>
                </c:pt>
                <c:pt idx="2">
                  <c:v>Electronics</c:v>
                </c:pt>
                <c:pt idx="3">
                  <c:v>Fashion</c:v>
                </c:pt>
                <c:pt idx="4">
                  <c:v>Food</c:v>
                </c:pt>
                <c:pt idx="5">
                  <c:v>Home &amp; Garden</c:v>
                </c:pt>
                <c:pt idx="6">
                  <c:v>Sports</c:v>
                </c:pt>
                <c:pt idx="7">
                  <c:v>Toys</c:v>
                </c:pt>
              </c:strCache>
            </c:strRef>
          </c:cat>
          <c:val>
            <c:numRef>
              <c:f>Analysis!$B$73:$B$81</c:f>
              <c:numCache>
                <c:formatCode>General</c:formatCode>
                <c:ptCount val="8"/>
                <c:pt idx="0">
                  <c:v>6104.03</c:v>
                </c:pt>
                <c:pt idx="1">
                  <c:v>3007.4499999999994</c:v>
                </c:pt>
                <c:pt idx="2">
                  <c:v>125871.37000000001</c:v>
                </c:pt>
                <c:pt idx="3">
                  <c:v>14785.910000000002</c:v>
                </c:pt>
                <c:pt idx="4">
                  <c:v>5478.16</c:v>
                </c:pt>
                <c:pt idx="5">
                  <c:v>44427.409999999996</c:v>
                </c:pt>
                <c:pt idx="6">
                  <c:v>48987.439999999995</c:v>
                </c:pt>
                <c:pt idx="7">
                  <c:v>9818.5</c:v>
                </c:pt>
              </c:numCache>
            </c:numRef>
          </c:val>
          <c:extLst>
            <c:ext xmlns:c16="http://schemas.microsoft.com/office/drawing/2014/chart" uri="{C3380CC4-5D6E-409C-BE32-E72D297353CC}">
              <c16:uniqueId val="{00000000-F86E-4E2B-AD3F-1D126AE264AE}"/>
            </c:ext>
          </c:extLst>
        </c:ser>
        <c:dLbls>
          <c:showLegendKey val="0"/>
          <c:showVal val="0"/>
          <c:showCatName val="0"/>
          <c:showSerName val="0"/>
          <c:showPercent val="0"/>
          <c:showBubbleSize val="0"/>
        </c:dLbls>
        <c:gapWidth val="150"/>
        <c:gapDepth val="0"/>
        <c:shape val="box"/>
        <c:axId val="663821168"/>
        <c:axId val="663815768"/>
        <c:axId val="0"/>
      </c:bar3DChart>
      <c:catAx>
        <c:axId val="66382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15768"/>
        <c:crosses val="autoZero"/>
        <c:auto val="1"/>
        <c:lblAlgn val="ctr"/>
        <c:lblOffset val="100"/>
        <c:noMultiLvlLbl val="0"/>
      </c:catAx>
      <c:valAx>
        <c:axId val="66381576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8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b="1"/>
              <a:t>Geographic Sales Distribution</a:t>
            </a:r>
            <a:r>
              <a:rPr lang="en-IN"/>
              <a:t> </a:t>
            </a:r>
            <a:endParaRPr lang="en-US" sz="1400" b="0" i="0" u="none" strike="noStrike" baseline="0">
              <a:solidFill>
                <a:sysClr val="windowText" lastClr="000000">
                  <a:lumMod val="65000"/>
                  <a:lumOff val="35000"/>
                </a:sysClr>
              </a:solidFill>
              <a:latin typeface="Calibri"/>
            </a:endParaRPr>
          </a:p>
        </cx:rich>
      </cx:tx>
    </cx:title>
    <cx:plotArea>
      <cx:plotAreaRegion>
        <cx:plotSurface>
          <cx:spPr>
            <a:effectLst>
              <a:outerShdw blurRad="50800" dist="38100" dir="13500000" algn="br" rotWithShape="0">
                <a:prstClr val="black">
                  <a:alpha val="40000"/>
                </a:prstClr>
              </a:outerShdw>
            </a:effectLst>
          </cx:spPr>
        </cx:plotSurface>
        <cx:series layoutId="regionMap" uniqueId="{DC4023FE-DFA7-4B27-8286-C72D78952F20}">
          <cx:tx>
            <cx:txData>
              <cx:f>_xlchart.v5.2</cx:f>
              <cx:v>Total Amount</cx:v>
            </cx:txData>
          </cx:tx>
          <cx:dataId val="0"/>
          <cx:layoutPr>
            <cx:regionLabelLayout val="showAll"/>
            <cx:geography viewedRegionType="countryRegion" cultureLanguage="en-US" cultureRegion="IN" attribution="Powered by Bing">
              <cx:geoCache provider="{E9337A44-BEBE-4D9F-B70C-5C5E7DAFC167}">
                <cx:binary>7Htbb924suZfaeR55Oad1MbuDQyldfPdjhMneRHcjq0rRUmUqMufOY/zeuZ93s6e/zW1Yiex3Uln
N6YPcBo4QZBgiYsSVUVWfd9Xtf5+O/3ttrq76X6aTFW7v91Ov7zK+r75288/u9vszty4A5PfdtbZ
+/7g1pqf7f19fnv388fuZszr9GeCMPv5Nrvp+rvp1T/+DndL7+yxvb3pc1tfDHfdfHnnhqp3vzP2
zaGfbj6avI5z13f5bY9/efU/P97UN69+uqv7vJ+v5ubul1fPvvLqp59f3ug3D/2pgnX1w0eYS8VB
qKjESonw0x/56qfK1unnYX5ASaiwkvTzM09vDMz74TI+LeLm48fuzjl4iU//f5n2bMVfrt7aoe73
lkrBaL+8uvqP/9OV+Xz36qfc2ehhLLL7RV9dfnrLn5+b+R9/f3EB3vvFlSeeeGmkHw391hF1edP9
mZ4ID1QoOJgao09/yHNPkAMlcCiJQl8c9bAJHh3yw+V8xyOP81665PHyX80n/U01/5lOEQdwMmiI
hHqwevjcKegAvMXgdDyeHhh+7pQfrud7Xnmc+Bu3PF7/a/ll093UH3+6srD4zwb6Xuj6Tzyxeujc
n7g3GDrAiktF6ePeeB46SXiAuBACi8cD+2Jv/HA1394Zj9Ne7IvHq3+tXbFbTN79aD88j/G/m8rU
AYPoSRgS3wqgRB5gEsIQh8D69JD+899/tI5ve+LzvBeu+Hz5r+WLlStzd5f9qf4ID6REUjLFHvyB
X8ZOjmWoEFfP/bFfyv/9tx+t5ds+eTr3hV+eDv21fLO5WfKbur9rPtvpe7HzD5wVeYAEVwyLx8QF
PngK++QBlQLJkD8eJXDd0yPzL63o2x56MvWFg56M/LX8s3P9Tf3r8MPU9q+7h+EDBMEqFOJFTlEH
oWRwaPAjGnmRU/6VlXzbLV9nvvDK14G/llOObmZ31+Wf9+2fcGTUgSREqlDyB+O/ODL8gKkQMfQZ
Cr6Iav/Cer7tmS8TXzjmy/W/mF9s/acCdHkAhAlCGaXfSvqUHLBQhVzx8EsOehrIjn60mu/45GHa
S488XP2v7Y/vru7BLA/n5NmX/qiiADEKDgLn4tEjoBw8TS1wTigliAn++Ww+ENivdP/7K/m2N77O
fLbu/3wF4ftc5QtOjW/6m9UnreaJwPD7o59eEuSjF1MfE/A3A9mDxXYff3kVEsbB/E98tr/Ns+T9
z3//j/919yVZPZt0d+N60IT4AZYEzotSHKFQCvHqp/Hu0wg54BzYjsKADTDCHEZq2/UZTJIHTCA4
bKBPKMwYB7c7O3waEpDNpIJRTDjcDmZ9fsdzW82prb8Y5PHzT/Vgzm1e9+6XV0QB+GgevrdfrCQc
oizjCmGqYAUQcGH89uYSdDj4Ov4fQzJa1pUViRTqytUwJsdzz1BEsoqedi16s6h6yHTY9o5FiSjJ
W9PONiqDcjoqejmtIFykd7idXOQcekcmMmlbY7GRRZBuJ5MVkU3GdzVl/YpWksRibrcS8+W+4n2n
uxlPlwvt73FbXCIR0FaPRdVESSbcMYFYlOmyMcVh0iZGp02qVlwMQ1zI9I53YCQdjCJdm/kyG8nV
WOdd5JKuioOkkSfTZC/zRsXlcuLD+b5n6hjnHp/IspUxWcJK0yJ/66u01oWcW935kL2WQ2MO50UV
h0uQ8rNe8ogMKogSVIRR0ZX1OwxvXg9lcV4MQReppuqjkrDglCe9O2WiS3VaFdmKB46v2kEMGyTy
D2PfbWGDhNu5at/iVl6b2k56JuLMmHadOt+t5qK94HX9az0jGdEmOFMVTmKcNMFRHbTtbT4s9Nwt
hp91Y9tVOl2UiW1gL8SYVm/HkLLjfp663WjT9WRRrb1UYD1eVtrUJt10NcviOgiyTHcKz5rlpjvj
VCqmQ0fcXdLP80qU4RXibNJDW4Zg3Cm9UmYIIpY2XVT4IY+MGNtBO9ENJ3XCu2PU5zQqqUrWkzeZ
dh6P57wdqNVdWZob7l2rB7t0qxql4AvVFJpkItCucqTUU96rk7Ruz5BsjiXKli1cXjd9Mwzr0E3F
ISnFeBckw0YqboUWQUZ2c8Xk6ZLKoV7xcCzjrCyXXiPrzWpsxzy2ZdgUEUvUuM5HAa4ow3kliy7c
FgJrizu1U8XMSz32AY1EHbpo8eau7JSKqe3SdzbgfuedH2LEC7PKBtyDe/yymvmwwDNcuup6k67S
HLVvs3RIYkHnN3OW16ejUMOo58rKaj3CQU51lS59nPVBuebcqBVJG5RqP0tymVWLELooU7Xm4ZQd
hUXINzXkxY0p09DoWnq+SlQ3vMnKIL8qsMdnyzRNW8Ylf93NkoXaU7YLRHbc51UwRjUtw0JjQ8v7
FrVJF5G+nKye01bZc9Q1yzkpFqHWYxq6yzSsHHgcl0Wlc9HLAU4qsR/Sdqjet2VefUwZcjdM+L7X
ZYpIF6VBYX91zk7NZralM+/7YiJYyzBDFx0ZzUVaFjmPB8rHVDvbTmplUEVNNMxZlUesrhCJkkZk
6Wlrc/bRK7hfOrTZlVlYDd5zAvvVwIre7EyCR/mhLofM62IuaqzdQk0XjYJ0Zm1VPvabzo/qughb
m0YoxPW0TtuuketWtabWuOrqUqdJ55Hu2ETS2Mw0y+NkzLpBM0/gZv3sSRFPOS28Htg4z5onc4Ug
3Jk21LWRC9U0IBM/6kxG8NrROhrasXyfI0LUaTZYI9cdYzO7SEXhyIokvptWSxEELAoXMmUXsk1w
eDSFviavHU2LdzxJ3XbiPa41FUgwPQ6Bl3AcAZWtfG8N060heaH9ULdT3KWVPXNtViSbwCT5+kmy
+kb830f3Z9FfMEa4IgJh+IciwNlPoz+E8iGd6/1iVZ8fLnNY7lBtQ503aD7yFerjT897zN2PD3xI
QLe2mbs8zR7LNF8+/uPkc+3nU0Hh6/V9oefrpytr4O/vfuW7N9ov58udYDWPy9sn72cffoMlPmfS
F2jhodz0ncF/GUqwkIB5vxSUfgMlvpLDZwjkYdoDmAAZNOSYylCCoLBHE8BoH8AECHIhXP6KM2Dk
EUwA/wWYQRmIqyHlnAkANI9gAlRXhSjmEIhgKg4BZ3x+y2e+BAD1jc1EGDzk2XZinOwlEEAlTFBI
Zy/ARBn0VJTpzCLWBm/EQOIuqKm2o8jj0SG0oYHzmjqrlZ1anU/dvdxDiDKjh0lHdSi782xutt2Y
5WsmUhf3i8Q6DMwJW7JmNXAPwS2bo7IlzVYVvNJhvRi9kPHXuhrf9Nl8EsDZW5UBvmdDPq6KzFar
DufXLbVyx/LCR9lc3YYJtRtXhUTjokiiuobMVc+ijzFXvRbe3lUZ9nqS9l0RiuGQL2Wp60Ru83xG
cTYofNwltjm2vLxJWm+1n4YxlpUZjnuPK215CvmwU36dZPy8ssVVMVUWwqBjsZncRx+IG4A+8bKE
c5R2w6TDrlobPkM6UuY2Rz7QVeHs2kzNykPFRBNW17rOz9reuohCFpp5+1aGdOtNYbVwnYx4AQsR
vmQKcg5ODgmgmvXSYHqcTJ0AqDWM6wFlr3tFwm1dQZI3jpxNtNoCHLA6CSrypp1zv2GyfVOPybQ1
I37vqn4PEPCwMkPodVtPSiNRe20SWq3zfikATiB63PO81Y2TPWAHAv+MkwW0kp4VFmJobpJytYz1
2ib2fkjZBbNu0BzZvt5mvG4jpjIDwdrTlkR9HZIkWtpwyS8LCFzv8dzHBBx4Ogf4qmDTtHGqodqE
RR6X3BodenNkenYh82o1DYW8NbwdNTfBcdBB+stT+1aU4nggwSHKl6gf3Ducousy8FkcSPxutmkb
G7q4uOG9b+Ixld1pYUj2QcyGJhGVWQ+YJ4fjFSV9XzON2MTVLlxYeWgayAgRcQ2P88Z112OQu7OC
hOwKNwS+apZBvA2H8crmftJlXjptVDE6nTgzpHrO3JENltuJ1DtmGFkn+XBtUn4IGKA6K8AM6y63
4tT7cgHrz4mWPqjjaZzGeAoRPkJ4uEyLWp6H45Dumn5C2o9DFWeAgfUUJtsqb15DDmo2Cx9OQjS/
7pKq1oTUctXgfDmZWjNPumuzJdWNmbMPe+AW9UUJ+HheJ2O6vG9YCVZIWqLrpuh1S7vXAG0KPUzN
vA27FIrtwQhgbMIxIXAqAabaqEunNBrHellVoThhrHqrBKniLg/yXT6Fmy4dQtj3A4rTMgs0WOy6
knNUo/y4F9OdEJODbW/GaBloFot0TneyLa7zavqQD4ZoNKaD9q5/l3aqAcM2S1zBhhVBWADuG6dd
MyJ3ubRB8ZDEHhTFb8S5l0kTolzIWCgwA3oGJA09T5oh79t+HiiLXJh8SBd7xGh32JTkMsf94ZMM
8I1HAY1/GVBDTpRghOzFf8aeP6r0TgZoYSwKOD9VY281K8w2QOT295+DX9LA/TsBnaRQYVMM3mu/
kCc00M0dLas05dFkhkqXjt1mSHVRUNHLoroXqjERy44CY99KnlMNpYofIBEMhaPfvCqYlDPMORXi
U255sgLbNmZSMmERFZnQLgBIT2b2rvJ9PNvGaduhyNcTbOlRO5dRnY7pkaqWSv/AFMCtf7sQOMpQ
peYYiDmky6emMLxECdBjHqWpqjVDC472CUZkAY8qqeIFtVdp5a5JTzYO0FmUFWaEJIduy4ynP1rN
N1IqqNRYAFNXXBCxd9wTszTtkJEGqGjkx/aEQ0zfudnYrbd2rYBFycCtRJgnMe+mcNUGv+Zz+GGa
1aZMzQWZLNXIzOcFIaeBz6vo9031zbWBjWC7IInpXoR6ujZfNgCL+wI2jcuOBbW7uh02TS3vpim8
8O2Y/eB53zoNUgCyVmx/JsQLtNrVPrXTDFuEjcN1khdvF6Ssbsl0/vvvRT6dq6e4GBQXRJUUsAug
qAMCzPM3U0Vf1jJteNTh+SLo6DuX4Pul6LrzMHc3bZGYVVV1H7EafSRH9TGdbnvZlNGspmSdAwVw
SdB4PXd9cw8vYlpNp+IEw1OHyCzZUOhW1fkdCnI266EZxOlsqqGMPM6IXLuyV5dzwCSJUCfsm6DH
idBjLZnXFUfLdZq68ETZcNqJBc1IK9lAHobknd+VrVGxMrSNUJMEsckgT3A8y80+2+xoskjdDvaD
C7pzPoMGUg8qj0ozHzeI7lybZnp2ZXo5qrG9bVKP3yW5qM4TPBFNebasW4eSTVuHl0GbAfWWvVuT
MTgPIS7pEtt+U1q6nC5zmYHwATAhqKtrVU7rqiZRTsNZFyPyEfeKRVmQxsJ7DHfusylZIdeVuoU2
Jt2GnvBoGUersyQLVtNizTGdXLBubKcZF27rILFEs2/eqaXsDrEjS8yn9CadxKDx5GM1dZd4pqdB
Kz6MXQXIaebbLJ/PSp8dcURzTQC/4GTu9Zi3bN3N2YaPMtOjw4nu1WlboS1rqkOe5J0mGL4/y49G
Qlp0Dl+7qTxLHDBOHq6Nanc19x8AeX0YamY1mhbgn8q/brwFVl0NhypY3kzI1LEsxFnvMnhW5cD4
WG0sTWo9TcBAUZe9zjqIrgilN9i6Niom97ZIhlbjHp+nrvdaUoCQkO2vagd2a1uT6ImlwYou1clS
ZVHGimjA9syLooRolQ26DgzoSXkpdZWTe9QlR3mXsc0MIW5lc8x0LhMb9Rk+9wRfYmjki3K4kNV8
RefyBKfLXRDQFF6DxkUmjwHinXALO9iVbFWxUmjcZceLDWKFyHtE8G5p5Bvui11eFHEB4l2xl0Ha
tnwDjGEl+dBFJpyMpl0ShQg+jcbchwRODxbB6wSlxwUqx2gmZtaZ4PWxzYfiDvYqW03eJ7oKh2Bb
de0GoTL2RZjEqk+2Y2fpujRlq8vF7fI66Td9RsCopO413WtqBRxUrYwSMUhAQLvBzXVJOx3M9khI
lmoEapAxycd2WOSmmPpM58uxz5JLSud4kmGnUevPRZUcucJek3ypYtPVN2rh7w3j2wVQq6G/lhk5
d33S6mkmqQ4CvwAon/vIBWxdFSCGKFtcoCB8DST/zae49YfY9f8Pb35Km/+xubP7WoJ7ScH/S5Jr
IMUYsNH3yfXThoWn9Ppx4qNWT/aFfBDrIaEBAkECMMqjVo9AdQ8pFJHZHvvRvUz+mV5D55IASg7s
nivob5Mw6bNWv+9aAgABcn0IJA0Bpvkj9Hrfy/EcmcBNAJtRCgUFEOvJC+CZzFSVoHWyKA/LbopA
BgY8tA/B/cq2dklWA5DcOZjzIkLSu3NQUNUCRECQK4XT8WQG1HVbzH4NpCyf4rBIGjgu8xwek9KI
XTr46bgbXHZF8s7eqIm3r10jpg+2q/NGZ0Z05NgFldCl55nUvelBK6N576TGC7QLbWlRZNMKd1B0
0EVSW78tFl+cNU5wvWDaDFFXMMu1apfBxqnnxU1iq/aQpJZ8qEwJqWwem+XEdUTctXWZscOu4OOm
mmuf6zHzIGD2Y861M4u9YHmyHHkQJlU0tYGIlGTjasgSe07IQKK6lMGtrA3VvCHJelDyaipYeqnU
gHcd6fCubVR2hEkzRmXS28M9Ol6lxJenI3C/o4lNfbBxBIsz6xafRykfm2y95EV6mmVBcWr57INN
qEiWAssD4b8oSkgpprK7gYJgyfMpOa5xOazHHgJa2eXTr0061Se1bBvA0ianQOEs3356JlSG2FsI
/+q2qgbIOAzPp1nYHLHUuAgklHA9BOF9uIzTxvplXjlp1zSZQWC2SkVNMCwQvBhw9RxF0wQyBl6W
C8UEiLe2OucszLSxA6R4fsp7Oq9qEHovk9AOh1WeW+3UdJ9582EJZrKqGnQypGiKJ5weNQWh674D
PJ605UWGQWHvkLnMuAEmC6ZdTah645PiKlVjGAVQZ4mkSpaIVPkGFP10NUgooIxp+6ECxBizJrOg
LLBs7UAUOUOtuZub5O0EGz5uAUxqmaQXU+YgfS3LEiuhPnImBy2XnkfUZaee9qcWAKZNkTkWJtxJ
VJxMYN0VpqWIhnxqtAOcsCJ9llyPI7IkaptwRKB3NNMmM4k6TFK/QPjPFn9FfSnrtTF2BGGl8QBl
QL7NdKDo8jbp6iGMIec210hObJsNolpPvc130PGzykrhD/NBlXyT0FB6PZZLU8embnkZV5y24QYo
FWKRlA2oRhMGBquWLrtGPhEt6BejHQEHJA7AfVFO7zirIR336ULaaAqyctNDc7NfzzZo2rWDkMXi
sYBhjfIe4NgU8nTSCGDBsF1ox3st+zrpdB6aYIdKvICE1kKJSOWDJgNfhcv8bnY+piFktiYMTxtQ
whwl7yehxDnuc6dzxtI1dPLvRAWSWQ+kf0H2rc/KPOLhDNUmsx2I6HRWVzeL97u+FfYElI9TLhb6
NuG9/RhAjKyjpS8qGhW0BDgysbanOhmlSSEIEPFrhxW+tsAEX3MK+GggI+CnwPW3RdHZSktCu3cD
m7LLsLZFoSF04Qh5WwD/cwKiB+AJFG6CZqyOWQVI3OKE8m1dj37a0EwtR/+dVb//g4dnyZFA0P7d
rApu/uf//ue/fW4+eKh/84dpDzkVJGbKGTQtClCgoVpNgEo95lR1QIWkeyYH6VOpvTr+uf4dHgCr
hKsceuo+pbqvOVUdgMYMBWvot4PqyL40/gdyKkMvOSwHkgdZnQGz5hjk6xeccq7bmTQ4AIWR9azU
+cD6RVs/LjoHXvNrEdZNsKmAf6i4KBWZotks/i2wwBrHkiv8K0tYajfCppmIknpo5LaRQcNOXd3m
o8a+A5mCUzWcMl+H6pDNsj5WRXMpcEsDoOk8wFoFqJExqoJq0SQnwAVImgfJcTojCpkLWkCubVuD
1FEZSNmrZnTpSQrcdWWYt5keRly2q9EvEmqtLinfDIEyZ0lm0rO2632yZqiu1Yb1NojARwCIod+k
dYfMQeV9zlWHdaImcl6OnjDQ7VAI2l+TZoe4D8x6NCh4PzVu4pqOod/mqRSnUs3+LQZZN+6MOYZw
e4yzsTkNQuaAGIwghqsx30qn6mMfYB8FU9qsmE2Xewa1Td2RzF8rkgOKQKwCdJAHrb0YmxYdcTNM
G5wKtiJTNW/71Pcrj6GoL9u0PmRGuJhBeo7qdhEgg5Tk3KJiOQ2kA2UXNfSwNdQfTVnBVkMfJOcp
BzFdusQCIyvOc7YUkejZeWDKJWKVvLaimXXaVe8kaC0rufgelC6faijffbA4CHWRF+MqwKXR1pHN
fu5Soash4OUFpV2wQZUXm76QzUoa8REP/I3BUxi1HZORD/PyqGnpezo1IOKlZbPKu+BspmZcGWmC
qE3UcWOyUoNG/0alwYXyfoiCIJy3ZmgOQYE9pzlGhwUNyijD7LTHINs6d0HS4Bwr+t6LvFzxeiy3
DZ2VnudJ6GyGov/EQK/aq4WdtFe06g/pZMO1NIi/CwKQn0vAfNtpHupdzgDALXVf79qwvIFXalei
RvdBXqXnWSqGNWCHfNX25LXv3OvcFW8TQIRxgzwEZ5ee1R02mi32uOboPDP1h719DAJRbO6qRrMu
BVpfW6ldLcoopNVRN9cfx4pcjIA1El+ArtVeJghAY2fCzdAqswkDFPsgb0/29gx7vESQwYHNGQcE
Cu66GvMAfITydUdmcVgkJfQVqBZp0aenyQhF1Mqz2ykMwvVSondtNkL5ZZL10f5y13ZnvoGWjyAo
oddk6PyqYflpX87Jbsm5igy3xz5tr7NxaGJbMRwN8GMi3e63Qzn0/phhh3UOXRZx2wTvymDcDMso
9VB2x6XCp4tlNkbLXOieNW+qWh5nSWfXwdzQXTnC5rDzBKX9nB+RIrebsUM4rlLoC8jbykeFc9cQ
/oJVJWUdOeCR8diCDJovnkU4H2/Gqkqi3sqTIQmr1TwLosvafEza9rxVUMUCwQmOMbwkHexmEfZ2
b01UObbysvIbB5tc+9DVYCOoKs0G7WZcvqu52baoEHEo3UdZ1wSwV3/ZFYAWeEXf1JlZuXR+W8is
jdr9ll2gs3YzFuUM1Xf7sQ0SEfmE1wBD2jdKohb0h/EtzXAaLdYB6Le23cgqINHAanIYeiggGLyP
q233vjHddcmmUbOyuIc+n0G3bh5iL+p5XaJ8Oq/qFl6+K+ojaC4wESjjFTCSdjoPCMq0SKZR7VBn
SCwJlucZArlpCFFxl1A6QtViyKGNIF/oSTgL/6b0UAnUEmcDQOiFHbcN9JIgOg+bumlqBJyqCArN
Af1p0yF23s0VfQckIF31nLljG9Z0R0g7acyTDwVT1z0gRKLq+8UmuW4UsCXZJ8mkaVtSXfUC+ma8
nbWF+67DoJoujF/6TTuQ12aQnRbYzDseFng91VO9AZ3wNhF4XE0C8Z01vNglFnqboBbRHEEPwgJV
AGjKUIT273Pf2JgSU71eVD9CbSvBv+ZhM0H7wFJFSWVEpSGlkTeFk2FUoaF83UC6OU1YOB2C9lZE
uPEpHCB7WJtkOHStd5tOZMMmRZ7obITiAx2gaWheqrKKDBPuAtXuVEwY6YraHHSOoNjA63VnUAOE
1rGMgjyV8gl4Qpt4eS/m0m2UShRIPkVgdSgKeGo6FuN7Wgf5a2dQeAGl7W3qZ7ZKaJf1mwFiv27Z
VIIKCEF2iEIMNUWQwasYiO4SLVWdXVlawdmBfX0TZqb3DwWJ/xZTvtmV+hX2EQoI7ftCytf+0BdT
HuEeO1AYMAQ01iMJrQVf4R7hB4D2AJmDGEIVYMEnEgo5gB/+QdeS4oAdofPxa4cCtE9CX6LkUnLM
BPz6hf0RuAePeC6gQGFJwE/MYHECKjvshYAiw8GJhkHlrmyK90M2HvsqPDJto8003jyxyvlDreBp
ZyXg1G88TMHNGGYSDBG+QJbl4EgPVNBDpA7M8toUDW4OATbmANh6gHOaNNA9dZLBub/vlg4Amsno
6FfYDWqLnAnMXnLhDAjQkDQXgWoHvivTtHDnpOWq3ta57bM19CbUwa51RkxHpE36divkKE9oXrX2
rMx6csxdDkmxzop8jsewm9qjjENL2HphpMpib1Q6x6RfuFvjAJkOeiK6ZQUtFguUmUE5h0mcTLlm
CafASYe+P897IfHa07Kmh9Aw2QJXr1tjtmxkSRU1xJ/N6QB36qfaA9xqTPM+LBVwXlsuFECPky3k
ep+BKf4fIeexJDmONesnghk1iS1FyIyMSJ1ZG1iWogJJCIIg8fTXY/7N3B6zmV1bdVdHBAlxjvvn
pzM6vHVTnXWF6C14z0Q5KuBl1KawAV/qHZ0crsfF67wFurzXkItdV+8IzmUypZqtbQe0qVEv92My
+cPDItp4jEpuvDTLgbux+RjQEZjHsJmY5la0MFoy7VO1b9zUQiixxFsLXeMl5hk4zzSPtanf7Wbc
eHTTEn3gNoiAjNXkZw0e0PfJk1ggV8BTFfnoyFpAaSYoSZifB9rJnEdE34tl/J96hkqJ3K2dLN23
1lQRGf2C+3ouTbPWqFfiRyrS5zppBGjP+Z2SsM83r55Kp+YcvONnY9LXZOueyTj3lSLBFWs8QNsd
APRwCMyn9W5hOHgHT9MCS/8otyw+0iFmQB8GiGWO1iB2TY8bUJ5a8Cx089piWYNdmHl97ofzfhrk
AJO5hUpOrstqD8vibNnaCEDmqMq+t09B2JzbAARdg0ssm7kt5DzYkiLmUUq87KFlv5mdUe/RofB9
eYLRs+Ur04fBDcEFFN0z7n38tqD+bnRw2tL6IjIuyl4nSykdG/b+qHeRjG/ZwstuRe3V+eRx8c3O
Zep58+vH3ilyEHrGzdWhZwE/4aUgSfpOXQgDEBHEF03gGq2AKFO7Hdw2Xn2HbyCm5GFKllscNH98
GhR1o9SrMstLaDyUz9vjFnIIZIa9hfNy9iJ2IFHnKkNnuM2OHdfEsXIj82fGUW4EaVu6YOtBwrj7
d2uLCbIkaMstTyDwHesUlMw4O1X4GUlQ0wxjobBPSlxbH6iHSU6ouS4ZSOp0Jgp1rFdS3LEjob9R
Y055TdfHtJXdvon1H70GwH03A1OLdVUYAKvibsecv+ai1xfhD69JjzYwlvRsA/cwuvY2BfWWhz46
EOc9rmyEQrnFFh/UR7th7EZgmNO6AwY1oIzw3wNBedlmuGOpw2XNAeck8ye+KCBs/BQ6e6gh+0p6
zXRzbfNXcf3MhszlPl32SibnkZvPJFwPcwgMKBohoLWx/tkouhSGhWZnojYqtgmOJEiDC6HBOd3w
owM+UMiK+mdIYL1p5o5d1OqHWUhXbkl3C8UU7akQNzqw+VF16DgW6Q6GTFkeNukfmNK7Ycqm8wbP
UqBGKJo1sVUQx6iRJLxCo6AOT6N7iOoQvlMwuSIEHVu3/QxWmb47VK/oLsYzwO8vRhdWsRGuLxd/
ppb6eR2QFPxZvIsjU8VrR/JlaAHLZLTkbdPCfw+uiwvxJ3N71o0n9i1JduHQNsV2x6+5oddI+6dm
C481689eBzK1p3MFCfBJ9ybKncQODdLhqWMdePg2tsUS35nyMH6vM7/Hv1sayLuLyYHnNrsUfqYf
L+cg7rMbS4O0msUYVN0EdVsm6bGT9gD9ETqvXYu5loeuURXM3OPm8GmhSrYi6KO2II3vnntc0/kU
DZd1lGzfm65QU58e/LU7JkP626pmKke77QnccvDkdV/BUQxBAjWkxGHxy3G/FGMW5CgmBQR3M1e1
DHaAZ9YHD0pzEUXwAceFnNZswzcFLKqLWvbeO1TY5mBSs2N3XSDUoIM79sTT+jEZ1C8ZY31PC0C6
toFwmclq0HGbQ1b2Cm9r0VzSMtBouBI7N4WKFUghXT9qmaEbUmmVwPaucEmMj1jrU+V7VvmXlTta
+FaTqxcOuqQGsn3IO1jzQuK9Lv2OJ/qUUrJWijHIjHQ5T5KfpAh1oWj6N7Q9TgO/73Ev1gGv2syf
/4WDHLORnGQ3QrzIgOi0EesPZlqbQzC2TzVXX1EQXqbBf53DIYAKn+5V6CUAm1z6MVIZ/tHdQB7H
wKe5s/yS8ukyNkbkcNKBnMTbLtPyJxXwZRDW+ANSwCvjRF7TxGxPvdz4fg3bHS6/ny6dvmYxyZwi
pXHsiHdgAV/LmAlI12OQd6PIKmUBaiTEy1nKfm5rfbAy/gsZKSyCRWSHLmrEDVShPfuJCKseIgOu
yHF4rRluTANIqTCch3hQeEmjt76NaefnZmkqqu2a80Q8BwAZy6j1L27if4fR6R01QqBRCB/bHhtq
iLQp4hbcH3HDnLdjjGtWmauhug5w0kFcqIfxY0StVgihM2z8HvUCNe+MsrFI+hTWeRMTENpsO6VK
nE1NFdo/6NR0aM8d1kY+1t6/GrkvCBvmKCB7ZJuglTe5H7UYngiOJxb5YW4VVZdgiIMSJnn04IXQ
hYLVtPkCiLUcou7gmv6UTe1TPKlLlo4vcdaGFcR8dMpBCuytCaJngJwsD0G7F7Xz+EuWuK94NUG+
LdEeFhe0o9BrD6QmsvSXwTxJLbpzFJCL0IKi0fa+auyIHFKPeUhot+E0T9KK2oH8tiH/ZRBmefTX
9jluZ2hFKUoemhH/Pc7S3Wjjdh8JaHuTS77cOIgdEj/pDvY3NK8Br12SLbyGat5rt84oWHpbLR47
9nNYZUNzjAJzRUb220brBSs8ekiWYSkTxneG10NOYvpoBqgl0JeQ/JlxOQy9j5I5hQXY12UdubPf
0xG5n+X35PGKhv6Zt7HKQ8hJSR9enaLXbm5fxRKVvscvqvE6pHn4r55Cg2E1brcp8aBveAfIL7ck
CJ9mN+y3IPpcIXqyFNUFCrmmmDOZ5Sv3vucMltVk4nf8WtDEcv252ODNSxEpalN7HpT/SrEQh8BT
p8gkS5FxS0qj6haBmwFLkaqlAGHxJToCYNWx4BGpEbkeuzu1mEewRsw+U6tontqsG3CtZCRdiyWx
45/WBml/bBq5BEW/8eG59oJ+vQy4ePyi7eOhKZWL47NoBy/ZE5+NJJ+6ME0PUZJ643evXP9hOzMt
Mt8gTi9I19Dwok3koSQMPR85I43/SQQNRl89FTL6P6Cyf2reUUgjL/DwabCt70Me/n+6qR4DPD7e
eAXiC6h5uyWYygmL7mEE7VAXW4scUdHFTF//e090b/7+0X+lFMhkBikPVKMf3tG7f4fZIEYbuKym
iPyJgKgRJIKt281SFDzLIJUQSdOu6LbED4ouGfDeR9SMHp4z1WXopT0so2jZEwk9pr9fhzbyodek
w1yXDtQUL7ONTB4KQhefG+hGObIwaQfGYwxBjMKYfjVqqgWiLMv/osb+86mis01CH/AAZtxk98kY
//7j5Jg2UNcQo5kHxd91TPn74vEDGQLcwmQj6Wci+8yr/vsz9f+D3ATVj1FH8EQCP4uyfwb4eoCS
Ye1Zr0i6hbdlNIrwLZR+pHdqXYEHqWCBDjnFwFXyYVjRZQAPJPH9fOEF1jwl/2N1/QelgNUV3Bt2
ZO6jxPfvTfi/veSlplDcA9CaBqv5PKRjdl57TS4dGtAbEYJc5JQyWAIWGtt/fxj/0d//S3SAkuCH
oCWhG/z/H+03JDM0FPNdeax/LnUmcFyMsOaLMOjw1lWK9NP/oIH/uaaR4YxpiBwlkg/x/0Uy/v3n
2mBVKbDVujTcnYb0MDIDDuPzv/+wf33zfwcSYcikQYbAPLDUANGKf+yc2IJOH9JpKP0XuuOlO16H
pNzr/OeP5QSs/jPK/SdcGr4sEbEqsgMO/d1//wr4tH8qGoBivCTLEIkFhYkoyT++RN+hxUvrCdpz
I8+0n14bhvJL9OhMwnRiL2tjVclJfFqb/iqGGDQ6jt4hazVyj8LlKPPu93Iz5nLGMTelVJ/WtPmb
EHNkteF9McwdCqgp7J8C5ZrS17xDzdp8zCLtccxHYh8lcIJoUzid7DREg3ibXiYen9I2uYnOlomv
yoRMj7MKDjMHN5wQdZyQHshBrsOgA1Q2Lxnu6xAIYIcS8SFDqrVCEw/0b7A3E7JP5THkWocXTLD7
5cLhnC1ZAwiZPfLEfqh4PcX3IBvojw9m7Feg1y9vER8sDGDTjGeC07Xs5q5KBVrK1ZfHZSDAwQh9
rW1QDsgaeMzb9W2yn6L16PnySpcoPess+9UFZOdmxe+4hMidnlGG8O7Fb4ZHESW7rbVQ77PTEGZl
ArCTUu+HZfKlmZPvVrIH29eHzYbP7UQLs4BbBCn5NfgoDkP1gafyOi0GMIB3Dxz6+25rTwOJP1Gh
oWsG1DJs5RbgPyb1nCthPpYUzUqHoBr6sV0dkX3ckF897lfgkHB8xPIHPscrzmm4IrPb29aeGMLs
BXZnSSb2NmZ1mGdirlyji75Nn5sw+Iz7prBmeHd0Opkh4nni9V4uVr1LM1k0AolI1h8nFZSLoF/j
Gh9rh2Okk4/B1n3Yur3Xxod+QbiTLd8DHMkcadPnsLUvvGPIzoUASf0fJEkPmaaoX/FiF+6uWvPX
pvZPQyR5OS/IfEaLxfUAW2JXuxG9TDd+JS3EnLqD8oAk4lAgkfqCgvLNzlqWUORgaXhYRQkCVU+G
QFGw83UOx9fabHYnEYLOW8SPf41TiFig5z+wDv5LMJ6TwVSTZ0d8nDeUjLQPkUtPK4UPwwa8Y+QM
XCWhU7gm2xOFNM7Yz3vB3cMG2r4woX4iBtjLuBJUvnP3GGb6jEb4SqTGkt+GbEfASnWJOKM1PSE5
Y3Ozpd1O0Al5UBjDe6N4WJE6aA9I2oCCRXoJ0MmeMeMgUHQLArS2O/AFHabRKPpCtx0jRd4iqGPH
SBryBHHmb8cXVywz+Zj5/GOK5rQAL+QKbxjmo8Fuq9qp/Zrp/JoMbCjWLVlLjWfhpW6P82Autg38
RoNDYxymBzImxcz6K55rOU6TBu3p0yJxK+zvbULWaFqTooUXUXgByDC5qSri7QVe7oFPLnjfVni5
22ZeqcANJzdWDvEyfWTIfRQSMtuDspQVE8pEEGAzL/lssxAorTnrVf5lQXwaTS0hukxNJX3X56mK
LrShz1abD6LtM5KiRa0bV6Qs7Io0hEQmsNvRiEefkfLkCQz0AQF5Cy0COfGBXkS3VUjav3peWHEY
UWU6OYTH8e2TJb56yfIISPlL90FufLlXwXrwh3gvGCppHYucQWt00/bYGv/KaLwLsFLU1H5PYj5x
RaqAwBKDPkHkuhOZX4xbfzVb+3MY/aqZvEPLoxs8o0IBgtFbHSMEy3cw5/Yy87+M+/Yb/8M40Z1o
N0dqHw2cNB9aect+tqkGXIz2ACBtqUdDqskqIfCDa3y5VoLiont/SP4kxAIbj6jwdhxced7CVjvC
9gsRRDCCfKdjAGlO1bZI4Na98LSNn43tFCRhPHSKs7EOxNkny/gk51Y8goFf9xt1PWTh/h0RKI3F
v/XvNG0sAmXrWoxB0L36tJc3iMi/ZwLCeCEMMopfxpb8JQb8AMuWNUYMu53t0fWMVVbNt1RMWeGv
ofd3dRBJTkhxQeBkHPrbmnmXqUenkCHnPrXIbcT1kuUg3N1FtN5bHCz+s+d1mkHXTN9MS0zV6UgX
nNvgNnY+p0WAH3nOFBAmAC7zz7qP5KnrxAYp0ktbhPDAT40p3Ns6m6924+Necn1EWuM8LqDCyMzm
fMrubhZDd7XZ5NIuCzgOTh4ym91mCxiDoT0qgbDoomG432vTncYalBhqAR/qB0rbplfvsw4/5QrL
bEZ2K49THRQqkeQUZvJRr/ZpW+aHCDlfUHTpPP0Ktvl3OMx2j1iBXyySQAQeJIO65bds/qKArQp4
5Zz85E0E226boXnCsHT5NskvzwpxWgBS+HmToT1/HnzXQuoYANlDq4r++HAddtpHaLnqZIQcpU7G
GIpi30h33qK5C0vtNgCgWRby96BlV4WmAcwarGbEQwX1h1LzDDmyZWQruEsWIfLVRL+AJMKjpqn1
H2c6mN2aNSDqEYve1QSCRdktutG71ls18IZeNBfoJwlMSgf6tA2fNmEVEogMfZeyYtIV9nJbAaaE
dsqzYLpuTpvPWnL5OBi/ZqXMiC47DBGFVj5lP7UZ0qpfuHhexcCOdds9xAzFTOitj1mztOS4xOEi
C9Td9HlBffE6k1qdVMAdDMy5HZ56s2Ehdz7ie3NTZoL1D1iMcy7Uuot0c9uWNd1nBMgdBO01C0me
gSovA29sq27dwAluYp81QEGmltiPJkbGgRrA+hYHYLvY5AmJAF7oJaWfZG5CCFwti/6OYRi9ukFF
W7WFoF7W7joAVqddWkVAbirVgcuYZPYuJ+HnBMuxSNUogLCs3YEiKEigb078BaUI8DzpsmNjY/5M
h7F58zazba90iuolz5b6GKfeerknKj4wN0QWaETZLhiiuqJQuvZjR/syDpUtsoCtt8638b531B4i
avr5EEdbuEf7IDG+oVtwoPtR2+Yh9vNhoQCf2AyNdK2XhzFb7Sd8saRcnXkBju3OaiaQIDzGoI/0
NHvFuX9VqZUnzGURTT6hwCtUL220Q4nd7bMJel/onftYfOPRfK0NfexMsIP3dVRO7Dt3p5B0WsrU
djtpMAEBerpCBBju5h/wz+MDq92uS0cBVT321qMyiu0xt8Hcb8/FRbswWPh5DXCIjqQH+whH7AyP
SOaNZnhdiOuWEaCtIwaDPLE+0XjyPClkGovblG77jLX6aYxVZd3gH9KFIq7BxRGWiJfbiE9nYzHZ
ZMTLor5RFZEWkrbqv3H7A9P0bLU1Mtu1U/8913g5M+VxKQN704MoG0CVcARShOjMnzqJn5OAaLQu
6hSM3YMNrC2geN/6jP6SHXUl6QwAAMx2WOK5RsJCbbCW/EMnu1IBbSpIjwVIgJh7I0aTdJaeOiKQ
fmjmi8yyW92TonW6P0QLBdsKTnON2qVagRjk8DJwG7bqUN8hc2DM7i3z2VtUJ0EB287karSvnI2y
CuMJ9+7IgVb7YFgLH0oDwjgm+GFRhIFHQUUZ2s4dJpgw3rFrQVAICeALSGzc3oyF56pdyFENWGQc
4+ymOAsvqSHRniyx9wm5cj4xzTGpYkhzEQCumSXq1xz+JFpoycGDQB6WRepUnB7xFMacRnIr9Jge
LFj7ghvn/VKquQNk8I5+t53mewK54jqP4RNH6PqxH7PwxbMETNSa3YTmwy4eovFHYvVlWQeExmiz
tyFxT3JEpVrH/Zuk3TvYivt0ig5wmIuuKfNUMfpIOffhdqoV9N/aqh8AdjRGbswUVEaW6utktuXv
2EtR4mT56rolPXUZQlnaWz7HnqFZcH37MNTYR8yT2wGTUuROqg1QFOJiFXLQbakxi6KM2JTtBuTO
82GpbxujroAg9jh5E/+tEdx8CoI+LX0wcOG/1AY2HV0s9z3OPFTZsKGHeTd25N2N6dO0KDxusaup
KZDqBUc16qzorC+eWzB848wr7a3zkDMGEmQlJvt5HwwOFZMBnJruRUm9JceGL8h/x7j12oInUf0S
hgt/2aLYvifLPIp9DR3e3JZkmvpczCMp15mzyo0o580GrTCJcJl7JQ56+KS4LAPLHn3bVWahe9TX
AlB1+wT7Mm8mfU2cvK6qw2QB8YwBJTBkhmDvTXC2VApLRWn6V/WZMPk8zh+RJUth17SAjOed1crI
bvNbUXSTIBgCUHOg7yMrgkmMeeOCStR22NczaQ9J5wocLd+Lr7u894LLFERn3yCbwJdfsDKiCgdi
BQIzqrIE97WFOJknqUDOzkqXN6u6hUF4NhorYFq6Fz5ODyGcziELXE4n2+cqHotAwEdLa/UIpk/d
1oieMXmhf47ukbQA4JRiKT8u0t44ZjDk99ZLwooAW9qviC8K76PdZpySdXhcEb9ocgYWVgXBt8QE
gZiw+BnOOwqqaLZfqb8FeYpEJB5MX+MtDx9sCOLcbvPXRJosh0ERHdvWvZKNTk+0blDoR2FW2RjR
znkb2Q7b5xhrOhUtZufswg6SQMIaCe919UrojP5jisO96Jrm05tQLmLUCqyiuHsIN8DhJkaNbc0F
F1+QY00CMBhZcg6SJdwF8MKRlwieEKd8ZgSPXaZ/VeDrIu3oU7omddXKGLUQpqQUEUGLHo+PdNyC
Pc9gxXMPKbVxvjWOnuNkGgBSzqjHKBqiLqzdiYt2qzpgbifs3RFgw0z/hC25DajEjYtVEfvjd6iT
sxw6desnaANL+j7jCkZLER4BnrEj1+HJH2Ev+WGdYfOq9zuvnM/wbp4j8Kw9fKbLUg8ZRGQgjqE1
4G1NvK97pXILGfWOwbn0LK2C3t2I05bggow24XArbxjapUZ+qE2wHdhSv8DdIHdazDugCNlhUs9c
77yOPLUqPmJKzfBJY1TKSzctxUZC/N6RlaqBkylsm8/e8jIjvllktX7kXGevyPfAFO9djcTd0FaC
ez7uBofIbqTfV23Wg8lMcsL8D/RUehsPKl5iJA/ZIZjan5Eb19+TRZ7SjjE9rb376akgO9FpK3jT
fUkZQQZKxdcQqpvzxFjNdUKO6WB51dtGl0MvXkHd/GFt3+QOZ2yFMNB33PZjIbLZL1ZY47qxaZV1
Kyw95C2daE+NlkEerPWNt2NXZD1e00zIDinex3RbF5CHdhdEy0u2miueUAtGERztYg7awO9p4uQc
BhhREiMss8fUtArC87VbgB+DM6JXCLU/vM2p3EXZ22b8v/AbTU6m6egF0Q1DR6JD0LefHDrgHv0v
qVqjJNywZCxW0Ot7a/ltqzu4LtxlBzoAoBYtjNDQkz+Fhmo+zz3JUeo/6ii6QamWxSh6DBASQ95F
eP4xiX/GaYePSKPm6BJXIxwjnvslzAogQ7z0jXceh2Xfc4RHG1SAp8b642+OAO9+xl9BsvTTBNic
tU0fJmzVCxfrS99Aa8eUKYgxWjwGa4Rvcs+YIbz+JjFGbqPprR6Q3m8RSe+iYC1ZjPFpYRS8+nF7
NQIbmnj8Cbb3j3hGLUTj7izCdStsKLdcmfbsr/Ma5knPFTYMAPB49a+x6DGmCjunjQnmgIUCqwcl
4iA9wEdtCJF5oZizpu5tThaTYrNAaHEgV5vDjbIpClgWf5Zztj3oTbw1EhxlCjxCduRVLxwxleaA
pxjnXox/2PhtFeMnit8jlehw0XtATlRrX27AOLBG6FrK0AwIr8LQBj1fxVK8LFa98Q0yD9HyqWsx
fGMS6tzJ+hJ69mC6RR0YxxSXxjM3xvwzkoaXDAO6RkzCy5WO3yM9zIUizVB03vAxejGU1vtskOYt
jWBfiXbZRdN2XBn/jrL1reu8fUIBZbXh8Jko3r1jgCTy44u3a/BgHuAWaEh6A6bF4NbO67l7WM24
5T5kRrzxqDt6cfRLrhiihnT/LpzHW2tSfO7yGaNA1Ui54WbrvLzupyJABKggQQQNDYrSGu9hm1+T
GvyD0cBnauTTovV7UdNhIwsqj05MO8sRI9jIfaiD8F4W0bxj+MgfbO7oHE28K+FC8apmsur1xKCQ
ZU89X15SrFzqw2u2qb/ssmU++Ka7JisqShIrlscrQR8ITwH1F/x8NPY7xOluaAxbdEQuRMWS3bZo
kJCY+LSDY1oNc9J/0i6wuQRLWlocQdEGi5HPXVKFiO1XG8mwnMbum9f6AfDeskebuxNgjpHzshio
ty43iZhVzjVSUPWC4Hz8KSlYPkSjc+yuEuNsSpcMO75C35ta/MWOQqILshClc0IPEwdxYSOlfsSr
+sUbzIBDh+VwKq6Yu+dqSDI8DFhQIpE9nyyO4jIIV6TQlXfL0HrnIYvRtDF23WL+sHnLAyyvSy0h
TwGcRebKW7PnNN7eMDFGYQaj+Rp6BKczdFpewk5g+rrcc7gIJx8FPTNIZAxZ84hoHKIPJvnOjL/h
6sDHInvCqszYJ0zwCPI5BX0VczkX4BVOPbXv3lS/ThpNK8anPWDUZFu2Xv+K4WgMC2I8AEVWpekY
xkUAJHCBvdSefBQ2exQsPHsTCUtMieOA8pZfs8YR0Bj+0ozenkfwAd2SoWCSy9FG7iR7jRqqgQe8
MA3Uf9Jj6SbvfY5wqzdZgIo9aOfCbhJSOWbOLLZNc5L1pKwFOgpghiG64DpfodB4FOPYCFgTUCBP
gZvWisNBunjh+LJJiymBUZ0dah8NQdiCvPZccB/Kt2JP8Xvi9DtL4/nTkxDOomnAgRbeatpEmKIw
es86wk2HpEVLTtvKfi8K8EMg3fBzHXxySWfBC+PRyrfsDBIvhAA6bs8+QzRRUnOeFE2AO02iWLVH
zxhlFYJPJ6Kwqr3qzoM8xmLoji3OmS01r5g5gbXCDblPjfR3RJEC/q64sjshH7VJUm46XVByZiD6
dEPEO0hZ/ZqwSd8w9Y7dLPGnSoB6Xx9YAoTCR3YV0wgSY/N1TvvmXHu4LHFy7mcIoujLl11LMakL
MBab5E+M5gQrDr/vIWwo3akpxKAkFbuhTBelHjbVPLer5xAeiL55l22HxWXsgJIPbb73Oa7slyZT
cpRx/OYkgFPQWJh8kPHf/VC3RaMgOGEa5JfrQX64Jrn1q7eVfmDegTV8tDQB4Y8CIv+/LSNEW8Ey
+z3Uwq98I68iQTHiRV1wgCFf732ypuWsV0iBG7LHtU+wW/Hzk3k+2GZ9VqQNjx5MzioJgz+097sC
8xHQYTf8jEw/zu8M2JUHUgQ5AvmBYRgo+tKpwpTL8xYG7oShLW8RevgdkMNK9m5EnglAZ+SjYgfe
3u0xpBCIC3QxzQAgszREF0EuSHnZnUsWNKEL2BhO/ePQ4E31KQ5HDCytDBQdUHqo51TiZaXxInCD
afwTwefHKLJ1AUE2LcFMxcgKzeLiYUYmHsymch03eGb+SWSyeSSQwcqwVlC4w20BldmPfVCkscLd
ABgPM9FqTJrwhbxKO74hdmlx8HKOYUr4brzfKSc19NZaTkWStPB3MKIiGPbx0g5jpTBCpMZciLuR
lKAtx4g2DO046Tj1i9qX/4+980iuXNmy7FyqjzQH4FCN6lxcXEGtgxEdGMkIQmt3qMnUZGpgtcD3
zfK/+D8rLPvZes+C5BWAw/2IvddB9bVVsFNzIGMt2hM0txs4bjguYreJ1q5HvFfS91CufYc1A6CH
45zH2ju0wMJu7DFeD0HtQ2gcM6c62HCuWpOKymiS2nokhHttLJFVTRe0H7/BWnuH0cVy9ZoubJvg
2eoGllXwaFA9L5Nn6g+3ga7KmwWR7V4vQXdijy+QaMrTXONyWEF6AcSVzfZlihRv9koYmENnnVfD
QoPbnVXQUs2ovjtxcKQUTrnJKa9rfMtANzwszYY64xAnqolnBN/TsW+Cp94mTylW67sxYSic6uvR
JalwSZMoWCw6Dheul0IOlXyL0/EVSyJpHKX3ufLFwVyDZ3zJjxPr1mv1sqf0TvU2iOaapzMlnEyG
H1U6CtpcNa6Kyav3mzM7l/6C6Qwg2mRGaqzPSx5f61F8zLb10M/mVWvHFiWGId4Hi0rC0h5vavRF
gbfuJ2lHuu2bndMUD2U19FGhUFfyiT8Ry96IPB2OZTzeF9OE+94txH6t5pK3LKMOUh3A2ktcUN3O
yYnOimJ8sys4Kelo7m00s3EHG8ObKTy1452d/gBhk4bUZi6MOoh8o9zzyb7Rb36Kh1/TQsJLzpQa
YKn6jyRXnFqBtYRGlp4aT75OTfrQeB1Nt8TeczxfJhRPB2u4IKE86bn/gTk+wtATtStgt0HRdPUf
dJen+HbUdQFYePDS25nKAKvmTMpydNrsh7cO7c5CS3IuZ++kHBOV5nzGlXeuPJAuQeo9rjO6p8Fq
LlW81IcO+RXZ44osI8t/lXHy2TrVp9Gtd7Ejb4nHv8FZvTTbZCtj2y+JKNGVerFGRSaJ2lcD0YpX
mNMVqCLEuw7BnrSm57xa7om/AGSl5oFk4zKoyr3sqHIKr2ncQw6FlgtD1TcsxHpryUxfm2qhvFaN
4/fOckkItO4enKSNH9mj6E4XUwa9SJoXMJ3ozCvk1ZndVnuZG5T5Z78HHezpMioN5X4OpZU8B0mf
HIq1o0BnwYypNYa/cyzwfjuNHVlL/QwhZUUvayKTo93ba3QRk/DavV3l477GPLa3irQ+ji7u+C17
z/w0DuPY+4iTqXts6o1nqFMX8lzpTBScTE9H4+pE+Ab4unkLLDFdz6ofEXw7jpfVIeqYOfQSCjLl
1I5HW4ofFEp7nsb05HO23q6ezRbRCvNITPcxlF5w69vt6yrp5kD9ulEprjiO0QFpmp8fhNJRkkrx
kCWWs7cX92pFZoAKIlro+ijpobFu+/Yx61wcTWnFkyennSiQP9ut8dNqM39fuwjTAxyyu9lpm5u0
NV1CEfB3KKcBBY2RZ60pklrnoydZuhkT+eTF6X3sEcT16wdFTCcym86IVpl6fOOEwt+W/the8lMj
Y98bg5eclxRbQJ68eIs8l0ELt8O5mOBtwEfctklRvcG4DNdiuLTANRxL9qcdWnrMarJf90EZfBCb
YAAZMopFAqBVacTv+cpeHtRWd8DC6lOw7IwMKZ0L+GGxa2p9/nAvy4WPkKj6cirSUymMYk+j6grz
Q7dL0EMbDQrbHHL4KVU4TBqSwVDnPh5U43l121uxeFM446uu8f3SfHSd0Glmk4vlYcalASvzYNi1
U9HvHYsMYw3uiRL2dFb0Lkvtx6oMUEwDfEqM+ltSDx8dttbEbGgNeldghXdx4uBxK3hmpbrTjbYi
r/SMw1DqqFw51Sm8612SQzXwHVqdxKGXeYvLw04WL7T8iiNd9tDApyhd64Op4jlSFi3fdg3Ww9Dp
8+LbMKLldJEvXXfuGwrkeWzc9GN+YUgb0jdC0cEIxCEbkrvV1uO1seTf+0w9N5O3nNXgx9Qj8iRM
tbPsIFA+eEV9CMq0CcshnUNdFzwpAkRVW3hAFilmpIXkSI3RG+ix2wiQr2u+stR4GUCefL29D/44
nGS1gi3NPVDtoLN0DatpSeJH04engc/mFTGNDom57/LSPEyFG6PqkfNPoY1vy6D5xNpBQkqbZbfE
tkdumEH1IlXB9+vnr7MUv9LeVo9yrDEy1LBdjcKCyrWgDllmYvua6yva6tLJkTbblRGES7HeZWli
P1h4AECTDA6nDe3rsEezH859FgDAaF9Qnl856xaFYE22G/9lqIA2tz3pahEUdNE7TsaOCgY9J2yi
lDvPZZPCxKi7C9dY3fOSEaloXTx5k3UP3KbaZ0FpHbUCjK6mgkIJ2qJN767rkuR+wJ9L4bcVyOgM
UwL20xJ4VMp3Si6592twyFoPRbNv9oN3a6cdRpZpSZJ4N3XmAitZegnVVRjOziXsWKpdQhd6b6N4
B1dbVL11a5XCKWDwNLxVvc64ZoxEjiGuc5E9zRYFymgucJ9c0O0PvMh0akhcowhsHhqbHnmBHSrd
Ew4tb57lLU2kGrN1I9Mla4qcacxZDYuro9VPmuJ2LIzqFx5QC41Iy/bdKV70KnO8ZYDBRXCH0abg
gRwCwgzSqDz/5WZzXr/UsHSyXUUEL/bKzLT+VZUDh76JIuy0mHLtv/WUW0sagi8UR7n6iQaHuU8S
hfCyhhm2UH8Gi7SrO9OwT3MVGE1I7e+n1LZFFycnMgf/2uzjsYEdMKf+2F/QGOLGmMkSfE/6ms81
u+PKi6J1f+9MlS8fkzWO/seM+OQlnWKRRZIngY8Fxum0JgSpD+NkNnJvrVVxbZsjKFEzxyA6Y7VY
roUOSrmH36DrI8B8u4tQBNsIcpIOyYZPvgR+rC8L8eiYozpasaf7w6hTPz9xes5c91VM8aHo3cW7
C3wZBJcF9EH9nagva8IBfWezuW2Fv5sCfzJe8wGG9g7bELlrWihXUGxIKcIZwwqorF/pCe8zFPaR
RDdWoNhoY6Kz3l6PyVIi6Y+HyXySXhxkEQYPcz2OZW2oDuCpzq5b1zPSM1DZAe0QNsDqJzWZFLYN
tRlURrmrCXE387pNNbaox/iC1noBiqWccIU7+Kaqx8FwXYIr+sXzfVPRmb4YQA3V+7KTlrxIZJxZ
15OHT47aCA2PuM0pjBS9bYjQWAT29dmcxg+qWPVEyOVDDEpHj6geKltO3VoUlngw3cV5VUk/LZEN
ddBEAUgD+N7qjbJGTJdPBz9xexqi6WAip+hMa6837eiFgELVo4cpl5gUT7eN3vkg2z18HuQa1q2J
on18cAHoy9OQZNwZ2sWIXXXrN96VRzp3XlHj9iGX0iL1n9tl3Bso4Hx6XGVu3GY1sftVYXkur9V7
yyVe/tU6O4bbMFvALTlE2NYRRwcmMJATTDnko2IcKK4aKWoAzP8x2wcywvRRFitlGFG47XPdJ6lD
ywxgyHUnWv8yR9/zE9+/5tx0kuZEY2G6QrF/nVs0IAEQGKhORmNU91VbDWnYzHVLP9FZ1PNqNJJw
oUDQRqnPQNCfDECYTGrXF2NbjRjj4iQ/VENd0gbd2pb+DOonK6k87+ZU0ZtFH1ETEDlJjv19xmX+
jmIEf3jOwbKzxy85JrGVsZe2cuRL64yiP5CpBe21Bcp/xmwzlj1Sfa7OXcVWtpUh20+7Htb6WGfo
vMNJzEjVcgS99tkfXOub4eBkgJzn4fFIpxmhTjL4Oj+jKiWBz3Gqo+zL1eic8MnjbNCuMT84bvpU
ZICI9rM1Gcu0s+LJai9qt5o+E963uAH3gSa+TkH8Rr1sxpi0mHYV7kz5BLGx7VBqFY6KrHYxVswR
WU/lwpHphzfDRNjVOSeLhrf4VhVlezeDP7hzpEFVJ7VyunLUsKgxzcny7OUzj3IAg9O6nZlvMAFE
scuzk0+QA/Ncqo8GdjIzBWZdWtcjUr+TLCuMOgxz8DDAOZW6IGwo6MgMgs1TzElxodMeApjt2Qi4
CJ6NAfJhQP9VZhbXFwEJW6eJrgqfw5fq3c0Q4y+ViU5hqGN6H/0mal/iWe8pSnU3eJvZImmtPCvF
BEDkzYMbMXGh6E7ZAjUqhACQobX1lfHkYBpK9rlt26fYrhgVQdEXZgoWKAirsCFNRAjdQXmV+WQt
gR75sCLDpmKU5yGelkedNuYdJQ0K5m1HtTLsRV3tfbDSybkxITghr+yUpFJFme3o6pqdrauS8RZh
VvOK2JYthMrSUFC1kMNyssWaqv06JeyP5FFxC7dssX/hPgHzbPf4BFVWmOM+jxcjoESBnFtntPOo
+9T9oRVuc9VnwA52QbA058p0x1d39JGxA/jhHIKDO56apuHAbXzu09y40w8oqnkVurLyG7IRx4Ez
MZjDdbq4AnI8cQlWBMDqpkyTW/Q1/Jlkl8DtMosGMSbxcboDZiA+K3THIYg17LbxBG9s5+eZLxnG
Qk0zYnuZ+0NWYx/bLdgq883/N7pRWxONXAi/MpCQ8DTsinQw3so1H7/DQEPK608ALpCr+3si/fKF
lmG5RJMJa28nDOSi9HkTeVNolz3cFLOM9+3Q+J9iaNXNGGAZIwBu0UQNHJy2uagaU0Xlfx+Z1PGE
BEpfZx7e5b5jIYQ4FFhLlVViVs2SwX2EyoLgEwEgNj65+G/xmslXFHb8bm0RQdz55FvpntEDBZ2X
2Egfgr4FZuEMXvkUp8OVVCUEQnJxovVBzU+1WtLXYAA9RD5aSZQmRVrWbwMozvvZEOLdKVEdlKOu
3jPX7CjbOdi2jcIknVJrS/Wn1NUD3RPUdsJo7T3KJtEwCEiO50H37mfWtgRSiyAqwYFsHajClS9I
U4H5FU6acGdWpDmVGIW9n8zZedRlNxgnSavlhirMGFlT2/GN7HR6IN99UqVjsVnJCSGzcpb8aenj
+pceyzcNljlyqcSt0To+EPYndxan0b1P37C4zL0ecficBdi40wAjbu/2YUdnFIXJ5tT1uvSuSxt9
ZTdNsC9KL/cQUhnqZs1KhipNqZl+ZEkAK6+UQ/OclRkJ5oq2J6TVV2AAHnHYCnPt75FJ+D/52sm9
tGMERippjCunHcRzr73so0FxYmCr04F/GGkL0+ajKi33+Hv1OfMpmxMNGNkhTajtIicULO28lBxp
lr15cst+cStULCvYe9KKPlrRQc/HkvIGD9SXaWL19aiPtr0ElDAr885yV9Yl0R7r3pyX2kUgWuWh
7Ze0HJYhSKwLQ9XOJw1649ZkJBJFfcGck7/+bswCmrcYQro9agoojkEb/NCZMj/EiiVtT3mufUhT
DXPVVXZPEQXN0bkwBHtGNoPUx0lts4xjVKJHO7aR2wwegv4h34i4DSc0miOHXxPb88SIJzglpbU4
Z0vQ3Z+GkeIhekd0Vx3JTBLPBNzpkGhenVoBqveGEVVhDdDxvUdUA0E5dy5F57LrjrKEYsx4LIwX
nQEhXKHY+piX0R4OSjtlDeDZrn6RXsTXDc7jvZfNy0EkXrHPQTiAG8ppBXorJcfdLAofV44xb4k4
MXNHnbQGphJYIxgtzLl1hC+zfJ+2CRV7+gr4ipZ48A5mgxc9Cih6fyJUttydnZjuy8SDzFZmlt10
rE1PtiGJQjo/DpZn0cKz6x49aYdHBBjiaP1UXxdLqTVdX6imlC88wFAEW1KRZOeVaqb4GmPKqldT
c3YSP7u9X2NSLLkiyqS4xf/68TVacWMvJjjSdRDMd73IFrB96KJxIfDZwAwUVYOvrMqTOnh2/SQ5
4jKXj1ZD43TWs/OSgiPzdxVRl9jlZHSv0pxrjI3SR7nkqvQ+Heb1BoUVyKjVTfq9UPWmWMc9mt27
6GRjoNCik1FgMG1pB8uZwTs6MO0LW1XrQXd9+1rSM3pJAw9bQdY/9w0q5d7vip/m2iWcxqioqfC6
1/QAiNgzgWYV11hv8dcuVt0OP315qGEqUCsTI8ulXkqenzUmt9s1DR3BXbM2+gGST3/R9uCk6HJ+
mJA/dCgSaHdRMkLdeGmsYnEjTBvcUIinnCNFryx5EkFq9NFfp/+UabTWWDJ5tDIE7vtWLvPdCoWn
Df24Z4WP1FnGS5mwSnfB7JBRel++t2A7aq7rwRhspqLFQ7+DOECZ+esFqITzRDS4c5Ec5M0w37ld
QshlB1vm5mqHQ2qyGv6FGRs8+EURsC4xzpsQRd0mNVSILku8F9taQWWPxdERYjkod82ta9cLZHGt
vgjoK5z/S0erwMUqM3KBirjjRbB9ckBNjCkrTnZfdkEEQcRBlrFqMmNLTSMUs3Tm9//aBWjKxO6F
D0kgIUEqujlEw1rg9/zawLAZeItDJWrMfMZyTCjmdCpjSiSArnkzJLIIYpqGt3Q9p1gnHjpaODpk
ol0jxQkNJ3p69AqGQoQ2UVkrLlanIJcYkdcJHIluxSgb3L9U90P/KyAc2HzEc6XWAhCTlnZ1hz4t
yMEuoUgM8cdaBUhwTwanIHVVfzTdTQ858aAe17hm81pWnguUzmXxYlRZN4TUfl2auah7WNXoNH8F
PefpbkbLASFkVK4XakUgtVu6eBVhnZJXhZmbcScX0Zb1VbvMZn7SJe+9642iZqSJ0fTfWEMuhc1m
dpJoLmdNZSpmZs3OBissQ0sGyaMaepBdgVLJRZvVcMdNdxD4rLMCN0dnWQuDPJgd1ezWtXaMY2pm
eNF3CAMtBd+7ZZgZYREmQt25KKU8Ywvfc28sX/66hz2F+OFQDkmhT2NdCGfX8dtNSL4afNClHO0j
lSB6wsIeQNpkTqnZVXzlhyIVAhGLnjEGlWns+IfcDpz9JPCv35MvxN7RnTOBOWGqqg9GDlGlatJl
qUJrBWdI6U+Jp6TuZfc4o86JL8jsWX6yn+nDIIoqXgY7YMlnVF7gtXpFjGoon6xbdBYx0wPdFDAH
xcWSAURDgY8/0HMdnIbZtH8Q5fuvRRdHOUx3FGTYazY1r5EkD0bL2puS+iXJmIIIdfdmnCRGD5u0
h1LELliqhFEtdLFxminUSurT6oPv2AfZER2Hw/qgxPzty7b3Pxirp6X99b//19+mxv4dQ2rjA8XB
+F+jrK71//0/JVin/wRZBdY//ugvmBXjtoBPSYi122QGzzXxk/7FLrW8/+Ax4SeeIzk8sbn+J7vU
+w/+BAOwBSV8M8Lij0WA/o/ZndBObWwN0AJNNsT/Fg/8d+PpRpXiDLACE6smNcnf+FLESZYex2RA
1+LekEp/9pN+MKziDyAr83fXJ+/jCmF5vuWZ0LuC33zNdlWZbc6Q0LBiKsPWIQacvFK0mUlB9rYN
QlwslLDRBpyGYH1hzMTnP92Vf4PS+hdjNR+A6qKQJkwJy9sA6//ssLWN3qLJtRVzCLrBFZafeWed
pNF8QsWDWpD94f3+7Te2bOzLzMTBzS1/u7IjA5JclJAdp4dzcmnWREFu39U17SwqSR+TPX7H3IPq
3V4Obl/oP4w52ZbV323ynu3bX6x3PLae5f/mzzckkIxZIo+bl+qtr0Cf08R/z13E30UqXhTjOvZk
ZmjqyyWIFAHRaW2nIFoX9YDZFslKirirSAz6tzVALuSN3R+c1v/uI0pB8M4olm0F/vYRqVXYSan8
fsPhhmpGmEwn823rGqEe5qht2+UvDPN/OXXpi27/zxZo1iGQYNszAUBTwvj6+T/5yusJRqHO5z5s
s7SO2oJOG2mavGzHan6dDUkgunncm777KF3gMjHsnQrtkbNouOHes1XFt4nB3BHcvGTmFFCTKp/p
gg0MMS39P9zEf3eB+Ljbs+m7FnXEvy/amrlkhhzIB62keIO/u+xXX1LQb7cCUD3uB3c5//8fk+0V
/3595EbKw4tueWxK/m+rtpaJZasFWLyZFSjYNyxapstPJ5vqC+X71R/AA//6BZlKZAorIGWyUL/+
9nayVYMwXCIY9GvuMUZyHhVB2dFNxzNXoyndubZh/eFN/+U7+gG33wQqAFvAY1bD36+q7uLCWlY0
Z4Rw8E6s5aEysjdqvFerXMUf1vg26OlvFxS3vc2wIf7DuSB+fzO/gSukCqVDy6FI0/Yax80QDWpT
Pnr9Q0+at0sqRpr0y/yH1bNdvN/fGuU6e57YpnN+sQX/aa13HgQWyX4e9qNGg8A2VJTFp6vQ/UGI
HZhMCOMH7vEfvjFIxX+5woFnBjAGgBrw5a3gN4+/aAB15R7d7caVqNSls1+xdDE1MUsvS1XduJvI
i7pThUEI2ZDoVHenYveW2WRZOE3FYUhAkzpI4ELt4iLFa5BGcT/1x9GojmRYMdMKHa4gL/HGzQPr
5GPhSZjdNsZ+NNb+OcGFkTMqmG3nJHqsSEvBwwTwgP4QUJjJ92noY9oPYx4CfYOlHxeGavPbOJdy
pZfrOWlYzblEq4p8U9Fe8ARUM6uqmDyUrxkt3YUdokq2amid6Juk1dY5r/uBUpUu4iCiSwr4fxyF
dduSNbx3BWMRdjCyE/cYdO3SRlY6Z4cA9+dmj0zdMnRb08dv3QIULKSOy13POJEhjKXvDpeVsxk1
qlrXF95a6gU81NBbh4yeELoAOfrWBaqe6kg/OWh3GU2ie8CBGmljSiEcZkKCiJHG3qPygRTsEkSZ
P5fSzUg6lxjGgtu3fnGkjnYPONtz3pQ927+YzWo8dxUIPHoKM5JL23Xf464Rvxxbv+dBP7g7iHJq
gByXQUee7DaCxT2jlDEYbHNkCAOyyJEoB2VKQmOXqZLLGHY1PNsoZmKGvMqGiZvtAFfMk1iFeD+Y
OVjS7nFa8qG0zz9zRjZEkvpg0Laot+scAFZiPnXUhdET4FKj90YR3kTY5EzQhRWYQnLzz2KA9ZU0
zasxUj7xpu2fly5jtLeu7rPS7NOombeeIWjGC7dN3uygfp4IFE6D7TqnrmRyd6q2kYbU+naWzR1i
ZgPV8WU8V1D7ECOAT1/XY9ehj5t08EPUcYdMs0BJPNnNPhVdfoorQIl9g3koY8zhrlL6rd+GCLdm
ae6ommXHmkHQ4Vjicu0kqmc1zrQjljMw4Nu6bm4wPB/QMwAa0EYVLX7ykcb2zdAERuinK3/uLsc5
XjeT83J0Tf96HimOz1JKIMTGJeZDixLJRBOFGdCbMoKifgfReCqqp6B26K0M95X0vBBdehoGGxgK
Nd+bWTrf03h4QszzAomb9MgpLrpgXnc0j1wN/QAZeugHoJd8A8+Z4bRXWTmhWGiEH9qrpITpSRSU
jECrVRocvRnmRqbfUvp9dAGrc18QAooSP40cnMdAIUpsVsyHTV5Hk2gz+Pf5p27S4TS1LpJg/Ao7
205ZcRRgcep6lyqbHpgIf04tpCV5kHz6DXdqGQooA8Vn1dLAaUvaUYhjES/dNrn/UCzrPk51xHwT
b+fVnK5uXV6YAamgP04/R9fFC+N/tsuZ2QE2dTSJnrIfr2WsyG5xq20lOMS1OORoYBTzvkXPxFW1
iZ1KLl2ilkvCl3o/IGY8tPHcUJA3mS0hF4pjuDrsxPjhdeV1kamGahjoTkyauxRpRdhWwSsbzYPw
+yuvSZ4xb0BrSTgHu6kl+dsg9yuCRx69VGOkI5kcdokxnbZvnA29j7l7oQAeU5M2ctYt+qed9uF+
FiN1aWCLImxFb/5QS3+AnUOyLBAzYY439rkGYNpwCcBkbZ+5Gqlr6/d+iB8BH01R3aSf48gNGwnQ
LcWDWGxxoaTAsYdgFcIGSyJcoGBE7wG5IhQiC69Y53ls3U5x+mk760uxRZEMy/pJrWOIJpX/ULO0
cUFyQjEeAD6Ypj/N2PtHWJjBzkRlyFQZcasEwZURqCszLp+AVjBuLnNveom0uqvR0OFd/lxiolmM
pP5epDNOBCl+qpZHHrUUCpbUPsSiurPwr0WzHZzHFAPzFDNLznLT/cx6T2y+CW20h261GKfD82JP
y+WqMTevDLHOtMVQuax7NdpY7+acFCZtiFJl3TwwrWxC64liMSuYx+OoPeruN9aKQkncU+LuGjyb
XK1kLt9GW7xQCDs06fyD9jkk365iNfY3cWW8M3MMp+GAl2hqKVjVzJ/HM+vuZoqNxBCclow9YKmj
Og4ZJnmiGUj/qCCnMW0m3wmZ/WCTwXTjfre43mi7S1yzXN3GzC9R4VyBhEBr4913Q3Oh+g5cFuW+
ow4atLY+gwSBruJrtYeGCrd1x5ZJmy3rK16+AtzoPjAppghXeue7ni0w1CvCTcE+rYLthAvu66S4
7GrrlDuY4ycuyVeu1VdvfkZL1m4Ju9PY+CCUdFvAc7bfn5aM0bVDeujr6i3PWAQj6dgCc4DZdmDa
EV+VL71CM6uF2TDVgnMxbpkLO6f9RWN1l8os3nwJkXgWjzSAoMTr8c6L/Y+vMNJLeSgxholvUOYp
b43OvvU2JuZIy5Z27w2DDFh3argq+uk0uAF3Ke1+OXxDBPaIa3nPOYvrozCs/NK1kIMFrsAYEMhv
sOxlVGOKoNRNdM6dbfYYMrAIYxGiFE27GMsXgQbD0bPBw7DQcYS4qkX3DlbKLpq7LPYPvdQ1BeeB
W63f1wWrpPge+OND7QZMppF8okm79sXoOQwJyZnpQS0feU0+PhHfjFHuQTaccx6cPlgvUdq+xIWM
GXQHtcieALws2JeZVYZ5SFwhxCr2Q7aJ9O1N6uyzQ2QDLghOCQYp1M69v1iXsTNBfzE0zj8rvXY5
z4zJH6Ky6h8UfYSdUL2xSzNEk8IH1kmmi4Qd3MVeYGCnJk5VS3uf7QiKGgTIiga8pYZZu2W1r+HH
3JJodDcJ1gq22+RAHnMxBhyhiWYYGIMCXtljuJI6qC+KossOuk76K79Y3WfXzDnCep7U2CJzJG5j
Kt7KuztZ+yPATUBLhuaEYa4vgMXSq6GZs0taSeoYKEcg21uuEuT5oUVj/CQoqeFfcopHiFXfCTIC
1OhOe2ydmXmS3JSIPfI61svRXFR1JRIcsQDxzIOMeyu0lwkJ6LDFCAJpUb/8GB0knMhy/L3n6ewG
eCjSmVWKAz2qmH2sWshw2fRTV/bYiV1nrzyOKwM3YWQDijn1Aeo5nGZ7PKh7ZoANJ8APD1ZDNmSS
AuYrmwPqe3VDh+cbayJDeaCeTQOt3GDPV8a6TQGv4AzRN3kohuk74jMDMGL8CxTUtW4Y6aHoyeMU
YEcw11aewNDYNH6wPKSEnnlOlpB69IKgX8fR0HGGiFw6F187TLqFZzF262gsK/OGl0sOjFq/pF3C
69rOlhDzSay2PxHv1hTCMWBgtYWFOjre/ZQWnBQ23yVvuH/Cz/If3Uq8kGcV4wfoQNN1N8n6kZxq
qW76DoNpWXr93qPthCkCI18FatIKUjKLFrBJPyfP6ySQZHEs4QZwb1Hccc0AhR0yl2Ry4NGIjNGb
Ga1RVffIwe0zFijn5Lj1h4A+xlitpGEy2tCcvZodNlZ185g0eXYTD2176HWXEdyND44/g+3I8/XV
LXrcgKbtNJcxLxytuaYHIjkOoTNerCTsmwnIZ4RtdTt25Q8xrA+WcM6mY/yyeg021WZ8hmsT4mSx
M4ey0MklbNzkOm59RsbX5aU30XpTuYRaXjkM0ebcYDgBlNFleSB2qkIGJQjCrTrbxMX2TifcTY3s
fYcB36AjmnAB5/hzVMzkdIIPX+nj1KVIvTPr1BTxsTGLS9MZbmDE2/aA8mZa3OOq/3E8YwuorrUT
PC+tuIXclQHl4uv59XxZTIrZ8xaaug4oFVUzGCLwkkuGi/2Vsxuld4splEKecoHeuPVpQltNj3IC
R2J8guI9py5esLaeN7rwpVwYOAh0rLebb3ZJXO/LUV/1sgcHvpWAZKXYpF3ujAlRAAYYyJwl4Qdj
DzkbkXIAtXh6aMF9Ycekh5PllNxMWd87osNirWOcCuwAaVe/g0En3l7X5jmwptsJR+bF4OOOijkB
d2hjnhZcCCA13JDQY8ZUzjPrLsMlHmHEE8mI7i6NjxAa1kNhtvE3D+dlhJZFnmnuMNUCse9ZOzlc
HaSNDDtH5GIhKbLM4j3xoVIsZh8iiwGwZwBvGa1hm5djhbMkJAIT3+wLQSA5lTSSEAF+ZnHJCRTw
CAmTG+pUFCuMyb3RIIR36Gc79LNdx3AYTq/FNb6b7RcttXpDSIPhsUYzss4aU614SSYDtyUzeF/G
rQcSNyklLlW8KpuHq0PHjcJe/gKYzsWQ63jUtHApTGJNb6r2OUn1LS6hRy+t3r2EIba+mxJxyfSG
r4fkF6JgOApaPy79LdjlRGF9Zb4E7QrfzVkZiWOcLCXgdGWyIwGjDvJ1ym+h/iCI0L/qMNCkLIgI
K+sDel9gkPHndfHLk0/ZSn5Q0Kr1G9TBvqeAe8Ymd8xe9w2C0SvQV5+QuzL0hfAtgBgQuZmQ12xM
uvTTOKTiQN9mjTE80IB9tvLi3NWAtUXqAKpIRgQHiCp7R5eHtnB31qZswFBFUPa1WVFLOjTOCmXE
du9VTMGkcEoycQMIQbgEJqaKgdMwZ5puONpc6XrDP6N0ZAQw0DVZIqUrM9bQpmroga7pQRxnHZzJ
fBgEIPBLp3HwXoltDF3F4PlKETJi4Up29upBQ2YCxDaSC8Q8jfPJoYBeIao+qe3fLbf6TNbSBk5k
viSV7k9F6/5CycHa1fknyIaJnX1oD18BK3Hiewsy7f+xd2a5cSTplt5Ko99dcHM38wHo28CNOUgG
B3GQyBcHJZE+j+bzZnoLvYD7drv31Z9TyqoUszLzZj8nCpVAKYsiGRFu9g/nfGfTsPW7ecsoBAdC
LeQx7ZNd/ozbABLVKIChV9mzi9kYNUFTY3upgNstBqhGgkym77hpDXuP36a+CoL8XmqDRhhUYRQE
L8pR0wMre3Vrh3FID8p8WU5nJdnXaycv6+XX7T+XHPQ74TbZzkAxuAmJNEOG/WXG+rRqrZihgRU8
Kg/oTTNalwhoSd/MjLXvk3iVdP3HMaYe5xVBUtlEwGO8Wyec2fglPNLolhcbfZNdih4VlJ6gM6Ue
UTSokBXqbGyPlmX2+8SLuqNBeMUxD5ADs5PQAWtqi3oA6yJBFgX1u/EprOC3tQaj18j0PlMAm5DL
u2BrGsV8COB5bo2WvonEBgTLS8nqRTVcjRk23qTl4kXWn3plWDs/d0kGmxd+TnY9104IOM5ebOqv
hpc8oyQl5mhg5KQqMtX4xDOoxbjW5ilgOFzMg02Sj+j2FZACCIMYivsSkmCNpSAFDjEmj6UrIEta
+SXhwSdV549oHaGvmx8bBlVrXfOXJDbXZ+aa53XLuD/xGSkMM2YrW6Ty7K1Jcat8WcWW6YFwIzz4
ydgDlAJdUFgPbyVIbJl6FUzO19LN+ru5ICxcQcnDYPUcl1IeCp/PlMxjojbqe6KKGcxZPCYD23a+
M8dXrrLX0YHKkPU1ZUNO0A+wA25Ti9yRVaGtyxjqEq6ncqspljANRsNm0NW0WSpcyvuKWQrRoh0z
t5Xs1LOOWGK8jRM6Qyf7uQHIWCiOx6gFkdCQciC9mdwsvjuzPY7TJOA242g0w6V0KEaKDJ0/IDmA
lNW4d8v8I7OoqONm+lg2PNkkgG1yxEnxZIMET/WNG+ZbSbfoZuPHkfY7iBaySq1JZIJfXWAbKkV9
rdJSrlQ7neVEgY5BmXITi9cMmNCmEExiS3NS5zAyaX+XG62QhFNP5NPjqJ/OjTRGQNITMwC8vT7G
E+fKW8MnXM4KciOGlRp71sH8QrTKhMBO5b1MmmfsepAJ+mhk9ABb6m3n5Xmzv1Wqeq2sEqz7knDG
QRlP/bMKMJHxzDNyJ0wXPTnnp8+CuZqoPEyverTcNl23HjM2BPR6Xc/kDPqBz4sbbNo5gY8LcQBS
1z4GLdaaE/PTMMLAmd/mUX5gKw7nJQWmYE9YEb2p3MSYN5wG7kfLPASE+AMO8gmWWRivFFaqsQFT
wCaVnDPS0cY0BXIVSMLZggoxiYhVf3J8wh4IGfea69Gi8WmMfgfX51CZ9DOWVcIiI+G7XroftLs3
0kU1lfTeHuUnfg3GcEyv72MsLZzgdCwIdqzvey4UeziOtbVFDLJYj+erEeRZXKKrMYAA2NgkdYhn
Nq4Kxm/2MvqJ+2lT+yxlNL7qKW2L3expgt5iHjbVP0Ze9ui7YBiAHde73oeeZvaZy9i0JuGPGeVK
mgN92zDDAELYs+p73gEmacyM3FHs7NkszsASv7TEgtxmNDq7cZYsZubxBRtysvLTGMVFRYWY0Gdz
ZXOkpO2uI32FFnYJ2IuYflocjg0yiDGdbuJkHDhF7Je3R0aj8lmpJnroBrXDGnDrFxB0Jn+4zCVE
S4hhZE1MajdYxLd6jGXwNh6Bk+GwLXkknQwPhCrVHvkrEiAAjPhqGd1pe2WJ4pE389FCsPC9XBEj
aRGNEAnmcZXsQ8uFJcohAzbrnLUAAxyV17vJzZ5TvJibIk3dNbiAXSDTg79ciWUAoHpKR436V+yF
wfMCEAo0mfZ3QDeINkOMN0N8a8iMsyvTOqNcgVfBUbnplwOo7wX16YQXjAtbUnQxlEa286ke6C+s
urbWEUnce+3CU0T0+EjRMpAI4ql1V1LKYiq4MTO17SxukqFpjj74Fr9HGz+p6Ybr/zjPoMingI9A
UjI4GXp1iWjpxRzceaUF/+iSt1ksLeRsAKrC5Y+9wzWelvPIk+63xCtP5HfsuyK/eZvW4r7gbchY
UvXpt8TMxvWghi8ek4xiCpvnBNbDpu7Hc1vhWy4F1v+phMmykBBWTYS02NDmI7Y4snZR/JWZ9plo
m8hLlro1hDq0SYelKGs4wie4JQx0sC31J8T53IJd9EweF5NvnOu1N4ATQbJFncwp4JcepycL/01U
ByDvLRqRpJ2+mS3AMx4Lbz2RH7MLK169qEue837BGofoDdKE1bRsEUnjED7EzsSLMbR3TWp/qmYw
dQwNxI4LFCCKCTvRrTmKSCr3tyG72dUwMvWix4fv5WWvg7K+YduZVqw0e+yDpNYUI+AZsDeLOo0S
RnhqcRLdo5ZeUDXyIvPDy4n+lTH9MzrzHDuzVXPDWM7OzSh6Rrcvz6tEFmdlmpLB57BIuaQYIaym
XYbQeU+JT+py9H159rfS5k+VNoR9CfaEv6+0+fdvz8U7oc2Pr/kutLGdDxJxiWnyp7bHP1jFfhfa
2BIJjinRyyCaATkuWUP/EhLsfZASKZ1nW8hzbMvkR/in0EYBzFCLnscRvpDir6TGIap5t46l6kWt
wxDA5i8jMWHZhf9qHTvkVRBgwSE+ZsL/taJL7mhZrX7rhVa6iWygq6TL1DweS1dAsFJeD+qZP4Kz
zzpBnodkfZ7FiWpPU0I/Odk0Uq2ZZ/sUHT4JjLM8ib6VF3Xcss9QTbPjmPR3tWsb5yUyyJvYX5Il
kdwSWpN700teO/6aLnuBg9bRXtqhe4yoLM4Cd6ZoYNPIhL1LGM0gNG+7XO+nqQJzyLILwelMPFzH
xmdIh5NTxxJadtOdzT1VXR8N+YaFXrPpx4K5A1t4IMuyjM8CEEjMXOpLZQ4U7lk/rhJTjhdzkc53
ScWqMM3QWsIJAUmH+nIXuK0HVDyEM7T4hlVuffHHReQHFe8QaRCqHZ71Zmu6hvVkOYWOnyCsunAE
ndxx7wdEoOtOjP2xTfvyS2Hxt1MzVaTYInycTM4n8jyOlh0kwwXS4uA2xj8YHY3Q7919S3N/qTHC
ocCAgwGhhHPBP8goYTtXMwN8mqLFhzOIzr/JPdVeTW0J7WbIEp/TR2sKoQrZCMv3ouvPVV3oTcno
voGv6JKgjMVrvKf74KpAoykOQEvbDk5GSu2btiNO/bLShYdNeCK+nDzjDsNlkmBzK3uGzMrFyMSw
nAyslBVmvEtd+NarHKuTQks9GMEGRJkJZM7Wvb0uwA8dsBsO97VNGc8JXhe4TgAIjruUQcli6zCs
C+XPKrsPCYOi7tZxxkJHNNaqYgtFxjGZJp/TNOJzNFAkcAj6g7qunShvr8LJKpsNGQNcenNdJGed
wS9E05H73jpMRcY2H75qupGlxca7rAg7oeAlD2xTWb5DDOxgURPi55yJ6QR7/iUJTQu+l9OjBmAc
oZ8rBELfjKrLHovAKp8YFbgd5lcNU9TX2cfQglGyDYtRfxQJKQ27uanm6zGEKXYt2hTHnaPi/NJt
fOurCeHolf/6QDmZ+u2BjlDy4vq76Gx5dCpjgbUkhbw2ZDUeisG4HzxmlWZQho85g7RTaMzivOpw
wi+dJoSzMbL5vNfpVZyGMFPxFTqrKm1hkztQnhiLRlj3DPpV5LsEYPXKYhDGjNotnyDfmM0r2QT2
tTM0PDtT9SOv5e+b5c9vFlN6SCt//2ZZcSDG+mcNp/P9i75fLdL+gJ5FCBe43ZuIkLP7+9UixQfp
LwpK6aPu8d7uj1+uFv+DifIH+YirXNtC4vbPq8X9wBdYaDeXgBEWDH/lZrFN/qKfhD7KQ0Vnumyd
+H7Ob0Rt0o+LPGkDsYG0lJyypi2ISk+WB7xgRjEEkFExYZRf7cChXfZSOcU7m9l+iqkBCDOzBbuE
j18UAMedEnq07Mp5JJDdRgjuZ3u2ZcXeU2OIzLmv1oJB4X7MW/8sUDgWFDD845RWl1UOeEfWTOtC
HRdHimuqSAQ+24DhzUkw51wPdYqPoOuqfZZl/Y0b62jTiehLFMz2DcvpO/SwET46htrtYgIbqtdM
MTGFkk7U0kS9x9MIBdOTd3Y3AkiDCbe3EMVt0hqwRyuxPTnNgJGMKpmAprekg1Gf6qb8CLnrmKK5
3yIluGfNCxCirtm2Ic4YkvJ1ruv0xu/gvXRut2whgFOVQGoO/RR/wzwmkbKQJ28nuC08G15Kz/YX
0gvYc8al3XluoKkHeMDJEz/MqGrpugIL5cvwDeHJvFGqT67wPDcHMtFJpkQlTsAHssxetKA2GfGS
7Nx+rZjHoZGhIeuy9qG1EAgh2WFZ2jOQoou6TVzoe9IqvsgSIb2hgnHn1jDA7KGID9Ia1EaK+TLm
CriMVUTDW0MPs7FlYILiZ/WH4QrGV7gu+/Gh4zU2koRk6NF4ZLQV4W6MH3lDqm0apo9VxokJIveh
LDNzC37n2BQBMXbNSMYVdryDC9YP5Q4VfmM6uEYNnT6V4wQqb0CyYETYSBmGL3slWORr0df1gdiC
fI9p33iqJ7s8F24BBpQdzB7nHckXbSI+SnRONDDGtwgI/AVcB3udBcGAAJ8PAbOypSVhV2haA2lv
PcARM5m8y6EHgmoWCweP1dWXzGZ15XqU6Q1eAayOOYEY6HIIhM3CT2ZUJatxJFq0waV/mBpX7cah
vw877MCBRVKJOSImQsVwEQvvQWSev0PsK/ddaAA9KSBfIxybvCsocOPKBCm+sypjIM/TAzZZ4zgz
jExvSavtj41nxpvM7xgiZD7etcImUCosjD3yABYCOnwySlAgGRkjwLsQUVnIotjyATrsFsdBn/Nn
yDTCPen1l3ntXyJR3ejEqh4VSGUIpCxL0nh21oh14kPSEbgi+EXPfVM715WsBEs3/2mIwnFZjLMP
A6KG4HJ4mTr6OKbBX52RxPYmkOEuCSp9gVATOixOwm03EtzuBJL4CUKemEnwC4i0MrZGDk97KJ2t
VffeEZfcvGmn+qJTWHr3yjTMkOm9o7ehZM8F8ZcVQwtuIYLhUhCVlmd3cbZUvIMZEwaSljZb0Y5c
v/kwEa+TXw9hqsFfJFa7B9ZpQOvOeKtP/Hj9a6AxSa1NX9sd4TWFeBgI5sUexIbdYliBnpsIBru/
UM0cLmkhIr8qjSF8CJJ+rBgZVazaOqRIu3jkbLyykDeo0yRsmmUnMaOXwdDluZ/EQXKIwATVZHZG
8Us4CxhSxlAFPCUNAACgCGH7VXHuTvupzdjUk2RgXjTdxFJl1LjzzSrk858zIyK0z0yuxrah7PKa
ANt0LhTUs9Jm8bKWXSu3/ShTMIiJM0x7YEswWMYG0cot88+iPrmmGy3xDu6FE/ut+Lvr/O7H+PPa
APHqH/o7/r1In5v3bef3L/rRdtofGG4jJcbuxHT6zarxo+00P3j2IjJmMmLbxG5RhPyoDaT5gXbX
Mk08F4K+d/Fd/NJ2eh94vmgTlWMv6mTH+mvFwaK1/UkF7OPGsgU1Aj4S9HbvJNajLYPRMUhqMIoQ
ZTWgEXq7GbPGV9aa7maSndnvhiTDslb2Fqu7urNPU1O73xprcA5h7xvl1tczN5VPfjCO58pku+4Z
vbPzvAgFBAjB+SMyTN/d5YGTf4JI04lN1A0QxWVmeJ89pesrbHX6JrTjZB+PunnEu1AfpomFxJql
svlo42Z8Hh1Nz4PMq9H7OXHgKHdJTdE/lp+0M5igmYzuWphV/Qi8Tewiq1AYKbBeKkCK5za0/y86
02QGRHUyXxMlkN/BfbFb9jFJdY7SwT2L+0yR3L6ozIK0Cbfl6N1QG5lLAmnxEeSg2mRp5BE8Mwm9
MYaiuSqEM2wsp88TdC6ph2OiCEoDkV3hW/vEYEMTUvVnB48lZb3VtHAE3uKTx1Qq3IMVmv7DMLlt
dxEKRhEIgKu+vwBR5ugLjP+EzE4NahrOgiSGIeumDGzJhym2GdkEV56lokvZsjRAHQug3M+IDggH
e1+LhWQSTxo6HMZTPW0yQtHmTaRtaSHNczlNvJgD1RwJO8IsNnR7pFPDeZeQyaLxvL8MI8jdKact
KQ1Adyurm7r8MNHrEJxcMW64T4dyhrZIuFK3I/C3QF3Sx4xybaISih3SlhD9nU1mE8haA5SrxwWq
t2lO/g8u4XEQm7Zx7Y+jEs2LmiQ9axcmQJi01ENA70M1u+4akViHOEFntymLjJ9DRJ4bH1M9hw95
rqF5S5O6gHCRzCtoDxMQgjb45PMyjYR1TiaqlV3EkTeHLK59X5zH8F/SbeiimVuVaMprACOhAiY5
kaRQ7mLBsAieUkkt41DZJeuhQFj8SNGGGN+wlHMayBMBOAgqw8egbbvHjBpsxzJWHhxbV598+Kb+
xo0y82FMTCR8KNSN68APR00AbuoWiI2N/i4xvUzvKu5tNNaqq1AxtFHwiXlCfaD0ExcjZMcz8LPh
E936eD3FYbgxGETvYjvlY+20uIYDs8LS2OSfRE2mCTIYBq2WOT9G2J2vLVU1r41RF3dVEYgti5oF
NU9803keoLlGTul1T7UxJwCWpEWVnFT7PlH5hTv1weUwoW2OPLMbruPUkfsGzBElSZlQtEvimIDH
xd7XomnlA1sU+CnZYtBu2ml4ySk6mSqNxYkj0T0kLOcuclCvO9zDwYUtJr1huqPOMoITyZFYRk7l
wEpmH0ZGchl7s1cdIcD0ZCmVA8p/ObbGvodJd/72nbhEky+mVWGapqE4H0SF7kBTd1srMQo++MJi
aWChJL12XTlsh9pwwOBaoCRJqyG4ShXlTRC5Eepmj7NAN5IssQnHu32GRp4NOVNodn4uOgPKBQVa
ZSuF4SHlHjO2fU676OKMri1xSbEFTRCQkhCusijcYe/t+5s6TltIMWMdG6vMXkZieT8oKrGIT+96
GhkGwYYwz41QFwDzC3mKBV5sC5U3UvPSJ7A7XdKi4irHf504YQwjx+ibB4Tj9aHjqdjM/JDfutEZ
72mjBkqtbH4tWauzREP7U7E7RmK/ks7gfDIYchSgN2bcZB6kkwrahzdNmL84P1aoFeYTS17d7KoJ
TDRRYyGUK6rHyNlYXZr3J5PApAdy36hukqx292arYYFVknQyZm1+3uydsm+PTMt4jlguGIys+qG7
zgwX6p3RzggO0tqJH1Q7t8lGwQ0krQPpXL8dGHqovyuW/2LFYrNN+cM5+e1zrrvi52nGjy/6UbG4
H6hKlrHEd9up+etBuW8pl3/J2PvnaQaDDpd6xHbJibWkyUz8HxULxYxnWcp3lYn5w8Lf+VcqFst6
X7Ew9yI4U0mTeTkWIm/xkv5qUO70TUqwMRGcw6wMTPVZjlRKBgPzPVSjnygESjQtcE7PcX7nVwSg
i+Do90n12nH2MtzsSdBAOKFgY5CjmeymEUw3ubb9pTNElV55E48ITuqkAmobVte5EOqE2ioaED2J
6mMfE4eVuvEtmKwgvgFoEzi7aK7Y/nAT5d/gdk7OWWAr6ObGYPFAkD+iL4p8NJ8zD37iWosYyUEQ
lPmBM3txpdTtNhgRpWjeExyE2uF0d5Ug/s7Q90GReM9Jlz1QOaG30BD9zHl88JI6eOb+ROYUmOIk
02nPBEDcWZrlVG1ipd+g7Oa+rOPi2qvLZ60j976Myv4Qxi1SqFyXlr2BYEjLGRYOunEQwSi7Upbd
cx4vL4WFInHo3frwtmFzNGoEzUrgs+lXw8oTGqdjXLVHJ2LVNVSoVyz4Gi4GSeFdFEXiHoK6+tzm
Mv0iJ5JxUp3HVzUtnajJCyE8q1SIw+C5IMvNYP0uokyvQ+7DQAJGgnABu3bYf8L2WzMHyW6OXQT7
zWRc0HkigsKuekaiFWQePGUo5yKW7oUXv/p6Mr9kgo4VGcGgVtI2kCZO2K7QUAtjZwBZODp0eXSq
dUVbO8c3s8g9dxVErDrTdC6PTNKIMVlwD7wuhgHOOnX6Eu+Zqi+SxuuvrBaqZ56rO9QD/Y0cJ/ss
DnOQpLUgx1tTahh3Rley9AbdG8YQ7GAYrWRuJ3exFYV4pdLsJiAt6oFm3t8j3WQNCsPdOXPCHOOI
l9ow54y4C7epq90zC9Yt7E/vhlaa87432/E+7ri+Vk4jcGA0yBowqYXuXiVYzMhC0fw7osyCXdSW
7WVKyNc3o6CS11aEgsJisRyBoysImyKgbm/jUXnJu8DZq9ITm9rD+kEHXHyq+2k8h6L92RgATLCf
qaLPNfwbklLz8ZNy/Og0pk53HJQsSbXtmI0v5Vm2daLKOKQNMWaC1CEkjs2Qr2fckCBoF+VejY4i
sYr6yoUbDkY6zPRNREvxYGiPAnAMW8PZpP5c+ATzEqkHBi5OthFy5GPijMievAai0llWm945V3F9
9GCIrseectIB43ZTG3awL8LKP8vouNeguJLzxJYM0A1jOMfzPdz3SMTsTTUU1oAmL+IHtwrr0uia
atvXbvUtKOLJ3JvYXC6yuqeY9ns7e3KrOQKhLlw3+vY2Wv57Dv+nvTakA4er5vfn8Pv//I/8P//j
//6v6Ll4+fn++vGlP6bx5gdwCR53lJJM3rktfpnG294HLiHLRSRh+cSjvuu4FX/Kmar4MZZt7j86
bggNRNRTpoKL9t4G9f/zf/xkKdfv/vd/K7r8uoyLVv/bf8dP8q7jVhIhD6N9n6E8Xbf3ztaeKG9I
ccOgCZpMw1t7CBIYV+VFOZ0ybHDVauyh9WzSiX4G7v8IOxb83oDDMaptlCZspIA0fTMsgmsD1R5b
5PLBmo49TkAKOv0rtgtqs4yVgLeecX21O1Iz7Jsa82GItbj3zyLXi7/a3VAfbWbxF1M/OTdI6icA
6e3IA+PjcWfkLLGgVnab7MG5kZWmoAhd1WZPArKem2hv2XN4gzCaAObGH+avvZFoQu9n7o25S6fr
oh3UBa+o88yuOEMgOSW7ZnRvGj9DJq6RP+mF/FKTUYE6FmoN7U/HyLDza2wsSfwqA+slDTPYn51O
4fkT5zBQeGZEe7b+tZ2yds6KZoT6ztWLX1NdybrT7O8CJOW0cUcMov1WpXV67losaUe6vO4iMkjr
yPKJLKE5De9cUKoPCnjYzcziAzigzTLZcqvwrAxKRahdJGE0T515P0VAoYvamh+l1rSOhNLe2ZbC
UBx67SJ46l6g69f7sQqbrzn65mE1m+5HOUyvhRmn+5Zl94kcjmX3HcM8M4eWXV9bX6aVQHU68UbX
fVltdFdnu1iZ7nUV9+yzocEwezGyJxg0885RXnOT5ALPMSvTEmnpFB5t4I2XAx6sj6Vnl5dZwX1C
+iTiOrA07W1ptu3JxV/5GPZAl2TSd6Qh26AswTSzWXDCwROrzqm5+4j/ax7b2TZfCog9uM8LL91a
vfXS0uyvMz5J90jXTPwQHWFgPRrq4thPGYPt0XbTF4ZM1DNa+deqG+CXV5MPKdJDi4PCZ9B3M9IH
prWJCXFKVP1+GMWjV4/Gvuple874/DHo2+rcB4J91nhJBjraSi6dwHQulQXOCen2HHxmc6EJQoZB
bMbghNCRGrtu7DSsCIOJxbpmwAtn2wSwsSqmVoV7U9XVgeqNwNaRoBtZOVCaCl+Y49EgzDY6+/sY
L9q4nf70GOdzuZTsf3CMP8/xc9G+VD+f4T++7kcP4n2gjzEd/uPyHrAE/ccZ7nywPbajfOqlbfKP
f05Nbag4tqP4AoQ6cGF/puKw9BM27YtwTQ948l/qQezfnOEOXAqQMZ5JPW6ay/741z0Ix2xjt66Z
bOowmIk/1gVgOoZHt4on6ZSXcxPvc5XK815Ni96QdaZYe3ljGuvWHSvUsiM2th0Mlrpeo1HDejdU
RMel3jZaAqRJ2jA/NU54G8C0IzsC04AejoLiV+DoJSQYpS0zI8KlAUhsBFsvyK3FLvHVRdG2T9Ak
DzNKFjskh45MrhSXe7jrMUZ6FcZyDDidifqSHSiU7mbnZ2TzgrrGJoiMdm0GRI/k+bFkU0LbdLAG
D8PozDBigp398D2YOk2Rik4Ia+j4T0Kw/8w5T45T36GYRcyCwr26sLCEr4LBkfc4//f+BZnNlnNX
DdAPQ2YQprNysuKzb1qfFk8M7PjTkOefdZaykOu/edxLiHarbDN10CWHwoNPnwcPYkqe2Jb667GY
9CnjXT/w3aBnuu4LG/rqwEgdDTnLMqaBMWsRj5EpOGLnGI52eIE4KjpjSojgOMAgZggagE6Fn4cJ
LWk7K+rOxlGPuktwbLrTfV+RTZROg70TXgDlN21uFWqSs8gfrxKi0EIfl/1qtINpWxKze24YafOQ
NzM6WLaUWG7Dedtbo39srKK4ynSvbw0UZauR4dAlVwyZ8IRb0lCKq65jJVw53K26ArCZGWAIhDrv
yC65JTuBxLEq6rd5jQ930LSCjHxbzD3uiA+1d19t25k/Sp/7F3UQYQSTmRG6qt1kZzhC7qDY9hvh
8lbVuZvtLMMiUkzkHQhGae0a/BLrmBX5wQka59oOWe2xv7iulHjABTMevdyOrhAPFWQeGQKHuyqp
+afUDNQ5E8tg3BCbi0OBRemiw2UYC1ab7uK+CMuvoYMbFFuSSm1KBCs21wgnxy+FVxHRy9OUINBV
SNHTNNHXTowH9gKXAPbgzBzJx/CMxj+b4m5mflqMMSE5VqBwmGf4+faYWXiFOwmB2EgA1kPDRGit
Kzc51pEaiTKbSKsrFxu1YyQEd+QIBKFmDGYgIU0INdzm4ObxmESehbRJ+ZKuIZmFfap176PybrH2
E/lRK6xsaBTOIkIcApHjvXeRFic1m0rGaZ24JrQUXq9DWiJGBsN2MI+U463wgfAj0pPOY4ho91po
vztTiE1xeVq9f+GNqjkLDcn6dvbbr3PeZddsPMtP3RSr+07J9iYig0LeZOVSVORlFT5lLgG1u7bh
YdpaSZad/r6//mv3l5S+yXH++/fX//nfzD6any+vH1/0/fKyvA/qjR7ksJ8TNlOqXy4vy/mwMMY8
37VNz5Zohv6x8rP9D7YLTI72RFLC/aQ0dRmg8R1cC1bO97blXcPxRw3Ib+A7ju/QAfn2snREr7T8
+1+Nz3TXJPZcgnAae+drkBW31PPjARIhdwvP+fdB7E/tz0/tzntZq1y+3QI34ur1FK6pn7+dGTlg
9D241xigl9UD5o95jup1Zo97dxgP+K/lSnTR65yRleaLXZPgQ2CFI40ZPL376DnTk63xo6dZQbpC
PVUbY/Lmza/ewuvvC8+ffk7ek5/3oA5vykLRclx2oer9y+InZT1GSgNNJ7KCxqR6inF9afmplSZx
txht/AQZBmJFpgVI8lfaz3gq/z9+EN4UBGm+yWIEJfDy4fn1+xPFfmfXNjwxNJ1PpZHekwtwmuHn
O2n8GNdzvQvz8syb2c+p8Bb1PWFXDkLdP349fkveWn4KRZQg7SqT4HdvW2EpW6ekY+B1dS/YTr5E
ZUFANQ1LoS+tvPkhMfjdz8lvYFT81kyJTYfaTLio637+rfOicYrO4bcuVPZ1NPOTTPRjJMMt7HmM
A2Z33XmULH/8S9rvR8kSXYRpSykFiDHhLY/jr1/rQY85Kl/g74F2cCl54ZesiWg5CJBYwT7ENWNo
fx02453b4GMevJod2pg/WeOYQClk5jnXAl+9wPLvko8VJOMx0ONOxAOrlQ7u/Th97BF1b2bezHmW
LMowIibQoaKxrfG9GzcpRHUEUNBXvdpeXuITGtDXP/5FxW8+3csvCqTAFKa9zEXevZ01uTjmnMM0
g7NW7xADkse5POzkcoG2AVOcGMWtp/ITU7tH3ww/k/VAkravv/zxD/K+bn57wZEuLJMW3u73xDqq
wKiu4uXnKK171MnPULmunFje//G3+RefXhcSP8g4VhGIJd49Q4RTUKFNeB/Zvu9RTt97U3Y0o/Jc
2uNl0drfZ3a/++H9zZHKqwvDk0YAvBM7+uVj9qsjddC5MfULMc4IpxeRRfnGD6qz0WnJGf3TA+Jf
/27//GbvnpQEGE9XEN+DNGy6CpjI+Azha56aYGq3rmQP+sev5b/85Ryof4uADQXCu/tCuWUUzSlr
AS/xx7Una5xpHM0BDNJVO0Y/HC6/+1p6avks/qRIYXi3iGK4C6kvf6NIITdm1nHLq9mNhDFshjIL
wXhjFQOum4Vq73H8ghOofGmu2kj1jLp6Q3xJEiZWqyon770NOjDnIg/ErYeQk//DSLTKjgCDJGW2
HpcZBXmixRHCmygvyzC1F4Nk+LWwvdCEaG+1BEOy04LPtDCLkWGY3RohA4EbIYDibehbRo/NO/U/
N07qr300YRdtX8svGLYGfZQl6PlNCMOb/Ddv3JKd3pjbUJV+f0Rk2B+LHKTXimUG+VMSR2R8cAh0
+TTYefaYop28iTro2yC8J+tGO4S8Q+LTYwVUfckUyDOcwTppcRF45YT4PXTi0NsDr3Y/poPMX7BG
LCSQqmbKP4hshDNTSsBPphnGX8OeSCtmYsLZDG1nkZsEaWRnIA0wwdFI/9qNJH7OEfIZebyyIpCX
o6IICacwxG2YGPqsyXNSZmXSxXd+Mzv1Fj8n/Vxh5WG7cSpCUzbU2TrBr17RU3o+HBvclQSFIqXJ
gelY5YYIGbS5JeOlrZwceeeQfM2mpPGrRwKpXOQTYvSf63QhVbP0UEdC1ce9nIqs2vLmp/LRMhPm
QVbV9jCSZOMbG6ib4EgRAFonjJwlVGx2eOVeVmZ/KQXgk9OkqT3y0Ju/da4qT1ZYqDswOy94Rp1t
2pFxTxIQoT01VsE0LcIzbMrBBpEJpvHZ9jf+yMZMTCQlZwO/iG6mfTAR5q69hOSYHil1X6vbRMQb
LjsuLo+NkZDy66hSWuzWH3eW0Fel8h/57MHnIOViI/Ef0EIHHxPSAVYQLyGqIw2FspTyOR/xwLUR
2DeR1OZJ8nEjhKTpUCfyUZhQyBClqu8Ce7AvyjFiRthbl1kFyUiR+bgdDeO16vxrrD3A09zyPulg
/YnCPVvKC4m+AaMBQzKHYEQaZQcXrVm61vrN04y+tdqy1XsktYGPDNbJVVKNGGam7irKoiXIzroX
tUdSfGVFq97tTyULzCNTXLllnYW8J8CE//YbzQnMHMdOkWLLRq6ViU2zl/O4sY2cPLEkn1g+9lei
wxQYMqMMisKEeEUw8QAhHz0Hb/XsLLICQPtrNUAU+X/snUeW5Ea6pVeEPDCDtGG7A67CQ6vMnOBE
ZkZAa40NvGX0YroX1h+SSVYK8vFx0iNOWFWnGModbvaLe78LCcf1RaXtoX8FnpWhZOjRdPpWN75n
BJFsQtPITklhVFuOj8XLKgLIswpXztgkR9Ah7VlGi85UkMjELn3m8xwTXzWj5BkzgtfnpTjMePvv
GkygWDWI77KsBo9vPVmbxhGJX6zyXmPAmG0JenA9oy6ckL5jBEJZ7DREDRAEOJ/7BHIiIXXFRmcV
ul8m+duvNav0OdbVHU6g18aqH0gQ0SGwOO2DdEWwM5mEbEDUMC3RNIcot5gPORmEN3TD7HbNbleS
5XIY8vJDuW5rW8B6fozWn15zfCUPGLE64uY4hYsRsFVzSuOxd+b3ORJTdOVOuBmtfNgVfXrTOOzb
ONTu+mG8XnhbgzVNwRXaHc9qT+Ze16MnwQAwjQ5vyVdug5A3eiTEhnjd9Bjny16EpLnGHQeuW2jg
G8MGb3sZ8Y85+jIKntwF+A9uWE4aJ6me+8RiKZe4ymPSjAwIZAHUJNMGhlPiyA9gTVgo2PiWtnEb
qIojhpX5epyTIzOGifBZ2NVPZqDdVVr7JUb5tYNJL5FHJ/XN3Lo1imJwB8Ly4ii/zEcJmK3GTYWW
9hqW0k2TEbFHNPFT3IpqE83EwkgOUV9kKamSoyCb3Uli6HnqmWF29JqnIQMgs3cvmjomor0cM/LL
kxEBVv1h7kAfasw+jklgvgc0KTZSaZVnQ7PexqWLZYeUu8Jv56E5ioTYFmTJ5zqqGw+pz00ToeGb
eCuFRd5B02Yj3K3ulbmgZxRxw8R6BVAEsKkgAaA/WMyJBCZX3qpQ1eeR8EcC6MbuKGVqbrWebJio
j4Zzbg88tpFdPtaAJdh5y88VKQhnhaj74JjVZxMbHNnOCKTXiA3FUgLJUIeRFd3l6gkDGJ8bN02X
HvUWgRL4gHWLg/5YG8QtpigvtIebAU0RL20HPAYdYRcqVhcBdmaF6T8UVyNlJ8RHRl3AefjOFEgl
D15KSi2YMoptgpJIHwA9lMcL8qOlhgZRyo8LKwXOcxIQU4Bd0bicnSa9RWYGiIk7MQ+Kb+dBHqWF
h1wQfihQvStOADI9axQOpQE5QreHC/5CrnBi9jZ6mLMK0mooB0sUnZc6uI9SYUCF1E9zGVC0dwzr
oNZgDFZQf7ACtCXQkKTMTiOWDJ7J7Isb56eCeDZqIfTtmf1+DDKkGVlmw3U1JpAeZE6m5fPg5qEX
DYN1UTSIJ2sbBdoSiStYOoYXZuLNIhoPN/ooXd81OMZcmyhRQ8O8IrTJxMlPQuhgpKHX8PyE6WBc
dMyVNzbnML+xfWWYMa+hcOfdSDHma1nT+G3jpEjUgJdZhqpv13KtpADybD1ZiRB6wIvujB9CgY6k
EU8oD1+wuJzHNDD8sgyT1VH/KAI5erBFHoqiOOu4SxpTj07NpItTEuJZRPQZ+5qNusWeFGKBKj5k
Vk1WVL18CeqFYGFt2JPF8CmIdOE7YMS3rFcJQFMVckA+OIQA8qsZBgxfLBYp4mN3LG57Zndo8pjm
ZtbHACfsVoP8orpQ7EskkCgriXIWGW3WcleKLEvQ6ZLPUHHKQBL0GxgSHnrC0ANo6vg1L8Ix61Ju
orVUhXwon3WrmJG1muNFVrm3PQfeIXaNS+YCnxqbwF9eruoSfYBDvAdxP/i0zAuieDKvQAwIPo3V
XaUrXjpXkCcD+IFWNd5pIEyAfk4vzeDgfq8oSAsZ7EmMTpiUkkGXhNBvZlhIJtGNXjviobdi86VY
uMmoc2FgxFXgLQ1PWgf2luvCjHx89+u6rvjMxiPdaiayjyqtXvAKw5ETB22JfTGOtS8LlmrsRtlc
Dsk2DwjJZgXtgb6Y/DEMAQI3XEdkrAbKTvdi1bz2hfXJWsgcQ7f+iOybhPd8XVWY4yGJ+jcDohDi
FndL2uY+d9ZbK+ogiCWTeZcHvJTgmOa82gjQljsmXvF2XWgsbXfdtm1zrCrxflg/OlGegpCSnqv6
yyDO7wsZ3Uy8xZVet8d2xNTTh7IFSbtsqlh7KYvyUSHI4nQBctGuD8PAX7shDg7YN1pJpkfU/QEW
o4Bl6d6OCuJTkIkcLFYPfqzrKIuHjhKifQuU9uKkxhHTJY9ruRzSgtg+xvEZhtvQBAPS7JmSjfve
zPjUu3tGDZf92GwhwnlTw+Q4D6lhSDC85OU9NlX9icGP56C9jkUAviEZb4SdQ1IELlNF9TM0En+y
Ri+2erUFz7ytTDPFGQ3OQdZQZctQHeN0uJ6jedrHaJThV4jHKs+uw7Etdp2bVeR7diz9EcswkTbA
HLgGmVshINvyyowgLOgcV2Epd/U6gzKTqMAOB0lnVNrVFLb3RTGewzR9AjdCsQESjPxVBnsCsRv0
5rMyupfcHj+rvr4HKU0V4t5alNQIYBD02+ZHcuU+VYN126Rk0hnVmscnZxt5grzhw/sBrHbq2djV
ROQ8A169p/HN18GFwbAgsTe1HC6GaiREh3oY7RSxJKPCqjKYBoWRdUfBZ1ESKLFPm+BBm8rXIuGd
0ELItUCfruYlvU1UwyJcM86tpjV7dwYPXiv9Bo3CM6Aec092Ur3LoQteshZ4tdrpNXV404LUWT9p
YI5jI4TuZDY3XVdfFOWSbWcy1IaGbwuEjc6JxcLOopTse8PygIZNZ1pc8r2bQge81nCoLn18ACKs
oTiSMx9F+Edfh35LBJazs9X7kWimrS2b1l9ftUolMOuoDvbaijWGGQ5iBQz0Zua83KpM0+4BaliX
BEBSzJPdte06jnMNNeCWX+RhNOF1SjRfIHOmhxJc+C6PhH2IKqi+RqWBtIAKbNwqEEmPtp1PAMhQ
8Hl9WZUHl0jmR50KfJP3+uUS83ZNaYjxO2HIy+Ld9Uj5avFeCVKQaiijXa1SRLtgJGNFUGCNLpu7
pycMayVaauML1qkTQkhscZp+l6qhRxZcPlC3A63CHLZKgomb6ULtUNhTeVk0OmHlNfOALImzXS/w
jFrRel2Z02uNzvSRQmY59aHZPs94STeVMLPn1ijdfWar8u7rvOJfAdXfbt7xBVlMuv56c/G/iu4l
m19+XF18+6pve3eJuwgUBp5l/vGbjPdbGo16JymgWCWj8bWMrwPy353MzjvyWtlPMCk0XDoTfonf
3Uo2e/x146ErCP4GKqp/snf/ZfS1rkB0ZVtfdyjGz14li4DCYKwISxgkCqLUKWmmi6ugsLk7qFhZ
Jbz/7uX5k63AOkv7YRTFToCxtM7i1GSup/jDvh/suU5Kt26RX67xuXwv03iAJFbt//sf8suAjR9i
rGsSnewR9VXq8P0PQREbFnNPdZohBUIFhGU6jj9aa7XMivK3vd5fjtd+/WFE7OBFsyQmNZRwP9m9
8HBD1WVViZ6guZN1dOn27rVTR+81VTz907+LZ8G2TBoIh0XYz/EtZg3fbC4JvZzHCjZzHl8uHTGU
9DE+Fq2/mfj+2d+Fl57nksePOvKnv8tuHQdDAmO8pCoNmvx210hUFQQL7DP976bYYt0L/PhcMJnU
UcmzPxOrFP7H56LoYPsMbTlspwSM/6YYnC8QWWZfX2b7mkvqZNUXLeESH4tgyY/kPISfIHc9/OPX
d5W7oIRxmTybP2/WCJjvCKwM2DQ0ne7FWfLoTuWpdYifLczsNz3TXz43vwzuQTgRGEQaz6qE/OWj
R9esCOOF+GlNXXDoFZL7cCBPMWyN8W+eG3yHP728GAWUibyGrpDloSnXneJ383QyD/IKMSZQvWmx
PeQQoW8q7Hn+1FOaIeWoHXaGiyZwMutAkEm0SN7PaijkPeh9oS5YMwYfDWdyUY1QR6e3YVBR9ZlC
H+yTiYD9QqfoWfaESmmPbS9QEnM9T8nObBpn9vIygoXnkpXs7EtcjwSuMjYhyjZSsTjlbO2GDzIY
gF9FusneVJUY8DZ5OgQVaXZO8mZORbysUrQQX7wgBZ16PwCI18eu+BSmkdT3kF65cd2l6z6Tq0cP
kJJDL65sMwe6IisFCHxVGRJYuhh3di5qWOq5DhbOmvL+rdEjDZI3IMRxonfwkxSf0GWEEDtGB4XT
Hn7A9TjiJMOjJyu5R0ldVYc4FLXh2VHSLMjs6Q0/6rUNtDo0FxUe9G4ekmfSRZd1u1kr6ZeOseIU
tGQuTxNjYkIsv8afZG6CayHHndZflWRPQ6lFJLTyb3I93NcFUSbXqduMWx3+iTy02RKHnm4bjC1x
HQmas2oGeApNMXvp6tjwzKJq9nVl9eSWhwTlSViMkT34bRnXNwvyxH2fh/XODcibMFEXHiojZ4pt
9BQoAGaTK+jUDob8sL4lPj3dgrar+CgIAHoVU5mlCKGSRungIUhnqKQF9d7oxhca8wegNkAUc/xJ
w8SEZUknENuMNOec3OqsSK6yHhnXTNItORhEOeXxgXFw56HBfW/U8FdnZOFwH8A/1q1+p4XTtclc
wZOMCQDd4JS5t6u23xEt7lyzdIj3vJ44M2NBN9bruVfOiS8S46FJFhIxwmTYkvnMbFUA2dVzt7+Y
jMy8DsyWTPOqXZfR6r0qo/edKQWQseZE7uTktyMEn8FRlxrtz641QyyMdYRAfrkMWG1AbwNXyO4j
8gKREaqJ4jEM2oMwRARgoeet7p1dXFePkUanVZLqvCHhnqGOghyaRtVFL42CdEVFqsVixZ4Q0zM7
R2D3mvaU4pi5B4sQ3GlWI57jPAZKRHi5VwPG3jZ1CyujHwXUhqi5VhaTq1jAZOdxsaHIO5+ZEUJV
lmENA5hfLOeZAFEC4JTId7+WbXoWBcaDFf5Ms5EXvr2iIlyt23Wte6RDse6tOUctrQGvJ5kZzGDQ
+rM+vGIzkz4lQ0W47ALcaraAnxu6zrmQtN40Z3urxnkQiOMEZOjSjKrxbJdGdV6gbWzzphMfhGzt
8zgz1UzSfOGgZeIKz5j80OwuG4z2sqR9Pzo6pT38DsIcsDHyaPfPpLaaXk+ttWmWYhsx93PxSCeR
5rcWS9C9JYL8Fhpz+UpOL+shLTfZYAwXk4w/oT+GKzvgMw4WWPZWVz6HMde2jHNFAAV8V+xI5H1q
41VR9mqDSdaExlwQmmJXw5EjLT+kJbo9O3aSbdpLguaq4CICXOtH+R2o9hAlFY6fGPw1MAcGJkjW
qm2SZzuC7TkwEkfuMTgU20QyGxVz6Fxi/oAR0QXpLtY7PDrsey4ap1I7A9usPlR3pM6rbWXLaod/
dGJ1R4sRA4WHUdb4SoYlDLO2q667zFTbYQ7boyYISQ6CR7Ou57eFR/dCRcvHAQr0zu5oYWWTswJ0
55d4Kpwv3KkXGjEwHhs5k8GzpjPwykmpz7v7kVnXHoqKecT9GGy7vh7ZkZikTSACP+R2Mk4bfFnA
WWcElnoT0MQXTbjlqL1lrMv8pM8ibdMTbeHz/HLURQQFtBouYJFqhldiqcHJVeAZLxxnZ1qgFJei
OmDWuihhil1btYtkxHYal8MhyfAKk8uUPqxyY1Beel0cFiSt5UaoqH1KpBGBDCEbJ6nqrAeZ2Q8f
CitwiZyvZnZSUfuhLtmzWBOstNBFGJoTWKKlab8ZtNC6dm33DT+RgpXKlqhr+oIcjkKutOMVEmLl
bnSueQDBwjPW2+tGcq36AN91acFYVExSLupYttt2wFre9PqZ0p7MVpdTpgpLRtVxNuDR1q0TlBV5
q81a49lwwtHZA4wZ88y9TVlQ7YbUfOOG63sobtr0RbVO9aI7nSE3fZVEYGs1njTDjibyWYf5tWRk
MV2EjpXAGKlK+kgzwma+d0o5YSBqVfU4VvBTNnkd2fV2rmvnDEqyuyop+wgwwmHdU7D7hOB+anIj
249Nf04nvMvlMI8PeZKsl4khj30YBn6EU/BWCojQjkQzWwbjPYkKpMGW05uVurr3tSL7t/X829bT
WtNLvytfvZfu5Vvm6dVLTobq//kv6IwpUOTXH7vPb1/4TTjnvANBgfCbRogPHJOBP4Rz1jt7VdPp
SODw4Rg0Yt+hMuhKvxfH/dF8KvpSKknkdqZNG8q3+we6uVVy/mPRbzhKJxSEbwcw4xdAYxGNaeY6
dg9jaCqvpigId7NtdaQgWuwnUWGs4gMTdGKbg+HWwqpBcZ1qr0ajDBBCjMLKNUQqbfDD6cv4pkX9
AOkHS0gubynd022ecom3Qcn+LCE+sqwlB3th4IHUrc/DpIW4+0ME3cyUuX8HsQ0CwEuNzaFhdXnn
IewLN4rtN8j8Tu40ndNm1mDpVECmAzWyM8SJfWdrRXFVQGGATJcVyiPCLL7M6no8MA9mR2mkem75
yzAv722S5PacMi2rjTY6h27o5Kw0qxZKeTR4jipH7Jywk797Nv6k7xbuL7JBtHi4uvjDVg+Xu6I/
v28B6i4eGqxTA5Ba4AS64tfUgk4xfk/zLT7C8AhSd9mWusYtGEUXphsOd12ruR81s3kdIueiClCJ
SHuQ10KP6utUmvMWAiUgxrp/jsqUmxxUItKJbDyDCHc3ZJCZ2ypJhl1tOlddoV1PvH3e3CG5nWEK
7kZAyic8J4NnGzZ4iojrM+0X+5SbqB8xzTfhKWUJgfVqREHftwLah8HOuU2daNdTY2+ZGgqvaVmF
ty6bMCuzc/DuK4sqpxm/SAMtIbAiiPeTBnwKCEjFMs55TCGI+K4c186gKpE2s8EYZlrrSlCSaiVb
J+JI2N5J6ECESQFDG7T2MoAgjYi8KS/HyLKuxl6y36xWjw9Q7pXJ4Ejf1I30jvY525dTV1zG9ZBq
u7auEnTTaU+yW9LpAxP8ReztjA1YalYG+w1dYKI2F5slTA6yeqerxrkrSQajvO1KNtZJaN00Ft1D
NKTXsLwEu8upYieZqiNScKqTwAzOqpgCzyFBFTm4GRyIwXG83kHsQRne+42IOt/NiqdYBsUhZUhy
mQJR8boQZgtbd7VLGjZRoczgShjVTd4t0tOada89mlxtRuHs6hJZu42wxxujOTn3LbkwvS7mF3Tr
5Q6pzcRD4hBZn6N2Wd1R2UZadY0izq6AhIDyLLZi7LtTO1YGVNVBNx71vk5eVG9WHtqa2E+jmKNg
5LeDm3MUc+67hcgvkhlmZbtopNEP63g4iR4DMNlcPoN1/PrfmJ7Ko1EvxV6YGv7gekzOjSrynZ4i
Up+7A4xt5siMtqLGvZYhylPAZLCIGTHroGAtoOwHWFXILBAKDLA/D30i9ZOWRhCSacJuI335opfF
Ja0gwDnJsKAYJZXPaKgjwqrhENlNdjATQqZmk9T1DQ1JfhpkDPnGUfmxKK3kJMHf4QEP9xkeCMZS
zoHdRe0ZMQWfFf6dEveXIR+ffAszECZJlNimsR7D3zX/7WKTWlmRoslD2vDgmldzWBMqksoRDbF+
R6n1jRbxl8MN489+JnYjEE1IoynCfvqZI3mJKK9cRGBpYO2UGJ1Nq5nvg7LZhSUJlsQZPYEIY4EX
OS9JhTQyEvPGRne7jU0dQVGk7XWscMzcNQRQ2jh7YU76Rm719X4Ubw0Bn+dsDgZOE7HRrbHfVAju
4OJbMEbB7g0EUG9TrG7eBDSXQsXZOtBh/D5DlhQXNLhOHHAuIQ0KCL75m+MWasIvdxu8B8dBK6nQ
an8VwH//oqdBbJb4Hnu0rtTAiTHgP+XEPDsIcHZdtN5DogHN7ZQLv06mb3XbRKEhU1hEPGP48vXp
Kqgd1zPzpvrgYiUC85M65wBNkq+W8XnoOJ5wG/nFPH4xZdjuA0l0qy6hgYgAuUXp4F+tsg76yygt
jtygo0HTOD4rfYKeZAwEgNaWAY3R/Fz1Ve5DBsbaqum7oinbfZXlHYMPk7MT0OR1ulBYY/CDIX4a
VvA82nr3wS1Ya3qViZ7Pz6p+uR+zIfyi4M7aXrREn61sMaw1fE3cQI9yX/vejCmmSUogzQ+JC31v
lnU0EpUaKl+LlFkTygrdaU17wcpSLhYKuLg1wss004fbIJYo/MbawedK6+ZqO11HL7KNOXgaNmLC
uChak51SLfBhxXHDMMYuAmQ+gcCWjj+elNAe2zwdZRNGT/PcVSCV8AxfGbho1+V3urA5nPTkTeFO
H7bFRAbuRnUZWXQlV0JQkuKBSuwlRoG3tYm27kmd2dTZ/Ekh+N0ScZBcde5wguKcPgNhSOAAWCWJ
vGl+DJaMIVdAbNfJGvN5y1hB97nzV0tyMhzmKgq2UWzfsUeCRliND04i77SU1VpUFQvtaRRvI1ob
7ukw9lUk71gvQ2uvOPBNK2w22B1AX1aTfolL39yHJeDEJo3uuHnwQCVDe5yZsVDxOEdO0ysX7C8S
lvJOTlFIGhr7UsSN1V42RJ3FQwLF0HivsUNAt9V+yTXFuawRhdLpHFfKgdbQOZqnybk9BKCid4SY
GLtI9TriOvQ2Y8aQwajc7pz0IrjGyJy/9WbIWtHReQNoywZNcl8Mo9outgqfh8V5ECiyjpoO6wLz
UgGuv+JdCN1B87rRyDaznBNYTF3lW2bKwrUpCERrG9ioo7tL9WwhY7BRB6GKdGfaI03WLF9DrWd8
WBkv0KY0Ujr3NVoDj2z49jCREhUOyH+thkgx5V70oSIVZtCbvc6IbJsXiADojPIN4SDEOq5dVA2y
bDsnmkTBzojN7MrIJ/AQMJirThQ1GjVrc7ce/dQzHFBcMCenZdYCvOOgMZsgV7k9uUMeswXNAUdg
hrac/nkuy2TX2rl87mIVPk1RnV4KQk49VoDYC91VkKtFhNx0ICFHQjD3lZYiZyRGTpKHkNS2twRE
EizhaG6T0WQaVSGDtxLKkPG6t8v3ws1oU9HZgz+6hDtGI9c2qF4H7bpY5v6JZDLdM1JODgcV1KbC
e7fpBFmwBWrSI0cYJ7WFdqUDMJ4lrc6COgoYsvTqaYAZ5S91pj11iWz9KauUlyADvOys2nm0wHTs
0mzMSEFws88hTfoldIt9tTjgS+fsUysChgXI77xUqDeWKjOGMkVqdFq+GcGqWIjS95J1+TaIHarp
Cn5T7SwnbPqaV0viV0kGhSFdl4SXpYn6Lcn+31b071tRygb2MX+9BUUE2v60A8XRt37Nty5UvVNg
IPCh43yRDh3kH12o+04A1YMpobPXWpnj37ehFhUEX2TRtvy4A1XvWO2twQOm/g0t8Q/a0JVe8WMb
amEOZf2k1rbIYpr/Y33kwLBXaSPlltTNAZvlwGVssjR0emvYOXblouorABFnMmZFalY78lMin5oa
OzBjbCb7SG1XgAKcmvyRbLX6ZMRoyLLB7FFazsfvXts/aeWk+KW4WrGSNn8+hGy68ZWn+X1tYQO9
QXYSCOLSFUT3ME9srrdYGpxV4+Js6rYBhJ/PFdlarZaFB9Bp8AlcJypdZnLaYG1sknM+tByvKee9
beT7TvaXk8ZOzM+7pI0OBWKrSyAAEOWkrakb6Qw0Ue5UTA8oDPrnHEIgrFcsq0SMwXF7iMu8r71e
i8Wxntedq640FB1tHEPrg12dPobUe3hBA664sI9HKFGa+4gz6CHreuueiDfUqLYVtwismoor17Z7
7ViHNhrESdoJwhlNpiN/DJFo5obkkJswYyS2naXbE5i5VPapt0b5hDcV5n3e2y1CQalfiUXSQkLW
wV7aJ1WY3qRJwxE/mHlwzmedrPp+IWWo0pFs6TQUmz7Ir+Igne6tDsawpjdg9139oXNayZpJjRhs
URPamXkftfKMWtj264SZGDZYmskwsQA4mC2ZkuHiXKV22V+QrzQcxbKydgw6OnzIV00o5w0Eu8Gz
SlNBA+5o1CYA0ClEUNjbzkH0TLrDpR08WS1kbirnPHbxnZiF8JHGTLukbkwy7c3LOot8PcPs5OJA
L9lMPZqkS+5JrXX9yVj3BHbn25CP+OVokOuZNB/dYJ3kVjaICDZ5Wp2f+spmqIzaiHrLIf0uqQZP
yyCO9kPcfWAAihY20ANEWIvuzeFnO7abHZl67j7UyRAaoFdfRxUT07nJmm0O0/GEdBZOf/hSsIC5
MExkRKLP904IVzGo9ZqGlwtoblDi4UH2+3A1/05o3Qs13tg21ka5cg7dkfzIrHGusiA+VoZxWKVg
Tt09ZdS/u5Co+1lE9TE1kugDIktUP0ahWR1CMQRp5Gs0n/SkYd2Yl6X1Cm8tug5wA59wtlgUTOzS
3TJbdk3AnZYMJSvZaJhPNOfySxtOL0jXyXTOMpd71iCXumA/9dg5OZ96Gpf4te5UWHhNauTpvjAI
rpMqCWmJ2/pTZbvIEPIpBqC2LgFOVo/IcGrw3XiGG9vkoXeT/TGPajjF7ELJu7caMOb7YajqGDon
UeT0ydHyQatttgR6BxjLi7V0aFDg5xAI8XTMYgMIPN7lagxeRAKfmVA5jfihvv/g8Gp+xH7WPUHd
wlw3NctHhidURQ5WUElcVsBEYUhnHTDNFCPai81l+HeK+z9lBwpsxt8d779Mce9foB3/LCBC1bN+
1TcBkXiHcZS6kzOfj7hYwwj+EBApIIBIMwSyEFuuoorfZ7jinWCoy3jVcvmPryTkbwIi4IHGal8F
2gG6g1HYP0vZWaN8fro9V0+giWLCQsfwi5uNoxI+TNc6eIAW8Yq5QDyFjp6d2cHYt8oSz2QMh7u6
jbAJxQmSvbbNqqPLmbzJyDGzrnSVtITdSzU+uGxsodElbXlp6crrpewecX8i+ZRN55Zk6FjiNa9S
7dkl+fTNrDLpjxiC3tfxFB67gpMS8msAQ8Gp6FgwNj2lIo9PbUmPyU9flnRXIVAqtvBt3IuAz9S+
xSV7I9uxv8+tNpZ+axcYqhikKm80LSTrKVQpn+kXqyvdWL6M7L0uSxhAmM34iAaNPvtkiSRUD3l+
TfzLwIUsQIsG9JVjEgRMhGxydskH7mx4Hak6AwKckTyXQ41jDacA6REFze+ExugZSfh1XGjC8JMq
dYGjJUseMAfHSNO3MJRl2UV3QPBpR2I9P8hSDGgI65TgiEkz2k/Eq1hPIrWNO6aUfXKgiedKcbMB
LSmjOvwYJlJ1Fte4KXxWp+h483zwDNlM+4zYjhutj+Vt2dbaFTFj0dZIypuuITkt7tO30SDeIi7O
BewhEvcGBMblzTAwFkZFjtpcENcWOTn5xYtzrEeCuh1Ba+zUYKy6npMxKpyHRU+NDf5jotIXG3uQ
TdxS6GbnJHJrEqxnHd22qfgb2Iq1iD9uh7J/rCe91D3JBK7euuFEak3dddCNqWzS1rPWSmEkUyjf
dG6KSl0wXt1XhuY8dPCmNwt5M1eSf/VCl6N6bZrK3bvkJFxIUm1eLXyGROSVrk2EK2Ct1ziNewbU
PBK9Zcj0YKWtepodmJBexxDzAwCP/gs4m6LafP3s/3/rMdYf9JkEwCYOow6EwbcfvJ46P/wP/yu4
4bZ/bea715Zci9/L5/Xf/J/+n9+2UX/bPkhHmJxZf90+PLymcfPl5f/+7x8XWd++7lsLQaPA2UL8
qg7/DanSf05B+x3mZwiq/9lJfXcKWpyQrmLFtc4+JV/0n1NwlV3q2LdXHRbtxT/ZZPH9fj4FDaVD
fV8ja4S1ot9/LMljy8J6ZRgzQbmrfg2p3LIzOiIoAb99XnR8T+HAgrZpSgRC+cescclpqrIrlbvH
LOvLxwBGwbZR0uWjUfvdUmI97mXsx2kFw6UbjlaEPLmo+JYFCLBLNce3mtPEL+DPmITI7Eu/NNmp
74DAWQOOLD0t672J5/U80K5HWBHOcyx8A6l3MtYXTby80WG9WsS/qCJkveAiuyIqGiBLeIEQDXey
wEGikIn4wpJwwIccHU5+liYUGDNDrL1wJE8FcAf0TxVSEUP5kWatMhKElt14hRXghH0rOYFJDvdk
dtQH1aKF0cPszWlquc4gNoKjtsOpVkyPRjXW+9aMPzsjgbrEN43PUYyMPLIj/CpJuOtRi/tlKqPT
Ipr6c2HZ7PDbxltS3KRBA+8umHwMi+oWRT3JwCO8pZoXadOnJBwSJh5t25CxlDkTODLAng7UTOmr
5cuHvh3gjPa1ukgtt9pjUp7fyirobycn2Fszr5JJ0/KB5GQ8XG0+etSDxaVCjY5MrY22qQZhsJms
j2KckaDX+D3KRWIo4kyauauIRV526HHmPc8x74epfZjy7LM7xfDUVlciiSjLxo2zt24k9DnELWci
PWrfmC1yU6bGrVjJuIO00Hs293YErjpRzvWQdOz9O9veYfRF6Bb02fiEPo3/mvKZeDBl117H+Fuf
A7okr9cRt7EIMNNTOgItPEo9ZpXpIlC0mBOCC9w4KMrJCIAM/nFsMuB/2JtGFmEEBTDx7TaoCaor
3bWqdfC5WFB3UyDAvWUj/QhbobJDmKnWp/EjacPGPXYz9m171yaR5edBqF7LtlrENkZz4RxUWaQt
JgISyHaLVi03skjSj4GD+OfWKczoDnbeeA2HjHcnhyp86ZrtMm1Ga2IUjOvSN2OVwUjMB7pVwqFv
amxGn3MTXhACetLbt7rKlpuoQLFRgeVlzSoL5B2YoqxjjAaj9hqjHg6qi7hml7qXVxhm+AkTxybY
2gzzbIle7bw4ZhYfm8Ytr1KQK1dAZsNx2+T9dKb6WnK8Po72oVIom7CTOdcsTpc7waQs8tJyEi1A
Ryt8dPqw+iR1C3I8RcHCCu/rrs8ccv0OUxfj5+TrNtBaF4Oz04h9kA/U470Wiie3aOLJI8870Xb/
3juS2ZDimP7re+fiZW5fm/jHW+fbV32rve13iik2u+b/XCC/1d4kXALFoypHTIuPjQvpj9ob7hDs
E+bsfAYw96Od/uPWgafn2Hw7anJTsjOCifP7zftt8PPfcYe4qn66dZgDGZYOJBzwKknZ+k+DoJYL
wiiBpXkjLOs7rCwUdtgGnOyxmSrjrGeCUNpQ9WRbkq/HkTDbkkZTl874iF9LInIMJV4VzIihhr8P
Mqqnj7jAAXQl2RqEJTK1cTBXwSboVCK2dV6TtY25hklS2mUEv5LYRXii+TVIsUWDcggUc5LN0CZl
c1nBYCvu/x9757UcyZFl2y8KWmjxch9SS4iExksYUEB5aC39r+Yf7ofdFVlFsoBqFofXxsZmzPqh
ad0NIjMREel+/Jy91xatCVgUoUUQXoagkpJVPvT4EfXwPnGbfrwXRm3fF0LEyQF6zIi/zeLjHYQe
Wv6h7MxsPHI414aLKjAzfZWieDKWdRu36JmMqDgSx+zpO6h01QDJtHKTlxyFJKmNIy5NxklWejOG
Khkevoz1Z4KpRsAMEV3uV5ScFRzBEj3hRrqNK1a1XkaX0YTAPvq62ZNp1U3y4BZg7Eyx9fpEIV+n
76aoWJIiponpIgg6lvRRUYNTlxF1YDF7vEIQlr8ZbIXtGuIAWHURizpd+VEaDmusPQQgBpPpPEti
X17XrpduciK2CW/D0XuMcsveqimgAfAJBPDu7cRTL0bTSdrrvIu5rRWDDG9Xetar13hkU6t2AovO
ShvYsVIBl2OpjWogBQjyi0gzW3HoMpqEs9CtjXqZG/UUE5poI5zDMO2vhOkOw6GwA2TOxhQx2Z3T
Jpmq8TvcmaZdtudYyv/elefHgvf/rN/zSRtVn+veP+rgb5XvH//zf0pZTNLttGj8YnnKs58aA99+
5/viZP4GIYcvvQ2C6Jxq+HtjwNBYgdRp8GzRH9bsqWXwu7MIKJqOuotuAlYVVqgfFif7N3oJjudA
CDVhN/0zcZfu8iYfGwPA2Ojf433SbBMU1KfFyUetjcs+mdzI1G67Xq8K9QSoxs73wm1Tcwu0rUsX
DK6n6X/tQ4+VMhHkzFUGXe1Whh5JAmyzx5EYV3woKMpV9mWTwVnOAgZDIILamXQSxTeO1gKLpMjz
LTFCBl3sUZnQ4qEbGgfM+p1HmLoTDvMkiGP1tYDg4G+VAfDPUjPH5pJ0e6W6VJpUYYDLl4UuehG4
CCjbQMOeTHg2YycmsM6zPg5tuu3hBPBVraw8hUKjB7e9S3xqiJryLRVqJC4IPlHJSxmpGiiTPCOd
u2ozugTGFGQjIKMMLfQebnpN5Il6XXVNmm0bdyS5PTQQwtqWdPDGZ1qzkPSmbwchCEU3I4e0EI5/
3dqViacwTpTV7cjuFR66cgyNNfo4XVsWWjV4O33I+lubBrvLFJ0G/KImUmZTlB0KcojyetvOVay0
xUPouaN2gKA/fi2tzG1WI2wm8aj7NCSIVQU8P9ObGOc2HQfTXIV5ROJdgi/GuPU1sJhkseFHL40G
o6XrA3Eospuk8RtoWGrLdK+KBXGX5Cz5Xz3CAky6vrlzU/pjLXFK4UQlKgjlEFHl4cwvCKCqmi4h
q9l3BOcY5v1L1K3kAqemfQOqR1xXkS1JZ9aMhU4cw7sJsOalSEcBziFFyTYbk6ZeGu0Us2KdI1fM
c/xKeY5iAZ3QVOwhqTyO4xTWwvyE4BY36U20YX6jjyuBQCYjcsG3H/Jz5IvQiGicmTVZ0JxsNK6T
muD4yKnZupntDaakCi5bwmWskZ6yz2liRxijOBJTU25FQCKN2ptyb1stKTW4YBysBVN4TQB1gHo8
xH1CfjGuzqV9DrtpHFtZRqTt7H27pywUHTR+eu4FITkh/RjCmXie5do+B+m4UGcIbwjPETtlp4zH
NKWlC1HT0p69PCl3vaiiF7fRSf2rI4IsEcERiEzjRBYHIANcPt8ttFVRkkc5i/ua9AVLVu00ZkBW
gV9AezeciPzLcgy6LyIao51DT+2rGecKE7AKitfCRw0NrYSO242ByhtHO/qOZKbadXAhQLXIdSiH
x0A6AoY5ycotXOmDq3FZnCHUUZ3hpVtp0kK/jsH8yVa4MtLvM7p/KZ4h/mKyE+bQHGIsF0rrPDt+
NYRzTcnSC0Rs9ckjlwOODC9jn0B+ZPopGTp2Wwv6DPMo0rC8JcUzXS34AQj+bYbw+E+SbLzxqz6e
E2ZCLz2rwWPH1eivmLePDHKo55eJQqDrMmLouROGDJ4GPyrBIHj04pSgmodBbHJW9mRwciV072qA
P7kkHZmQI0EPC/VGGe00Pc62PubzF1tL8CH7qlP2664o0nWExWILJTZZWIoZ7PXYFUtWA5pfg0Z4
QhKPK7V3OpRqirPs/KG+y4simxfMVUF0dXl8W+gJVVKS1Ffo10dKE6WyrWUBlfeBACIeON/Oqyt/
lKq5CLXCrvfOZJVqzq4pJZocVM1kpqrOvipkkAh47FoLVBJmgwhRBVOar8nZkeWe3VkCqRlG+LNr
i+Q0HFzB2c1VnJ1d2dnl5ZwdX8nZ/WVUkxOsO7vCqrNDTE5mMXn2jRmThezfpcV/DrjKuUJjt/3r
0oIeSJh9efmUWfT9175VF1NgooEj0KES+NZy+6O6cKkuLIb4rkV3bfIg/1Fd8Euqg9SQccB5Yo8o
7nu/jUMRr0JKg23hN8aZ+88ii37SF1o20EWbsEeQqzhGzyejHzSNdl5GvWJ5kEmID1h2NiLToN4k
+cFTWsZ5ttgqfY8EuIgXkXDGeVY4z+4gm5XSB5dWTUZP3l6iV/UWNrXtHBGstnY1GsBRkN6z2t81
FmtNyUxjLgTz0zj2mLW11Xvv1eGlAPc1r9Mo38lmuCk89QAcrd2gimYRYVXCydS4h7TWWfLMwHgl
Mzc6OpVlrPK2KK5z/MnvAxCgRdY7xMenuvUcgiDa+J3WnfrUtK4gFsdPAVjLGzByAtTVSGNkhqwr
fQ4SxxRfLA54xzKziI5gc0dR6RPFDKrNbLSNCfBqScuoLmBBmShnxrLO7lPVCh7HWPogYdLQ2nVA
PLeosM2ZdHLi0mPNyE4SJvhzO10gOHHDlFZp9xvHI5tvSFh+et/uDg1NRtpfvXIhkix7l+GQruou
HR49nCB7phRyx4kl2/SdKO7CMM5OWAk2caSPS+TH+d3Yk2kjQ9ctFvokjrT7Fu6UTOKnQRBt1mYj
KtDJRb6BJA40zjSbI1aG7qD7ObztmDC0TdLqijovij4X23B0CfoTNnmWDZ8yYqaS2ie1JNpPNQaG
tC2AiCXerfhgD6UyU3D9n2xcYk95Zhpw9WR1bZSl2KsqUJCZqginWsW2M67MXLdfS5IVlg01zWqw
nJLWUeSg27SwpKFDyB8RPIQIarFLz5y+xVaVG+kJd7rJLIIo0KXiOf6lpaTepjOi8jZQZPYEuClc
wFysDlnblkA0GN3etd3YHorA4y0sh4UX1J3GwMdLiAS671w3T3EmRYW6tqrED1Y+E2LxhpVu8hdR
O2GU7dqUxvA5/WQscD5xTaYcBuAg6rC1zvkM5hTVQDZRcHRkW2xgHZLkoKlTqkMVTAkP8pz2gGqb
5Ae71JEuo+O7o9XCcKsLxnRHu9lGdNcP8SIX9M8QuFk9cgujtJ21oo3jtQWFUgdEiNR0HjQdLwrh
PX7mZBnSyYRvdNN7QXCrOgNuyIRkFZC40kDs7mAeJADPIqvTRz9NtAhpLpkHnw0EeuU8psnUhIwp
tIhiKhJ1Y0sBQChLdTK5BscIjtOh4cEMOCoTGUJrspNRTCpRtJWqoi9YG45qajQmQo2By9MgWmUm
TgRwcKEWSffG6GoiXrpxcQGbw31T3cz4Wg/ypW6IYSTcRNvaPTZX8Cq6u9PaQD+ypzMz01pzNlSV
v0fToeLvNUNapD60Kd/tzZXCHaB9jupQ6rLfdS77siyutEwZMYL6Ofe4kKuEpu83GfJ/2zzpf+/p
Widl+Jdb4G0evzQfW3/ff+f76drBH+VBPMXtZJ4nRH/sfxYmqIkWC2GCKTob4I/7H3PhP6kdH/Y/
BkT8DAUOERvMiv5R528aoH04XAN/YJykTfYtcAmYpD7Om+I8LpOpEb8IzSIMF7DGMwvUjZtvYP9H
xByB4EwOWRkpaCplMqXdwhDtFylJ17s8xVVKOh7RXgvReGp8CqqsWSQDy9gOupClXGqRa7/BZ8Vm
a9PiAhFkdBkYLMl2wckuwQetmP4X9ipCKRoCRTGvpwxyCeRW5kZjZOsaIehTo5FPwAuHD0bRukeg
Vo4xNwcX9WwTOcUWG2u5Dgqohg1maOJyPbEMbLhvsgcZMFHMl0Vry4Dzat4tCy7wFzPnC1ZWGLXW
g0pO4LqRtnMi9Sd8rIoKRmUgG7ZYjin6ekioErDhOP5TZprho1p2/iFADBDMO9+1i33aMARZGEWq
fhXBoF6zMMmvGIcG4kcTFXWtW6NWan3SkFBlyVtEdvp16PXhwZRjfxfnnGuYXrTaGxDr8k6YWnFK
XZPJQAbm4tgSExhg0jWXGOBJQMRghBWNOqC9UK04u/ct5rgET3jV0S909ykbhBevw4goNStkaAhB
0IVSFhJGOK4F/ZI3Fz38fiCd6TqSFR1OAUwSA6qP415N6RMvRS9zhUFWlpxqM+K06hn0MH2tF8Ms
rMIk4JTY1yj3iHN8cDkk7UxEVxd5UpXBTBksy9wBdzOxtEXxpa1yIkVcZFT7XNYJogaPih5kJNDY
dW8U+Al8G7fcBRbYSi4qe8yZXek8QZjmSrnlKBS9WeRz3ea1mr43Uec8DYE7slGEIM/mMSJvdV42
BlN9AhQRNcUNcKvUTyp1kRhupZHi0pOeBwtEm4ZUKcmncurEFmNhG5jyIsIaiiKk6fnvw8N/5vCg
0AJk4GHgF/3VAWLRyi/vP66eH37v+wpKgCnlOW78iXLNqYBX/D48UX9zNZUZnkrA6Tl/4c8VFOGS
BiWf/1unSjgfLv4c2dscIYhYoF5Bc4Q99h8MT3T3p5G9ja6KKEVezjRYTqef/3CEaAHbNZXwvDlK
3vGhE4Z95aS+Vy9gdFgz6YbxZQxWZ5xRwltXjIn0euH2wfOgZdFc0BB7y4nTeWgdkAu+wekYeIZn
OsuYwG19Tr3hHnmaQYfCvZcMPac4RzD/i7A0CRcKcfHVM1ul3yitVJvXVtmfDGaiK1xx68ApDGYT
CSEJem6XlwLQ5EKrU7DSumb6O9yT2mbEmgFw/2g0HnzjVpv4KNl9N1oHvRvGgy9UdeP7ujhIvsu3
VWd2tyVmsNewdODrqlDhTkXW2PMKsdjS6XLCU4QeVwEeyHLsFrlajDMZKAeEXLetJ/0HBg3XFkGr
h07izPGd7jJrw/KG6YCYwULrniB/4GPRL3xmBqazNtpoP32ps7YCcGu3C9XsX8sYTmM3jo8y7DZJ
rO8j3zkGebjy04YLKeU6SItLxYc/aCSgMEebiYhO0Z7s8XaYbDMxcTRtNs+l+tip5hbH4M5UmldL
Gy+U0HsBtLzIrZdMxHOuyWLIxcKJgrVbl3NpdBusEgAwGHswtGFsopiYMmQxa5LHLrVXhV1c2maz
yHNw4zEOxXkO/maWFtWRoToej+S9DZKDhF2LzNq9DGxnmTpvibNyKnGr5VwDol4j1rMgdQ68wIsr
K9LuVHCBHXgLcmsOQym/QC+cGz49stBMvhTaeF9RwrpnzoVedTsGjHS24ysJ/mjdly3ZQDWRCUK9
0EeGa/6EhoODjr85lbuCRv9p1Ox5WXpfvCy/V9zGWY04cue9rC8x7/RzLw9p0GFSnOkR9iZaQ+xw
JGfPE7SnyLgYSGd9jcoCR0oZmBNXWAkWneA6aX71ELHxrVRGVwtw7q9dSYCrrom9aHx3CVuMQWu2
roiCLVt554Y1RjIgfWP+mrqMD1MiXunnmUVJ6BXlxmGEK4Zyi/3E8xhw9THFNQPFO/xGaFuRRxuF
fNWdfptF1aK1kfP2XlRh4yUHl4MAdN8y30cFBI5CxUealdo+63k0IXNb+niVuNbjIOunWhjaXPGp
iOiYYSw2AFnKfoM9GgygdirDkY46ayFAd3mdaukth45rPGfY08z01Hv9BmbQFT3VleqQu5s2X0uX
i8j7CyvEGh1fpop5Rw+PxEXbQL9LDMIgjEfWPcIr9Jc+DCafDGJtHqZjbofswJ1+Z3mcMRoJE3sc
+hl5JDAFFfuSQ+kr3TVlVpdgWsZhirPs0jch1EvRhNXSkvy9VVG+IR6G7F3QlOjb7E1P+je9U/y5
F78OqERn9NcXDpZ3qDQEDaCxHIxdFA1ZNmfNdRZhDrzUi2I9IuyL5UJWEvLKoMO7gBKssUbFjXn1
X7WZ/s8UrBHN8EvhwPPEi0zeXuIfd0A0At9+7/vup/8G22tKWyC9gqaXgSLs++6n8ROsJphePDwn
Z33An7Jd6GMq7TXAWVhRJo7X77sfMmB+AMmBBhpm3n8mWIPh9ukAYZKIRIOPcwzHHv7J5vzj7heH
JbThoFbm4eCl5bOlOAluiaFHGCT9EuE9mhWkAmDJZQqKdXS6ddYJzgCM19L+VmToCSAWB820IicO
FjYE8TgSRAD8J9S7Ag5QaPKoAS9/qnTTUGajWdZXKrOfCIN9rF8lhSip5BRdEfj/pxY9fgJ7E1Pl
I7qtXHTyNgHQAIc3SlLLK5Gqe2PUnltPfRrsLNvoYTGvyjhdtvoI/7aMMISVBrqyNsBvnJb9W1zn
j07RJ1cxmZsAoCZkbAKxWoOqv8CfNsxo7gFfUUp9Xik6XKsouW5VwpTKPF1pGaCCEu4P8ps9PdfL
yMrfmAqtDYcpjp5el3p13xaPoo0QVqn72uiuaAQtIIDR2mMrnYWxdahaGk1RYTAnSq8hGN2l1A74
iipjjYRoRzDRS4m3eabo0TqIdfobDh1C0qTiCmVUUy70UWduYbTgsPJHOTRrOnczQo0OFrwCr0hO
ZaXeZ1351SaBgfuZvid5l5yaDPAxs5+cujyGMJ8o7qxKNHEFJHbY4VcxFyYJDjT2C/vGRP62Syvj
GrRzshV5xrpnP8qsvQ1p6eyHfiJDIWJAnYQuKz30SXsk0vrGVSKYXp27x9qhzGhbXYMNXFaMQEgu
pcN5IQR472YiM0TNqYryvewN3tx+LrAFIe7aExOPCDAqFmTLf41SA1ew8pK0XxynudfLcMcdvRl7
4EFJfcOQB3+I6z6QDbjQOtqulnOJADFc1LbN6orRdNZrgJxQMJvtDlrvTSZJl0uGUltYbnBsYCzn
pLjble5AdMi6194dFlUrnT2kq4tm8I/EFV23rrNtRjw3qlJVT9S2mjMX/WA/eG2d3BpgfgSXskEm
9l+1UH7oxBzDL/iv86/N/wqhA8aEqfb+62nE7CX5v/8Rv9dh9XE9/f6L39ZTnQECiirWP1tjqEX3
//f1lAg4uiFT8poHRZHoD37y+3qqTpAblf60zsDCOY8JfhhI2FOTiB9OwwR8Df/gNPHTWYIEVU9j
A+VwqxpQXT+upqFlcnAQMEoY3n2lx7/XCLf3m4eSoYRjmosfLs93IdiP0WqfZV+4QQyMH1gWdduD
9/NJbBz1CJVk0qj0UMJ11pd3nemeRoojkMioEwFnAQ7nj86+PZ48W+I9/xfve37hD5RO3piLzOQF
t4flOtMH++HIVGSVB4I8Vufj2O3yASC1YI48q0gx3Vdn426/gpMGbQegzrwSI/J+aGNkagTLKewS
hL5/+etr4Uzcmp8+E+ZRFx2cipn0k8wEgXNZujaezdTSumVXUNhyMIIJw1I39wEz4gqeTCXkw950
evmEsuzIpbkx28kGqVJUdUnzUjSjQaOIMWtoEPTg0tTFngYNUPNeEf6u6Cc9Wpn2lkR+CzJHroVZ
5YCwsgA7dERCSkXAD8187GfYuRHrXXRsczBnvnY5wu7R8u+Dzts7bnapk2o7h1NBOozTOsvB0o+G
4OZJMcDgFJE7x771XFV9ByegjVd9U5VzPff3cT+QlAOScIHVb12WmroA4E+Salzta3rnm07q1SId
0k3lYcwmd/2tdJKS4Bc5pXcnxcIlFRAyATVmI/cKQyLX9EG7NBTCatKMM1dyNgtaDOS/vklnvuin
m4RHiDM/XCJEI+ez+A8PjkZ13Xm5UOdKDaofUxxwIERKqw4R3RqUDSE9w8CJKK24KrTCDsCfmLyZ
yjIJarTWJhD6CD73zFSidklZjus1azJCmDwqcpliYNdaiGVathUa8pmSBbqsLGimvTy6bgNZLuht
iA84blw8qv8fXwzC3y3qvclLQJLyxy9G0yhB2aJvmicVURxJpl0Qn/KixgNDoJTBXWVraDSTRzCh
zcqMkHs7xODZClDbzo6WiBX/jkAyveNPV9xD6jX1iFWazh8/UQoNvhBhqs7jwtoVgzaJ3sebgEj7
mS7it1/f32mJ/end0MG6GKlhE2MD+/huiLhzG3Q7K5KXEAA70MBV811fJo+1Yz0gxMGBaoTXrQJA
oc88YnZc8TBG8JyQJrRzM46v+0ZTYGeMWxHSXyHrnS02IkKJlsxMFualpmurMHKPURI9VeMmE8GW
Tiff7qBniuLxlBjjbT307tyTyMvLEGl3MkCqF3m1N0PthTHqLcFkARITlZFbifcoC4jkJd632Rt2
dgwYWG6LXlz8+uL8i2sz+ewYlqPTo/L7dG3smAj73KMs8fPmukCWQfaPcYym7sqv32ia8X++C7wT
OxHnA1z2k+zvx+UZug/LQdhqc3XwMDw3+OaySRLrj/T/yxjmj2XE14lvvMV0UuiOJNrq1x/hX/yt
PHH4+E26eD8vxlqHpa21WIxHugxLZP1vaqmepnf89fv8i6cbJ5DL6gtdiEjNT4t+bjamRX52N+dg
uw6G8EKLhyuGx3PNrP6G03wGo334JsGnm7xFOtGznOg+bzBt6yUj5Uc7rz36bDDSbhllkCLFOzcl
jfoq2uSiW3VTYyStcbuZQIC9epUI5Zui5a/3358ObRMfW+UeT7R4OqGf9l+4wCRZwUyfFy0HHgXD
46z1CsJOvF2a0OYfII2lhJx4goCNLl7V2d/Azieb1cdH7OMncD9deEdapefW1PReSFzQUA4bmoUL
I2dObTS7FDG0Yo0r2NbIJqqngXwDP3z69b3Xpy/MxxsyXQXXPuOsJq3qx8ecNEiES3EMEC5wcFT4
t50WPiBkfMqLLlgV5DvNjDR8ZOC1STvtC9iGVd/rD0IOx6bqbwQOVcOod+TkPZModw9Y9Now+JOy
Sh6gke1oTB2CrvibQuWnom26ctRN7IK0rml9f/zUmXDZ12zCjgYtWCidf1UXFjodd1XoHvF17tGq
3+qmfPj1xfp5Tfj0tp9Wn6gpR0F0SzdP8eqDWADVDDhpVGC1aiS/hMtSzVZF360Tt/qb9ehnBtb0
3s7ENmdHpOP/6UbhRFVtqXGj+tB/RFdJUJWWndqa/Iwhv7czKpww9K5xep6Ksnlu3fy9hcfdApjD
iqZsBIvkPO5T1vjwaEXZNir1u1QCf7XtV5OhYiTxhGVinirJq9sOpKqB44hpcxL2ka+FUW6IoH8x
rYyZ0pCnoPqCFRTtB6LOOZDGyE0tbJ5z1xWnInQu4Ui0X+2q2Adqdzd9vyPRHnIXiYoo60PFEOoi
I0/ZUztiy+sKaSMoSDebGsoDUSSRiPaJ07MROQGpdWH+2qTOnUkslZKDqcBUekWT/woD0rKvk6fa
ZitSswWM2dWAn8FW63WlEXlaN89x2mxhIEP0UqsZ889lxumCyL7hNJTgKjKwXQs+BZSBInhA1CIB
UdNOrQN2l18/QD+h45lyTwUEBhiM0QaTnI/PreNwOwIVkhviROCXIRgLs3+D6vVSOuK28JBgp9mT
qdzTa/4CzfpKSSGZF3RO0lhfjHGGNSoHRpQMl06dbh0xCb+tcpbIKbda0kXo64WWNig/+rtff/bJ
AP95peBwZwKWmciXpvOpydX2AZriYGS1Kpy3oRmhatDS8oM9WME50aHLCBgHf9OyB/aEI/pvrh1N
3c8fAAvQhH/j2XfZOs4f8Ie6F1wDQRhezhvDpQQcbLfjA//VuCS4KFljn8NBaWTAzValj8gWwRkS
pJmdQ79ZlanuUFA63aRUBY51pes9mNJeZDEkewc0xJYRFlIpnKHFM+cCThQ6ibL2PIcNw6vYmCGB
cqnhPC0HTOC6H49f6MKrj22p4J1WOWiv3LJoQCsNnrUHHCf2pUkUWHymQrhnQgQWgg6+7wSOCCeE
hD/BJNwJKyFq0T6pYa886RN0AmSH/0KWabhyz0wK01dBS9h1zfRHHT1YIqKaGBaM3OVTcSZb9GiY
QpoxE/EiPNMvgFnSdXQnKIZ55mOMZ1YGdk6MRRNAg1A4WBrlmavRqSA2jAm2ERWpnGemnzE9j0mw
WpQTmIPRHIwOpzK6u3Z0n5tUU/Z5tck1M6fV6MZobat44wvLe+gaDh2lakbLFLbXSyWYz2gT3oro
zndJ631rh2FJxTl2SJjSZO7ZDUbaNPZXIUcog9MNwV2qj1Mza1fI5KKVMcKe7XtQ9mglZ1qIJScY
M/D5sLTt3NXXVdO/yZgvOEicrSIieSLjNlsErSG38L+/yjp47fRhzZDy1BPpDOFQPrmRfcirPiQr
oGqWql45a1sL9I3RlhMGTV1BsTFWoZmtYbjsKHe9VYoveaZ1xWsI2WwmElD8mpFcV6OpLMy2j1f0
M8p57OuPSoVztyxjm3Sw2J/3ZoiDNWG8VTNcrGEFZGk+N1SxU108Af04vFoAbOfd6HHohtQCozQn
xzUgW1Fhe8kI/eoU4tZygJud7iyhv9LwdTgVma2UKwD2D04X0Q7WpbpOiIhkFKM/Znb25lvm2gvQ
m5t6cueXnGI7UzfWIvV2dlRhCY7YzkQPpozzNm6zQAzzxqzvCHilDUmCWZgFL/Bm6FRE8U3geu9S
DTY28QhrZstPSVPcOoEnAfzqDxY2idHCBheNjIcitYxW5dB22wg25c7yBDIMt4WCpo/BXBdOvEKB
aM00GuhzMx3UBxUUgTNjdA1VtOn9nTFF+GWs+XzjmFy2iVcyDGuiVdoFyANbfRkInlkAaPkW/vZ1
Z/nWPh4HsYqxYx2NAQUg3DSMqZq2YWI7XCiGUy69uBHLnlTsPSD2gOyNWop7Qq04zoetRf6vSkyX
sQht3V2XiDLCWTEhENMzDbGfwIjBmZFIW4NHUTuzE7vyzFFEIeuwQqvddTk24piHrlIvaIWjuUFR
z3JeSfTtTBvdtljqZ14j7l7YjfaZ46i3AUzHcMI7mjGgR/vMfAyhP/pnDqTwFeULETzyJm6NjL9E
03rCTMPBvXUq2v6yyDFIxEAnacY05p7xS73hLsPHr7DJxOfGDkMRKP/AUYFr4Fj3mrlnwgFRpbdx
8kR9BD28M/zuiyXloiQpfeanEeL+3nlIY+1GK/qlSnGx1K1h6+p1t3TvOIJTJzhMozvvYiy0djEC
VFwUiYHyiAkzzPlArOxMI2HMSbEEhxH5Y2l3mVrufYHnfOkQ2LHw0AYu4auiAIztI86VZwd7zwwW
H825MN2bCb1/02PYb+lr7vltTid55vmkCtt4e04QNbtlEkYHEkbA6dGdbmJKWE32Ky7rxg6T10q3
L4IafEapEkVWhRs0l09D9IA0eqr++W5m1j1tpQrVErJl100u097cO7WxZIW7H4W2Qwa0Gn2xQTR2
EekJ9sSMx1WQqVlfFuRxeKW44ykgxsE0t0pqrE3bP7q5eReN5he3UztIBoSVGwUf3WjWfjasyBRI
ZnYRri2gyrrvPkO83tgtUuwJaumk2kZ4NWkBwrMWHQl2rNEvxN3dShblHl3m2A9HJ3VXoh12gUuM
42htShuA1QRMHrN+GXrdF/ZCVqTqpFrhLFGRWvQ1tga3MK7cUg1WrOnrOh7DdWsqpOsW+REhL2uN
ePPTEkfYEDHKV5GVsnUM2niZt80N6Y8EL2SUS0X6AJXzyvfEzah3KEFKFiP4xje2V4hZnJZ7r4oB
qZj2qh7BMebDfTi8Dd6pManD2BvaYs0kbZhV6RgDUjTfMzvc+gFTCmuAo5hGxnPWjuuwkNclWrNF
V7OkOZV+0qCpkiyjvavSIveByXgiVIucFucp8nH0547flMecTJwL5L9Wvpbn9O3BT0r9KF2U3qlZ
+cpCK6asbu2c2w0TJzOfbLJmWi8ub1WYs5cp9LEvbmCj1g1HUASOlgPdpWVePIxG00U3XjnQB9Uy
td9RajiM1YXx1INifEpz0fIswUZhcfO9BHt8T88BUK9DpYESvVRv2XwLhfkPIeSrzPBk+q2C+reA
9e+pKRTcHBH/emryhMz9pfk4MdG//dL3CbT9m64hN1XpX6DgYcz7+8QE8zqdWM6gnL/oSmH5/HFi
omOrwKFu6daZafLHBNpwf5uOcT++3j+YmNCG/FQbIyVkzm7jREUCRmbe5+LciyMbOBPyUCuETqzY
lZNSj3jYqrsR9hpQ08IaTwLd1QmvN6I/teF8ljrkI2HCq/Rj4UIb3dalFl0a5gCaFi28mpFMEtcM
ARvqvJkTV+kDjGanhuja6C924Ss+mxrxtwvE/SgoCzNJx21pWHR4nBZy0t7KO7hMeq+cZFdUV5pV
cABr6au9u5UCbzn1B3Dsrlk1ER7FsNxRjWL6C4VTggBMG5PUzrM8UajTp3bbkrXGPksYxYCaMT0L
G0ESlYgcJ71jcJY+jh50+Xmso0qH0jfJI8ezVLKdVJOmF2Xv9qSkVCdNJSR+ueXYg9CyPosuS/JM
0mVcc7pfqCM8WoQ6xFhSqkT2e6KMRo27zMjfVJvsVNpHVvJQFkP0xcZbm8355AlJ29ymJ9mFhTWj
k1LEO5+a1Jm3ucv3PVR86wXVE7w+0RckzqWuSi/d7axh0/fkxCGMARfCFtrU4Ffbgn/RGMhCll2t
OqvGaNpDzwrvzMpAEiIfVoUJgd/vnVOrihg/CGfAeQDCY6bzXN5HoqTBNL3klYJOYq9Qf9MRxo92
inUKn7ILoCp6xa3R09fM0ZdCrSVySrOy8t5p3DetdsKNFkpr6xluuksMjh5SJdkrqO3sOYh8Y+Uh
fpmq17xesGAOEqygX9/1Tet8dU0SvaeZSDfHPBL3K8vMlHfb7d29ireCzg2pzhetKxp77RCrg+bL
L11/Vhn+4C4Tp3SjOSNob28qZdUtolEb0O3WKYprBmRg/owcTxApYxmeYNJw6DFEReW+G9gllvCB
zXuyC4n+cTy5qWyRk3bH0Mnl8aHxqFvvwwQbOC8f/15r/36tBSbH6vTXa+39Z6uc/u03vi20JkZ8
ho8gJiZe7eSI+32hNXXCPyH00fS3vyV5/rHQYogzwMPryHwmEgC83D8XWighmAsgu36fZ/8joatj
fG6WW/C3+I9BwxgUIH78jx2cdui7IGiIqcN61NJQ89zihIBiLFb9GOn3YJamVOmYc+ksUEf5otc+
lCnZtc9ylHTNBLokexY7El5n28R4fP8fe2eSHDeWbum91BxhwEU/qIk74D2dzlYUJzCKDfruosdi
qnZRGyh7+3ofGIqXkvJlRsbsDdIsB2kWokjR3S/uf/5zvqPb6PvnKrTGftXYKWMyGWhATTRXug8z
STUMPHPlPpnRpJarXlWSSyxbsrmRS/XuqjZGBdpdMUUr3B+EYMounZotDmKISdJ+Dyf0yknR9zr0
HVH0H5lh3cgouGkqBt9W7e/KgqAY3LmDEzbnOp7P1Dhtbe0yNl+WYH3RNBvN7e9dlwdBbybxugWc
yoAuLrWe+uDX9TX5IewsRbHhOXyTmyXkzIyLtaZmR5F9bdnKTioJ+Rh+GMSlFPYmS+5MiOxmxjS6
KQdEhBZ0qJUMxV6U4evMJHZf8d1RwClW0KlRG4lZ5EMcHkKSyatQqh9Al8DVBfapAledJ9W7tCvf
Msu9xhb30cyfA7IFVQ7+TjqPQ5e84CW6MQlVWQZ08qrtdqG4igKksyo+RA1eJzGGF3zCVMyn9Gwr
BixYk2J6wzoHzeM4U2IjjP4uMovjPLIZdYPiOPbdLm6cr1YHq920WN3rxKNN4uBBnW4bxVwXcbNJ
Rty2DYVWcRog6In5GndtA1ghqjx8b1eioFddB61Och5DV7l3CuVg1I+6qpxixaKbMZuJQ6bkMujG
Wtf0iK50XJDcQRMaZ2LtrUgFkIESgaKgucEUWF2xak0Mx15HYVwvtFfwlrs5pFCAQW3Fnf2AG/Vl
aIyXqtHEutYTXusECHvtYZveT4Vybgzjoprs3IsqvW5q8hnlrMvV3OIPNb9FNbH6EW+yWjpILaaY
yb5EGcX06TUkHR7iLYmNdC9d66h16hE+0zbNIoyrckwOVHukr6NW+RlWLjoIPtjlXzUVS8aBGtY5
v87Y9mMps0+loTtXPbalru3YKSbxihDFKnPpqXALOiZLead2cgNY2lwrlnPQM4LgbcDj0750MVDm
BPJkYNwkhhi9VOKec21yg0l33Uyo2bPbXJmUoNuOfDBbq4H6kxwrwo6873CsU7ewUYuvQWSHB0gQ
pHnMIx/ZyFfa8JDV2dlKMzwDc6Ty4da80Z6/FNwQzKyKsThDYU61o5l2O8UoCZ/QvAhyYGW2tVy1
sd5Tmdd+RAEGD13cS7zJFAOZm5Zrjt+SdZR2kG3ycCPodbT4gLjuFn3ES5JtX9/npeOzCuE0CfeA
uHyrWno+qxQmcaLcS9de0T+4LlKS++qXSQEC0abvBFdxAJ5s/ksHxt/MFWtFhOGqVV9hiQHrwSUP
Vr5HEF+J2ki8StivbV/dlbWmraNqumAuPGkKsysOdFxvreKbdXXXD/LBsJtboZG/4e2gMk3bnWmu
m8S6buiLqni/roa5vSaq9zXqjNs6xz+slsdcUBVfxzt4fYSaYAIh7poyepGJfYyrN07NN7KF10o5
bluOBjGqFydzX8Youw6m/A7o0GqeWj5VcU/IdNpXM/2VCb5v7ck0mg3RrG2IXTgJNC9UYFOMOSxR
y5yolx8tbPT4fDOmxHRe+lgxiGxCFfWtrfJyZYkUlEKbnPQGpofRn0FX5CtQmBFXRfbeSorZwzRe
G814D5xoFyFMUbVw7OZgPUftMXFDr3CnA01K/B6Qmsk58zZJy7WorXLdOUe0P4ohKwp1sDXHQb+x
RP9kIOqVdvikRfI9Eu5G5RNEXyb4piK6UZzyqR+IPk1KRZNFPL3XheW1cqbh4BmVkYVdRFw7UsJv
EToTpyxx1XIDdfBIGErD9A3itUO2HNIDY7SPmr0Lcvrysv6OyME3hXrnrsuBeoiPLMn4wFlfnL4F
oJ1cF6X6WnARozARMuKobEKFo3cuUz4mbOW3kYwveTLEjO/pPgq1s1O4OyyjvjKbXgXCQ/aRT+qT
p5brh0WorVpO9FU4dX4xj8mTmwj0aPRaYmRgVXlkRCOJAUYF3RfYLqzWUNGH5+OkGccwzU/4QV7y
ART0aFPxgdUQk2aMQ35OVoC7LyDcI4/OkUtt1cRlG/Nshv3tgKcdPPd2yieY2tbexODCbXWjoVAp
etTtRju+zaKwos0TDuGgHiqdw5c/ATHi2FTKmR8W+Y2mzzKjbyjkJYQ5Ea8GtecnpgHS5yXemVOw
DTprO1bOUxgZCH8NPZ9g9Hai3ZikzJMKS8ZUqxeIjmOLMkO6HDltuG/ARb0k1pUFMc8zWhCWhXKX
287s0SUFXbI2NqPRLi1n6a1O3iVM8K6O9SWvzpOZnWgWPfUDfZX5NqxVAPqSelrWEs6tbU4PjvIB
eM/YtXF43VojwxduLc2Fl1ikl3ysqjV38FMLvRx7FkWvVDWe46g+2KPgpzNvJLUjpIZJoYzx+xRM
VyJwOQaGk2mZXytgWYwNVM417l3V1F81Qo8Bgi+43GIlU2efusNj000HA8kNZNaDO09bJyTvowI2
j5sncpPIv/XJLru7ANo5CUkeeDRqXsukAFs/t55C/5RoH0PpLoMS9TSjK7eRi2mhr3m7Oucq0I9B
Qu1XnzJytdgGaUXtxtJFVVQPmtU7azNVrx2W2WU4dxubAitQnPU876zCGaVXa1UcbSgMq8drde41
QEgspJ7iSh+GbarMtcLkgnTDRqasjFMNGNhL2uacatLqeecFhPAFI+OZWIJSH4zAwT9Yttgazv0Y
IWa7RjOVCPSwjDzKOXK/iMDVGNQFhX5rOlm8nQrmPSuEI+RpShRR480/2+vg9N5RBkLtUZIaA4fa
rH7jQaiJVabl7kkNwslPJZ9/UNJ4g4MpuItsoX5ThmA69UHdaVfklEjF14rzAU0FDGr2aVynh0f2
OntP6pH1VStLBFfTRESOjI4msXBInmszedFE7W5xyyGEJjqMoNHR2cPIadA2Y8InVK2Gol1LNIF1
0dLOU8XkweehxHRdhpxNdFzp2Ke4Rj3lstfOGWUSB6A2gG8UpTMg0LCuE5yIYU6CiooaDtgui89O
vaQ9G5XbnTFmH5aSsqzrk4zKz6S30kcTjxQYYyWs/WyKg+eEcvd9ocXTbRNHBmJ2qqyNNszXWDv5
sZlxy6MNEP7aSBz67drOXS4Pg9rOWwluwDd7s7grEX2+uYFaHKj7jMZtIOmCIhOr80vN3OX/5p2G
0dkp9/boFncK+Psd2TR9xjRhNp7sx9ILcdf7pcQ1JAI7961AzT/iERiRWPbflmxKr++4xImEV22m
/qhbZ0tCoAFB6Nsiic8YK/leAR10e73kgJxb1XgZSxmfqwl2fzy5mHVUo6RKqiv0VY7x0EcPWnzV
lQ7L2ogncHQYiOZyreU6+Ki2jgZzLWQG75AHQscDCYskO5jJEdYNlV82im2VlkgATtqPG703spHs
3YLcqtPHpBT0mhd9OzgYPCoaW6vJZO1Fz1Nb/IlP51cXFJZcXA+ORsTCVBnjfjHJMOwXwaQFlueY
XekhQdg35kzBXtfLyfthDr387nr50Qr899+K2AlFYwYhE2DvS+b9R8tXg1O31erG9ISVvmjmfAyy
+MMIo49//m2WJf+Plhv+JcLEaaWxr16sXb9odVAardbRO8MrLRz0JsjGrvx35nb6VxHZBucu1oF/
LEAcX2Tzs9T7/Uu+KxD6b+SM0FINrBq/03W+h41QIGD4oPACG/09T/SHNX6pFVjeOwZOQf6yRQP+
mzXeRZFwCBktkSNqRf6KNR6L069vHt42Fio0hi0QCHwaf36PWo0roiicyMUYlfYIgWbs2Jp0VJEx
cYHEzGezCjaBkrZ+XDVNcEeNU1wdainAnKROSQtk1PUYk+F4Qc7IlR7ycCfdbWX22GSsSRySWp3u
hD1W9zR8OJwkqkCK1PXhInGNPxP7YAVHSQBYQTd/Vlj4rbOw38b6pqDDK7a/1JxRk8FVZ7xVl0Wu
JNmHY3VdLfFKv3fepbNlJqMUS7nEcPlp/kh8KwxeUFFXaaEBiFmsVRxTMoK2V1AwztzHnNla+qV3
rE0Wl6fEvaKwbiURAXtQZyJhPv9gGnN0yleg5ak1BIKiP8wMREidFKJL83lOq5A9YtJtlF75phY9
iP3svWWYZtH7mkyvLji15Ya6t8S2d3CWpk9KchfTfqaYj2oevMFHeKVyazll6XfVhi25J38UqTf3
41ZEjgdbhkXaQ2ASHRWQmVOV1Gcb7bUi3hezQe60uJTs22UDspvr98QLkI/XCvDEyE6uQ0Iz7nGo
Ojacw7U0+2E3WVPi2an+MQ3yq1uyI4eXIqS7V1xjZ9DrujI7fi0s7kW6LnXlncJPXr8A/Zx88P0c
W8Zb2rebLF1XwX5OCEHNrPrnft1LpFxjwz59b5bRewi1wK4oG1W1hyaG5OqeW8FgND4U4mKAe46U
h3KJLQfuNmrMr6ra3YfHcrhP2CcWSb4apw+9Ste923+d7WwDcYiZf4AVztKfppZsxNIFA1aSEGYT
qaTmFZlXb9bEPqQJR+pFTLlC+JKABQ+tmbUuClZ91Rdw3FNr2+P99dn90nFfXll9X/hBotFgwAeZ
h+NNHNFjbukwblg7qovZ4Ng69wH1gZRh2g3jfA5obkvFcLRlm7MyBr/L2Oz1vC00ZuMU0rzrqfW4
7q3XcbxT9G5rDao3Is5z2xr8isG7EVu189CRbifcckRC67j8Gja3Yf8297vOiu+6SmHh7fqAxVmH
vBXBdi73LbO/Nt9JfpuQRp4rNKDCDahj0/fuuI37osNKcqdExRd1NFBh4m1qTTs9GLDYELBbSgLn
iZZL4Vk6lDfZeVmtHqYkuCrbjs74mPdogiu+BxiJ4KbF4qS0+odZUFw53TjjHqTfVR6FvoZRm24r
IO5WuxGtdaQnZV/hSAL5VV2PIwrfGG4tfdyUWktdMO/dWfUdMulMsn000NWoKF4F4ap0TzoVSKXq
q3O6A7EeoBUECydxJqTS8Y42knPoOjlOO+sSVm9wew5zcqaD48RegdfJSlWvd7NvfPTwjamsX2og
ftxZwvfJRjgh/IgWkeuP3fJvx1Saed3QwQ0I3K9qwaIY7b4Ezcdw4ZATkPZKgUlYNfZbOlHDk9ib
qrfYsCKMtttMW5mxfolABBjydYyLh0k8p8XF1akymRDsjn10BNr8aDKXY93qjIM5WdTOHl0cDJRp
R7iQjLE/t4G9n8OAPqSlydB271m9eArk0zdAgKdwQvAQDS/NPUh7f3JNlu/2btRuZcY4l60aKupV
LjOcbE3TbkCb3c5Dg7LH5hkz/26QXIQBKoeHON06vJTNEbSB+QVvDNWbj4r+QDSwSO47uUtrlzij
zWzEuH2NbdElU6+4nhKxYMG6q2/smYkzartgS/LjFieM+MReMbWwZrsiD7XSW197Lnum93vQNRhG
1gribETJLL/MTc/wHAJdXE/W0XL9DGSi8thRbUnZFgwFmg8QQbRg48yl3+eIQ95AZ2daHit3D9XU
Jr5QfSBxZ8JT30dnayRbMdDlZr4ljEB4TWNr1TD+KbwvidAH8jTPjxUf97B23/g8Tm62j6qD7j5M
bPMQZQqumqUFehuEmph9BcGG1oSYSE4WfDWDaztg7xgeKWIzCUK8JF8AZZLaPk2LAWjYkaOq6WR1
1iPxLiSfOqFH1m8Kj7MtprKNnA8nlmU/R0/S3Er0TBaKjrapI7yviA9kJl5DYkZ16muZV2HAWc2w
N6O086h2LjnMWd1ZPJSmXaK/BMWdw5xmbSNjT1uAM9HStVExbznZLjOe6/qU0a1LtXdPqL2hwROv
ADEcLX/KHVQQqb+y41szgx5kdkrhdmkjPxC4GU1ract2YzomxqrdaO34pkwgFpIigLs20WbTA5Mk
DrQyyuyLLqNvXUR+M167uYm3I33AJoG1z173aBZC8s9fhvbcPSY52njFmM8rRFEbLyAJUd3X42Lv
5pmnuhW+/RS5PqBdjar1vB8a1x8VLHx9j1aQ1UiywLAPqar4eccUYvOYZw++Hkf2dug2LSOsc3LY
W7QUV6ywQGr2V8uu2TbXq3Z6tvM3w2UkgbRkULgnYpXYqOEP4UFhHe1jS81onjc0vpBWSndpQjUQ
RISGsCdEEnybQa3GqxSYHrIxOa8ujOuzA0/26OTkhmbTnO+MMtLO4FHUvd6NmkHJpUsGTUk1Hgh6
fgvEARVatwf9SxPVuT/rcaduJJbU+7guuhen7hOe+1VHZrlBMtW0Lrur4YBQt1zZ1nUOGzzxahbd
fFItCt1yq6JRp9ISib1mmPpdo9TEe9SmlFD8ABDdax2rbJmznKcHd+HWWoPMdzo+Zcp8p9Bsr3Q5
Iw6TC++owGg198KeUzU3vEfNfQ9flM4nblK8BVKc0uyaqViUpeyO2GnjXSiDAjm9t8a1AkOu37Ad
39qzi7BPwZN5UzsTc+Psat3282L97zXon65BdZN68H82hVy9ZC/t3zHJf/+q754T9zfQ0JjFGTo+
4QZMNd+pB/Zv2JWXDSkJiGUq/hs1lFUo20kbfBPXHl0H+vO3UcT+jZQp8wvDNMUJGGX/yigiFrr5
z3OsRQCREQnryUI11fnxfhyXaYt09dGJSm+C9AcUebbeJXMwEVa4oLB14rL56AabvQimBIs2yIxd
KMuFgnKQOHTMmyEX4WZmOUOWASf0aXF4fKQ4Dx6cPBrOE/Av05s0uCzXw2wa0jfwdR4cV6n7LcnL
YDHBhzzQi1F1OQtB9SKKZwb7nS4pIrLCcpFx9XA8aE6R3Zc5yvOxGxO1PKEOhldhMNyo6PxYfK1U
Jv6oDvd0qigPGA4+hXN2XsPM9V4NBfuLTieWGvWTAa1H3bW56t7gY4jvQlrTvlZ0tbHEce1y1ZQt
tx57SokgBL39EZkEybxYp66rA+OgQqsu5fU0KcmWJSKxCbQwNCgU5pzfTCL4/o1LEgsaz2w96VGU
bVK1A95tuFxkuS3htlfTm6LIR99RRsptJlpuCm0AZJA5N1iBeh5ChUb/lo3QhzwDECkr1ongxO0M
x++UpnqQbrJ31GTeTharHJCuH4MePsGU84KGHQV9RS/EPFmG2RX1YfKaO+BllKnpxbFNV0/m3tDT
rJ/yhExvCqA7NPI9lttnLojh2qgRRKUj4bGmmD2dpjxndfQlcZR7Ssm/jLZxjmNBYWivmRsWGoKB
0ml8lHpzXdY8oKWCvE3PKtcBc3E4utMV/Rj9F2fC1xxYY3SI8DuxJWiSba41Az1OcbrRhuFtkLHl
pWzlrQhmDFeIJDmrVqMzEIadV8i+uSm4CfpugqakK/AwbDNzuaQHod/rzbLCaE9AqkK/njL9iXSP
cdEMPIWhnSxr5qqiInoGNLGdqEb1Dep/Tixsu03Ws3RaBZPVP6QgOK/Kqov7lShswhtdmr6DyRBr
R2g2G1Uu8pRsTs7eGvhgxEQKLqDZhwNOoWIbVhAu4XUbG22hXtoL/zL6RGFOv1Mx4WNWAqtl1eja
VRgxDfKsAqSJsVjbtwtdEyvQixPo4qOpHPutnazy7HziOLWFzJkO8guWe8g3JbmuVVtXSbQxKLXi
xqUlHc3aBu0ZxdqsqvaxTgHmkfVw07ewKlmOIVQ/lnlc3hRTc4pdW7mlSC55jpowyU5lqST0CU6h
s67oZL1v2tJ5Hhz9yejJICMg8i4fU4AeU+JkfjF1AhwwmHh6PSVlS6vU6IeDbAYhoX1Ofbwb6Cvj
phUU0b2ZNOkbv5fcz8qZ3UqUlGgasNE3egPScNMoDklNTRkou3YL1Z2PvRpooTdJMztmjapTRG5K
tSSz0A17mr4jXo+GhBLLZjqHcZuzCGwmlGiWx+x2zKQk6DFFrqh2DQz98kzLkH1d8mbaR7aWkWwC
e6+prXrSQ8gXCu+He/Ad/AwDBbfx7CSUGnejuqEgNY/8uVDV72Hwfz9g//QBK3BU8tj7xzLfw3/8
37+DCv3+Nd8fr/C1WSnjJ0KOVYGJ/pelUzjguun5ROhTCWrhLvib0wjfpg7oggwXPkd4DDwU/1D6
HGpCSRFgP9J0JD9MSH/B0vnrwxVMKhKkBe/IIJ1J3v/nh2tZmHLWUzGtlT7ZCWXWsXuIG+4CW60g
EguPlD3cSe/03Q+/o/9GA//V3/T5fSGxUnaiY6f6zKz+ELLSShC8JR+vtV1qr+7cMfvZ6pVVaRjR
je5P0tzun303Lis/XiEUCCUROyru7vQwbjQD80E9xG8QkvbgTWH52s0TY6q5HlRDP6i9tdWq6I3n
Z898H+KjCmH05EEB8cBF2KBVs2YrvUqKNt9C5suOg76US6dtPV6NMSqGFRC/WS09EddzbFfGTsNa
H2CrIMjBClLk7w4hr8XanVqX0YqbdNUofXOpFfIa/JQYam8F3A6LM6cmA1c0Rnt2g1grvXYyc2PT
2W5+53STsZ4qpmmeBlzYjS5Vb9VM4eOfkk06Dmab3apVATBosHORbSY1s9Kjg3CnLLb2YF73oq3r
FwN/IxXFlezOLcN86RMZXq43Om5Qj1mIJgK2tqQTAupf4Bc27aueQslaVaVDBLMZ7HQbkovloY7Q
+05irgfQVOVxts8rwfEUqAPOibCbee5yzTOvrIJl0coBQ9VBW+itm1gtbAr9cptHSyfyKxnq4aMR
sTEiO4TYgHB5WMDb5FdiOthYdBvXnQaSme4HI88PuRKLu1bp7VcYlTAKisAgOKurmbHWdEmqXg11
4/d48L9PxX/hVOTy/8Mnfukg/b44Wdqc/vf/+o//81JkcSc/Xn5egQh4G3zh9xWI+pvAZcmIoLGg
0nQmhb9NHly6sZpz/C1wNZ1z6fsSBEv7ZzAT/rzDRvnTufnH0UitKLZtlmqcjibu9L80eYAB+nXy
YH0mLLHEPV1KYz95bD8cUpOYWgudo/QoXGx1WsomVoNNpc+0JWoNDqvgWouKBsW5MiifhdOB7lPy
WamsiWo0mxWro/aYwvH+KDyXk5lPbx37fRGMHCNqGKHLGPZcgZkvQM+g1b9khX5jI977jTrD8h+w
dDWbvJ0zJnuM/rgfRbnTmqI46ClVvKuRYzNNdXiJlQ2mJZ4IZZthDn0ZrL5fExmgywdB+AOdEPuD
sMJ2F88xUcDSJnKzUqOhPNYSWuLOyLrsQutbjQVvyXZZhc3yMEk6seGqPsAFi3IjQXdUdJohm+qj
NKuk2BhS1tmx6zqLjQYdqcO6ngSldM5QjO4qDiak5nTUcvYPZe0+WpCHnBW9DiCP8yx1Ws8gAV2C
hSwhnNKQxOW4ZrgU624Iuy+kHt17RNkRt0zu0jlvqM19XSnB6IkEkrA30SaxkbF4t90UVZhH7YUa
TNfTaVwjBI6T9LFFnNjP9iCPswjCxyZRTCpHFYH9bLIezX66grOhXhkaBXioo03xWtfBw1hWOq6Y
KqIGKrewr42OVhJX5wZ9NeoGgUPJY9LJneoUB8uWI0Jopp0584ROfmimNOrsgjm4CYwlRswI/hZm
trJu7CI4sGepZqKXrfDnbHCQlaPs0axwXWC5ZQbDRLLBJdocobqmh1E6DcSEMnpzlcS6m3SFsXUh
7bRtI/fNGOAH0q3YviXVR5q01UHjjUNmPUZAajYOFRXHmPrQm3LQFL+OQncr2ZIctE7GN7XhTFeJ
iL/1ERBWN+BnJRlr3o0lLVBqVz+liu18rdzkS4PixBcy4/R0d/FKWM2mi51ba0w+MnZn7xGG5HU+
MRgUrkPAKlCcLdEC9ZspqidWivqeX6N24s2GS8XJojfLkgnoAH6UHi/UWnOXQs+J5lUM28WWulLV
U8IooaoHUtwM/PZYMJq8KGEh923p3rdTUm16BD/maw1cQtQEB6NjBZgbhbvVAx3jWslfUtTxtzkT
2q3tTr3hNX3l0pHFj2KrFaFJ3BD+HJbiVlp2SlaySw+1moAcHFvWXQmhZvyeGDbHhrquNdHdDNeN
hmMy0YmJELAzHWOrDEV3Y4tMXNJGT1+DumCBoVb2oW50e0O1ERtKGy1tO9lu4JUIqVuV7O9d4GAA
C8No+NBlj0sK3EEuRPEmZTjua1N7NIrqOosdu/KK2S2fa0PNgD9UxtYc696bQeLi3NSSjVlxmfDs
TJE3PVWpL3GVcUcBhYtx1iyaU6nSr4D7tNJWjKjTM+9NPntx3WxzmRiP5EQDdOrW7TQ2MGI8WDgh
N5apdBHYBSenOLwPgnULx2UrZoHoGPOzHtQWs6rXyHx8M+kHLlcDcYg1ZKv6HBTKvB1kmd62JdRe
ViCKmr5WXbod2+FBDiyKLcC7nQu+p85aDgWrRC/QZpZk09dAU3ua3+ZsjbmMng43ZJVntn7RJ5cI
33Xb6E9E5DM8RCkB6KxijI2+OqzH7HEadqOQu0BzjtCFbiYMWFMwBx5gNkw4Vi/cV1GaTzq+RPQP
qh30WMu+xCpOzm56d+uExLilUlXGVQOa4YSgUY9yMWzFht5fcTxdnKi+GdUxf5palc3PTFp6Kuuv
KjmbQwXJSawiG++9M+O9NbAZ2b7sBiNby6j6UJXuOq3heCxNWeaVPZXdu5ZG7SY1AhHABmucs9ux
GV/JMKNqxCBIU+6VvmzWPzyT/4Vb+NLGY3z2/pB0YJb4RVpDWJlUK64rT0pnjyWItQkCLeCMJ5lb
9//8e32yuX/yo1i6DUXMcU2LqQbIws+XcHPQZ653NKJod+4m8+b9dW5522b17bk/FJvyCZDaDekC
0DQEFtfOTqzqzeeP8Jfua/+Qw/gTrRGRjv/9imr86Y/8w79o+XH+xzVXLrREfEj/eIylYCf8//8v
+/m29v2rvt/WYOAKjfsY96o/Ll7fdWL3t2WK/QeRGUCPDpYVsVB0UIR/HGQBABKoAQglrE+jy18Z
ZBc7009vLyZrbC88RlUSlMav7+UgtMuyHMzBs82RAQnYVJutWd1mF5qSWM7aNqiMtSsmSM002bLl
Cdn7VbuhjbKc9rqq+6Ka1vzWuWV+bjnWiPe2ufXCFVCpVqMhidLpjcuI44adgw1FbWI02LzdNCDj
7G1oOm6PwSDNs7MgfVBhuWiH/ZBIvC6u1WEqLXSD/VuumzWm9h4mPbe5QXWO3KpMw7dKSXFbJzuU
IRwqUEbqoJn0DQ6c3TgEaevZgqecn2JmoEVOA/SAjlopk1/W5PJZ15SOs5qov8G/po1uQ+ukQ8lS
GyZFuDelE6jrxpDhDpk1E1vyAgofsUgv1S3nYoYP1x6ayDeihFsuDVuTusFfPhytXolSTzMDKBx5
ca9yuSJpnsVmxV6Vg3jWwvB+oq+TEtsebvgYO1JD8iu6j9Yum+ag20jVnCotMUQuNs52atQh2PCw
xxmsOPl1jlb3EFLhxOa4JBbtZ0aP54FaDMvXRBxe0aZS1n5RF1QTcokUX5RR1TFShyQcT7gQEERT
gBN4iyettL20SDGgx/QkK1s7qW519vwnulAoAkSEocejl0P47+a693+lfAKEtkVXxD87Wu674vU9
i38+Wr5/1X8NgobG3wIolnnns2P7j0Fw0cgs1lJsmVSbZSmPqD8GQfc3NkOMZdT9sL4yBP/pj0GQ
r2IwNOG6gpyDla39FY3sV/VoQc3a9OGaiyVuSf79/OCqGhRiimXY7ROM3rGL3piKxIzQ9luD0NoP
v5r/5pG8PAV/OsaWb8aOV4c+qAk6Ln7+Zm6np5ACdb6Zbe7kZD7NRvYndLy/Oyn5FhR8IDOhaQl+
Sz9/i0ZUytz0/HsaUd6wccNdI8ZXTCnbAfNxmkh2xlXyJ/7aP/mmvzYLW+GsdIiarYdM6rCHi28n
GgtofjtY9ghopG1XJN//RPjTPyG+P/06AVuCGUYxWEb4T8fkj8ofpBVKVrMlzdv34jLTMrobSivC
FeQ0nu7iZZ7FQIFnoOJQGbNpN+ah6bedNm6NYVaPkVKXN7wEGFCaziDPxrTRfymTGE8Lnv4P2eYV
NzurX6tpVJ701lhAH9rgEbrATyMtWsloW0qj4iTyIKWdIRwerSGzz1SqD/gzoskkZBiHz6JV8o1R
hdGhCZc9o5rWuoFb2xUXivrKDS8lJ6y6HLY12YHHsrc4gVXQ5vq24lwWywFtf57VuVmMR/PzBNc/
T3N2k23km1mQS58ygVrFllGHZBNHNRfMSSUVfVhV+1Nm0NsXChr8JG7wXf9Z6zdLQ7L0oevPJgHg
i8YNSAkEDCR1EQc+lXblQxMNBAJGsUuW7sCxp0WwWvoEKW+fD/xReWyXtkE1pncwWhoIYR8q566j
lXBc+gkhFvVrPTUyvw4B+tTCGGwqIwpWOKlpP9O2VNziDse9hFUQREA7aPt+aUTk76ccsSBu9jRV
Sv6oGRHxFtMhsLEeosDywWpqhOKWokVCHcRh5GcBI92x+pXWsRp+dcHFPy+ry2TF9ZR1aRsKTPZV
mH41SMldGJT622jpesyW1kcJxQPPINgeYxjy95AyuBtl4kE9h0lyNdmT+Eb8f94iqZD2GCmLnJeO
SWAg3Y6NKiah8Q7ppjiUTgyivI7j6y7v7qLCzLYyjhwaTwjfKHHg+rPVkoIg4OGJXH3NMqziNiEX
ZZStV3fxlZSw3t2AwFIoGWLGhLvOYuk3h3uzyB2vdUTG1Dq3WM6ajbCNXcl0dmW50cuoTo9tVy3c
hvF1yPIXrgwXzujEGwHXdPqQrpyga3yCoq+FkV3pOn+W35+PovA4TARbuSLR4Dd2DjBf9aKnEwvI
XIdHNd6bk/EUNvZTPKaoT5n5ZIXjfZZZiWem/W0hJ16m8RG/Lg95l7tBjicemAQqeKWmzk0AQj7t
p0stG1IpBuGGwBFPLM6YBf+TvTPLbSRJt/SKvODz8NJAcx5EiqKmkF4cGiLcfHY3H803c9fQe7i9
r/5cGVWVkY0qVKKBi9tAPWUmkJRIijT7h3O+I/prOPYWKLq8KfgwyEuR+t+0sd249nhJsH/KUf+I
APUhxpwucHtPhoWGGPuAu3BHzzpkibPjM7QDpnMc9GELWAhpHxJlJnJ0P+HE05xSsqSBKJ14YrSJ
CXmM6sNs8lPpjSF42/Q01LnaDTOlOpJo6dK4XWfF9BT4/TVhnrDAhXdAwfMgIIxva6E+Bke/+IUJ
8gf7it9nP2I288xboh9uw8K4yt8k6M8RrS28KCSmihGicOhhsUxJDgN6zOHJSfpw0XcKXL/WP2Tz
21uzwl6PFN6LMWQ94GnqgruEZ4RLd6uwLuVkPEM9tKtlZFUsHWOzPFq5/mQqFIdFz9DNhJFwZzbT
kyV4kwZpFgdUCGINIYawYHvGNmlGsGaTeymHrl7UhXeW3thvRiRp2LjGB3jazMQ8bV/o/YNW9Zu0
yuVO8e5W7HGZ8I8PQzxcMfFOC8yaOzg1WGTyKSDWx3IXPa5pBm+1YBNjlVwE41GYJB95FNcxYOLe
666AoM6GN7SLqZt4mVPDt1xhbOi18UPzefnsBT7yUQZr9CrenSvUtZLqXdNxcROT82jnRUS867QM
LNAeaTf7sYPxw/SwGPIHtVG3muGy06YLC6sPF4rFqlOgohozYGQwqnuVZ+qElTPae8GwjZpMoZBr
5C4OHNQGKMXUWF2Txt3hZTmQrbyMSTGYMnQpqCo2MgAxYpVheRzJkScoAsK8zr6ZFAQCo8ige+9m
u+cQdtNDl+DRzY0nr8YuHEbGJext/qO9Zz93rS13l8x/+BzLOg2Iu2vmt3jCs37TCIXecwaNaYE0
UdFGuh8tSoTkL3WcPwtjxJweF91ByGyPRldfYpDyX8xIY/UeKrEtUGr8dgf/qab7/6Wd/n03/T+2
38t5v9D8sTP/b9lzo5nyqUn/cc99fGvat5xG6NfS+Ofjfq6P7b+4ZK9+Fbpgd76q3J9dt4mBxHU8
tifAN+cF8t9KYxwkJCv4Hnhzn6Z1rn//WhoT9zw7nNiq2NRTjCb/VKhz8FW3/VJgmVSIPkEqpMUj
FvvjIleL+Y4MeZCtwt5nCRI1jdqTl0NyCjIJZp3TM8YQ91zo2bjNGOKty94Q9rLXp7WTsyVMdGTv
Zt6TPiiImcy1T2iMO9eN7jK9O9hmfCsw/e1AeOx9WJUDAiaWB3xlUoUbopdjTeRLi8xmIMCpoNnM
i0e4Y7CNveo+MlnTpJweKOCtbMPcF1e1WTx3ng82I4Fk7iY4E+3m7NQtKSw+1069hc/6rYgA1nno
hXrz2dDrvR5C8AeL6JnGVnOzz84on0dX7P2xuaimVCiiu03v1zcjUDHF18myxIFdaIFyN9y3vfGG
hXCEHhH7S/wM8SqfUL5o/M8yye5jgUYrYhKY6Q9VYYLCHNRLPwzH3NJ5JWX0buDmEzK6ZXbfEvWS
HdHSxI+tViLTZXO6ErpWQpOACylQYDkNG+Cq3OpyqNexB5BMErm9h5/zGrT8+LEqH0mqQwCdRvVm
IAqYuoyxSLAzQgB8g4u4BCvPC9wli4lvd5wqv1w34OgGO3IWBa3PBs4epMce/VcEaOxbS6DZN4K4
0byjBw5snNqxPa7aBNV+KvD0lqXxXKjeOKDrwiNtlR9tYz7gXTHOciwf4JQOzNsN9jyDnq0FLE36
I3Irw6hD3dVsXFcFK8+Nx43qrPy+8PWPpholiTCwVoukqhmgdNlmpBdY9n4g91Glnw2wfNgegyPN
xi62aoayYj+WUbgsrExsB74hq0i49To0x3clhHOwjERD7Z3fJ1ymLnmpKHQxmTcqpYawQkRtstwS
KbMKMPDFJA4dm2646IonFzr9xGjdsg6q92f25vBGlYyyGN/tlFQ/fOTF7FFQzZHSvW4ZDC2tKhzE
EmN4C2mepAWr77ZQMoqNMxBxFNfqg9fzKGTwMDVeA0fW74gCqB/iSH9rreweIEpB7HYwIINisYE+
y13whd1avrWmiSAHUbqrErmWPzrfitjAJO11exMunBcN+xLh38aO23qJQOS+j6jExDwqcyS1+IRh
vrWS9QCgceEY+CCKznmso/4mcvrbJuXqTWEh0jtam8iP34wR220oqvzggkNfhgURZW6HZM+w+Ema
zv40jajYIuRXY4BrqfLDZV+OWJRg/OUG6U9mTQXQpiS66ymOAlejdq48ZwM0BgfMYL1H2Y8gmDLA
XvpnJKqHacgOTiEkKdG+OeMlgAAQp5F5FV8GqbQtSOMlXnG5sSdnJFFVVBhhnLOFXnxRmCZ1vI4H
ZUrz6uggFdhMo+FuuiEuz+Ng2ivhyWAZkI4bOtj4A/zMthgp+4DJru04YKLHkmIRDAFwCbWSQY0f
xx4fxqE94qg9YdM+ZSWox1mYR1gqboW2O5mDTXCVbNn3EJ6gJrxhCih8n6fTdioc7PayfQzb8FQj
+FyqwiX6TtACpB3r2iR3xqWhMZGkStH26WDuEG6fCc9ClThhz0UzXzBXG0LrGrUwwGqWPsu+wpwW
1oBckZbsAMztCw/+ThUc+5xiTBcfigUygY6YfqdpH4bDRfIiF6UJ+TPCr6bXJuCdzC7YGsUXPsh7
xPorer16bedYNwJYan5InHFfcJggwRt9fDJgvqEqZt304nSs80zvlvylR7+H5mNaT6EMHxszvLdb
a0dEU/Pa1k31oln8oRdJlp9zjaDy2tbwyabjPoBww2yV0geXSSFuxmm8Dfom+lEHHBeeIkAhDh5d
gvMys74zWvue0PNlPNWbKSexygkLH1MTOHOWwePKmExnowca+9oWuHu1soES+FP84UTeNvbtYNMY
MXTl3hxuC8tKtpKdYJ7nJOWm1LVOutXD5gG462dqs9IV5WizV81XDVcdccubiNUXww3arPlj5Ceh
tgkpb4GE8BJUVblsugfsjlHW8kmUNXGOnVqQuXEv6w4ExrSe7C8/Yv6sPKAmuWB1h2633kA9glwJ
Ctsf+ERLg40b9ONVM46LaNTkMupMKB04Rmx66zWK3XXq9hvUhku4M4vU0cInzYVKGgHbUfwaxZOO
5C0GKXIJpgDWsC4xH+ktFrW0Y/3cfq/s8rs0mYoUtBZGucEQtEDx85rLAT96/RC08UUvx9OkDZc+
Fz2pYOOSK+jREsa1yIk3tIItv32fdgqIp3bLMvOCTPKljMNN0xXaPoNluXaUiWbYBVbSGWzS7Tpp
X5zUfMzydsf0vYc9ojH2ZlneoZjoUCoz6e74bOe3aEJSQPm8qfaUrWSF97AqyJ0ElSB6awv8Izl5
Luh1ZdT4ntIp3acujgzGF+O6t0sax8ZobnSuzZhQyFYUm8Rs7wTUvnzqI/6A44Pbjicj7N4oxeRC
R667rNwyPdgkvzE6O0Zxf0mksa7mrmpovatV0n/3yVaV4EBL/4yb8VjW9QnQyNbQsnU+sf8cp2oV
jMryFoki2XsBXktbddj2dwkJKJb8UXZ8aUqxZyO8qrWxO6IT3dVOXy19XHe0EfUFDXHwOIbaQ1G1
ZxH0C69Kd9yYBRggp17oaAnBojL7j/XbrOkh9WrvWJtXRdjwLXcAZfFuVtptYSBQh3c/TGSBatZN
GuDkrAfZLcsqOqWTd9I9yf/NLlbk3Ox68hJ7zcIO6w/6uqfGksNByyRxo7pXvrpJNN6YXvWJexZ+
WQY5NeiurWXXnK+uvxnw1eyyuI74XfiEbT85diXIBjOQKzfBWGWLpyYF5pFC5LYZ2C9l59GpNVF9
04t63JiZmphKpKcw6axl6dvzIp/U1qIjQrV190FYTk+hkXOHmCWFpnQEGxGd66/U9Bs7JiqQNisi
NWo1hMWGdx6dDnGoLcUjHIrcI+navjqjpPuLnGhDZ5ptJuFN4DSYU9BdMbngOOxWggvLdNsb5IAH
W0cSCGuAqAJtPIaAYqq0L1ZD412INhjXhHwiUlEE5cRh4y80ETgGKFiX78Kk4y0wEDTrUJWSLKQj
TutHX+jpvp20nRcDVPAN6FkDhAsQFQqrmEfsLdm26YqIeP8mmiFLRsKyJ0ovskhe5cR8wkoiLMCI
GhemHd0abElUUOyLDipOCpqR6FjqKmrxrVdG10ijKhR++gRn4hQSvOMPTIc42LM8ZuSTpU8QKU5G
ZHDcSAs7QNGSuKqOlqNtc01CjCqfDZ+NeI1SctsK695gFuRO9bXXy70lih5Gj7kLhUvGO3nInQ+W
0ioDbm/hEaFqznOnyfBXNYMwVAuXCZDk0oPF5HbGx1hMH5DKb9G7oCyytNsEFWA6NNvWkGc1hOg0
2nGd5zQi3YycV06990tMoJAQbi2sfFtXU69hqXEIj6Km9vnKgSgQK3Wjyz2MiEQRu36P05VvvUHt
RPbPnJce7qQHV2kYCMASynL2HFQAhiNOXBFTeyQuaJRYlJu4BL0Nvz9aiCb/lpmFWFhw9papFT+Y
A3aoKr92abPqMJwvYg9bS++Gj6Lsro1LSIZK6jODihpEHTT64MkP7ec4iKy1mMLvSY2X1085Drm9
eE/zBcFoYg9Maj8W41MYjjfB5IHDz0wKIb6bjot5Xq/uwBoP/LxYam9VoPhr93eTwc1nO9lr07PT
bMwUDH7jvwfaPIcNu0MggxsD8JO0aHQaynkdI2NW4T/IjpIhB9PlSxck2FAUuDliNMS2C8IX1Xrp
7KK+mJgxMO92ydUe+nstDOJNhF/Rz4gxmWpKAChE3lqXjvGs5XZzGWIOX5z6RJ8Fje8QxRwfa0/c
6Qn14tBEx6AbnG0juwshNVBjHRVz0LNF1LUDjQZ2x8w/4S+ed6qedVfaLgSlF2cyDkrSb5CWjBm5
wPA4NV15DFWN7xYKB591U6yYaLvH1iL0uQ9ZMVpmfdNZGOopEY81mcoMvKhxGCQFcbxX+jguR/Qv
HutPHLU1xlMZbVUXsRMaPwK8gqu+7ezlqLnvmjNU+9GkwhhEa69aw30bmL/B+bfXBnM/RzdCMnHU
Eo3/Wndqsco7U+xcfbhniP89lP3NhOtwOdrxHMuT7GB5bEyeykEGnjgwtCO0J3nJMgsd0oxfQhn3
IEznEQOGtcZd4+9JPXF3pYT5OoPwCd+ytGtS6Y9M5rDfu1v8EOE9Kp7vQsthFDn2ox6oJ2VV515F
K1MrvjHrO37VLDnFHSuruzotnnk/iLTI+0ctsRxkjMa2dm3IVXG1bXJVnM0SeJ4r7E2TZddGm+f1
+L5vUID4m8ChbB61BExerPTl4A/1IZwIwXMnmnY3g4EtTe2SGZw5Th/LVeE3zQqx2Nmg6eY2UUvZ
RPbDrG1e92nSskyuk0U0OdCvQkvcpmn6ytJw3Ik4bGHx0WpUlrFTaKeXUsd+Tup7Cck2frU1/5Az
8t3gf/KJOBPbMhxM0prC0doGoebsqtZhBKv4qN4Odp4tviY+/2Xjsf+Wky+WuwFbxX88+XqQb+9T
Wfw69/r5qL+thGf6ia2bZFb6QEiYpP1NbYLAQ3c9HBUGez2dfe3fASkGW2KAJZbOHtF0/642Ye7F
1AvYNqUNa1rWzH9mJWx+AVh/mXvZNDUIk+ep18zj5un9frE4ThoFCL9w5bWyuWFFbM5oS3/23XsU
Gq1e0dKHNhswV9I7DYbj3U56IzF5D+lr1/C5YwnpatcWnManbufp6+j7IN+nsRbX1gdmN6rav3XG
LOb4sqz2GUDgbRQDRqaA8DvuDYjTMOtia2XlYjyMzLU3ui3BJ4KJ50GJdMtVFvR4BubaN25R1sHH
7LcE0JjnTCcupS2qS+QnamW2eO17IzkQQRguulpbtY5K1qYqfmhwWp+CqvrMHNzztuzqA5nFchPP
wSC239RrkqGSZcec4ETUEDitKM2Odpf8GGPvOxLqJxx6LLS6+GqyENrYJCffiQDaFToY6zBghMEh
zr7FE5X50oaiuAaWiJeh3vdbX47WLgBKwuCtP2GvObfQZhaaWb1zMj2j6Wb20lQbQh4LbNz9zhXJ
kxv6b1733Y6MazfTTcz2CvF3X9MFL7Us3I82Y8jM38lQAAplOcSiZodSadMG7vcQ0LVnDd8qP5K7
wIZDIhJl7qdGBWvlSKSG5dAfGjeMsHs2ZDBQePpWcle79LoeQvHVgEmbO3AgnkhXpylHAdywaBgH
XI5u8DxJZ47lOMqimm6pes5NGdBVhLcIMJldzBOgMTjGpQVwh02ckdnbuJ3UOp7Az8Hb3cDhoj4o
amSgBvoYlgvEoyW7HkDhEhQYrX4UjKW77Fz+dZCNBtWMNW+CEGhDZkO/Qc5pv7nz8iQLWSQ0CQSw
2OuvDpgf8heD/ADlI33KgQ1Bp8saN6e5DrWP3CbiZVH7g/jOBZXfmL5QcPPAt3slfW1a9MG28K3y
3Bv428nSLs+sxok8yjhsYzJA2PE7vrwjknvaFL2W4eKkFSjj3nwXqB4ufLYwqUxttXJU5gAuNJwl
/1mfa32gWknibsWAI1+NchQnqVfp1q6NH6DWrhnhk9QJVSQ/nDatt0lR9t+7yG/pnIALRTprFSzx
0Gx1qe3MgdVg2Hr6o1LAlpZDBzihQ5h+MKUVYcazqS7sKEvuNMg4T25pa/dpjmEl4lvPFM4hY8w1
a7qhtE6PZdD26yE2jL2FGXQRmcyTRWZwXWAgpA9Q485OUdGylQsuo95S6Giar3ZV15BLYzfDbrCc
706SxD9Mlcqt3nbuOqY7n5aV11aLxgTTnHdhQFFIZJKt5GejqWST5kUGlsZ039CxOjcKIPMFMEZN
I68lzbIOhumjLvG9LAxriu7kJMV26orxU29y2LD/tffY/79rHj6is3HlH192//M//0P+5//69a77
+aCfd539F9vHfo+imEuNxQz+tN/uOhY5LFVY1gD3sokqmy+0v951+AoNvDP072CEfoWR4x40Ar6d
/O0DnUiBP3XXWdb/5YOxoI5ZzIx9l50Sm6Zf7zpfJIlXGy2pPuxkytXQ+/20JBWHgYupqeyhZXDC
ulxn1hSS/0BnCNpwVUcqE4sOrQA9ZmUyF8KoHOEnszuUj/oXsTIk/PRaEBWI6B1TR0ywWneuZsyl
80W8rPw6nstFlHxrUc1UzHEGZE7TzMq0k6EZb2NSmsSGyk5JBCMtMg+8h1SkGkflDWNfOpZmNbb6
E40K9Cx/ieLgNExVvQkTB1n5eMzLcJPGOoaeIGNbOrz3qj7pBAB1lr0LBsnc+IDfBGFGqT91irkO
e7WNMUvJNb+HBmmR4hmzHyAzaxlnAb679N3IuQTixLwaZn8tQ7mPy+CAJ2XTKn8xOPOuC+joSGIX
uaO7LqbwL/IHrUxWCqS0IcoD++B4VQelfdItoq892zkz4blvquk49RWCI+emljR1/rSo7Oo16aHD
mrDWJ52NM/PNdYvLAWXn2h+fCvvse/ZbIEK0a9+lcQxr65oSRWOlFzf1w60VtAtQXmClQcKwE7I8
Z+u6d72C8GI4n6ByOW6IV+vIzPAR3VvAtQBAfPaahKjV27c4iuxl2zo7jQgfG7RQ6Rhgq0FruyZj
6aa46bXE3EBKva+H6o1+g419cj9PGfxvYXwgmWJvDM91OIdsvaaVv9JK7dat2oPu33moBFjSc/m4
TgcHuPsRm/Enrv5pFSZw24uV1m3xGLJM117Td5wGPi6ksy43ENXGB5JOpcdaHpu0vJPJRVWEFqMD
WJlP7kzZWYjgPWBrZK+L9jjIp9RmMoeHZd8w6SMVXG08fwPpxN/q2Zl3vtE2PJ/aeRHRVkOt+g1k
aMoeTdDO4RM9CueK5XTl4ubn8kZLsqAEiNcNhBlqB3LCYGqBye4BF+c9uOi2wPoqbx09TfnWTCs9
6tBE1GW1RLW7hL2yigqX1CLVHAe/ObiRumXcsBoyZ5MJ40Gq8C4wqrvc3UnO9aoyt1Fh7Pnn5wwE
ozFF12+T/Z7i8GXOWvSfw5jcYzJd2a6oFrTPD577YygiRqyVt2xF/lJ29c4S2v1YAFVm7oovs7oN
TQY7Q1MK9hBmaCBPmjbUm/qKhc+T39ugkWe+S9j+yJQ8mLzHnaDKs8Cq8mPjTq0QYmwEPZWXXKc4
MNbUjN9lwW1nRtsyofqRiGPaRuxdT0Vy7TcJFjToscGnifeTT0w9krU+4ATyoAeFTb+N/Gme9liM
zpakHOIypV6Ha6sz4QYXF0pdZcu8ce2HvGmRj+kemo2NG2uEaiNKtzHDwEbtGPbpfE4bP24QhsuQ
GhMRN/qUbGYZYqDD/m/3KZSomhCl8J6iGCvKFwTRbm2Zb1ILHc7e7UETbbHk60/xCFZ5wV4Z4IMw
qjE780fxv9V1PRTMkQrCtTSP9Txoey3ZI5In8w7Mh35lkmcQ8F7LqjzaTkNuCb6mEldwO0Y6khuh
96uy70C6N1N832S9vo8EHrzF2FOMbi3yVpw7axzZmXYNMYNrFD/+k9dRFGygV2jT7t83/7+ofPYD
65+aKu7j/q359eKnYZ0f81PcgU6Z5hEBM1Z4BMuzeuJnk+sg00D6wCVuzPGuf7/0HTpih1Anwyd7
btZ8/F3zTFeLZ5YHzQBQ908JOwwPV+6vQmR+ie/T33KZ0eP+ER9rtVFXEBBfroK4AfUWRWEUHVqS
Qz7bMKnFQ1QJC9+QmOyXprcHriuRA9YQBa7X8gu4UX7BN6yZw2EpMV3kDOnwRwDnhF7OFI+4btNX
1qjRPdD1L+r/DP7wmuwzJtLUmDcT7RPDYZQSYe72MzAE7WW5qIqWyTTJiN0b0gLrwgLcE2eWwhTZ
QcXcaR0wTpt57vTGrltMZ3BdsPrQtPb35fBG/dE+Kc8SpzI3w5qsWyIQGMvJfO/bKi/XCTGFxdKN
Opp011eat6rgijBKl2a2RaLjeFdnKpql4SG8o+A3g29aLp1znM99d5lKpk9ZzoB3KtopxhmKjWxe
cbTecspDdZczxfC2/lTQ79tjGklGjigMVrQvRbxjg8RPmYKEySIhFcYpjkvtJkhTvVmUcMNhBRDE
AjlPqRwpbBB70ZLAVIClDirXAwmatbUdqq+xgx9Gt2wC/Wo56blOdpVMOASpXWKG/lNX7aToxKl1
0D+ikgOoAvyIGfRaCkkuwURk5xa0S44BJgeWzhlXsEj22/Y2B2CkNrpVW3PCIJKyDgf+D0S9atgX
TQ3Vz5j858DqdAt6kAfapGE9nZWqYNkL0dzxQoZ1QxOH1Y1vV+GHk1gpumzmr/YiqrD7L5WMIntV
GY37qeMuZn3AKra/5YXFe5y0Kr0ST80tnriT/73wS688m1pFnpckDQc6HjTrG9W4CRuNcPJKAlas
VlBSVZi5ia/BPLzuBszfRCp6PMpwM/9qQjP7dPGiLBopwcVmX7lhlV1jkEv6Er57babadRC5ik6s
cQggq/lTqz3JbwSTqUoQUgYal8AyzQuNt2hqy2GHrLf63vIC4/dMlaCrgik1X8dYH6ytA3mIJUnZ
RMuibvgZDOTD7A2LZjOyYSfBiMlOUp0aj1Ay5paJslg12wRQ16FrjNQjhPKcAH9b5DaEY2jdcNDz
WQLUHwPKGQDKYrIe1JM/iieniwpygvzGjD0mAF3QreuAUNR/N4P/qhmGtotD/B83g0B8y+oPV8Jv
j/l5JTjMKR0bSAUJULof+JzwP68E+y+MLxH8IQY0jN/O/r9eC+j9UKO5HpS236alf7sWbOMvCH5o
IFEB/nkrjOmhHPz1WjB1y/YcdniQoXV7fnq/n3umfGvtQjjlqqwyhPiR3SAaKRvpfza9P2yqzCfb
1m+65sRFhSqkzTP9hcmetkszh5mmQFO0Lxu/CteBJJic1X98KrtpfK5EPz73jN2+hSxkiYdw028V
6vRjTzLDs9uyMghHx1hlXehu2S4E391+Krec1PUSIIJEjMeOF9xzijUsGybiXNqyPaP3CDdtE6XT
wubGSNdEFXtbbBzpxpOGNayTzk8IRtbb8bFTNbheiq07K0YHk3mNd0g1IpjXpF2HG2KJs5H+rPAO
5HGwpLKcMKXd7MXSKDWkfE6xCeAtRCRtbY0Z44bUsTyK1sUqWFuR/JFBmtjqyOQuoe6CFCWRYAlm
VyxDK6qIk1c1SapxD502YTuZluQwp8Q4wCD4YOJ4Jrr6E5VOuo5sHdEWlvr1ULdy55P3vkqN8hjZ
aIRIKeUsm3VGLfjfKLuEzYwn0MpXm/4XedDocy6EzvLr15tmqu+shFDG1BbYF7LmSkj0POvEf90h
JV22FqnrQxFXlOtOv5TafBkxVapbdc3ngjsdu2WLxjKoyHDOOQDrvF0TUPQqYp5mXhe3BBrYyyYk
KzeeVfyiasKbwSivZuE/pOx8N16VMBoHeKHnIICajs26RoRPh/4wqC3SLBLJpwR52WJSjvMN3mq7
wpIIKYK7k97KQjGKCL+6tABleuZnU2vRbgioxEX0Tfnje5fad+Zo22zbMt6XCQg04zl94UQksdAv
v2dDsJsMkh1tot2jYiCuRk2EtVaPvimNhedWt/kUffR28oOf0ELm1M5MkadrIhoKdqOQvPchq4l9
0uq2WDOiOAHq7DehUb8oXEhoGU2ejn60VbGPPe1GQweynFqD9X0KwWwBdC5YCxfUSO1m0WqIzWkf
KIhgi2lE9Q2G+lhzua8TNziVJNGszcoEJlYk3VYTno49pd7OORiF054lhh0EMhFOhGx47Zz8KXCz
YziAPNdzB70rTTMTxlXu1085frRF2JnnyVUHktCS5Zx/44AUWtotRGPd7kkTGqOPpoYri0WebXBV
HDW7Dw/hPAUSY7A1SXvK+nZVepQpIjizOrhAc70wbMfU4+ZnFTbxyir08JDp7cEsNHkPJLRelVH2
ylAWkRP0ECI/zcl9LwAxEi8WAwICj6av+0Rpi2oYi3VEWUF0G9QCqeXTpRFj0621sGBq22Zt9iCT
YE70cEPnIa/QrBhuMBgUEQNshQmWIhNxW4oHdIcz47E1jXE9sPtAdUD45oW+SlvBR+2J08wbshzT
dnwjSo3WkAAdKls9768I1MgSTeoWzxqxeTzWS43okZWQ/2NCxfwiVQU/4d9d1r/WZVkOTcg/u1JP
bwT2vP16p/580G93qhn8BbjZrDq3samzYmCK+tudanp/mX2ngQ9LbRbXG4w+f96pc9hjwJLR46oj
6oE+7G936owggkOKhF73GKDNd/SfcK5zR//hTmUgCfQKyqk1U05N+w93qgvnTfEVHBBsuUh0bT9z
q3U59jBHc1KoqoXq3TJERRrXL6C7krUQ6F68mYNVfiGxoqgvDt7MyXJmYlYzs7O6maKVj9QSBOVC
P+5mypbfOpyPcWayy7CjKXROQ2aT0BIKEsC7uEobtndILvZcRKyroFLK7wPCaxQiY6irfWwD2ACN
XXG4dG1F8rbeRDFle8HYlCZsmXpmRb6kQqZ16DI9cHe1DpV1qZyEG2MQJgdL7s2SbZX6qBjjsjP1
TT0lRD266Be5TouG89dE/4N+RDPot6reusWZrp7tNINOw80/zUxolFQbInbJslZfudYxf0XmOwO+
V17QnH3tT3htFzA2gHyS4qu9EMtgvfDrPUJx9OEQ1oBAAX1UbXKPaK16BvBD0nYyh24HIGfSVRjL
8kP3U/PW7O3qIcZ3QA5RVqH+TcdtTcruvko5IxdU4sEbpGg3oMUKEJ4wdiJCTDF34mcW/trxknKb
1HjZwMPw/N3QdKtT7qnygmzdXgDip91QGOozQo7zqF1FVmfTd2EQrdcDI/KHvhpCD20h3HcaDOMe
8mURMWGsqKUG9FpkaBoRRUfL6voSeq3DEJbN7wYxilniOkhQhmodnrtJj+IPQC6c473Bvo9FG+JV
MiRYnS0SRA4ojUbvqjngc1GFKc45mbQEhE55xjWLWkOs/LIZ4Ya4xA8uhoGLLe50LV3rzNjuBgCU
L05jZs9lpE3xTnioB+eUZfQpQxr2ezIKYSUgNZP6Wmb+iCasDz7o9KGLhy2fvH3T1/Z7pSHK1NiV
gY82Mfn5JiR2TWQEiliQo5Zt5U7hYiwFGwaDnfX7v4/cf/HIZYbxT/Fup+5//8cfDtzfHvJzoYU1
CSsQEGgXhuXvmZe0I4YBMpovnuVZhB7+cuA6BkZt3dU5jWey5e8PXE5uvEzsoKyvmdifOXADGrJf
exjPY1uCA960PXKpPa6D3/cwsT8MwjAjfeXmIu7Ww5Rob22vfLWY6qFcc0qh0NKT+Lvrz2o+Y4ql
cxIwOJrboBsDsXHZp57wn7JIKMGBPLlFBPg8b8TsxokGUEsdXwtYkoSvDBrxp9SFhfGUmrWNH3OI
9HKpOU7/wyFbG12sE5cGVbvZbnvY0vF6DIs8v/hfE1uKQP8pF8A+1vbXTJeBO/Nd9TXrjXQb6Xjj
5SDm52FwNY+FEbIyIba+psXEvTE5blwYXpcwlFG+wfyNXFXlVHxBp7u3WTUYCXbIyZu2DMlm502m
vdo9hFrcHEVaXVunLqct6eOcva2nlf3FxafzXeXOzE6OpuSNUspglcOCR+1yp4JfohoUCIeY61Vf
xXo+Wpvqi2jSftFNnC/SSfZFPbG+CCh4GQjhCJOUGT+CCSgpIg3yAiOOQ+oiJ+6wN6OorTgoZr6K
I6MrWz87RHkheUsrq4v26ErKHYuN4LU2A23pNbYw1iOUvDOlJqOvZnCJbBmzwXyOUY/tg/7/sHde
S3Jj6XZ+FYXuwYDbMBe6SSB9ZlWWY5kbBE0V7Ib3L3NeRnovfSiyp0mOuuO0FOqYiTgX091BTpZN
7P2btb4Vth//68T4z5wYbKCXhfafVmn78Gtc/3hm/P6i74eG+YEMNuYbpDu9z8IZe3/fghsf0IY5
gHBdjQk3M/F/VGnIurTFHElZR/H2bUH+20AcPggFGqtxGFd/eQtumsup8JPiy2AuAyEfHMkybNGW
gfkPNEipJVGVLbZoLX5I8gc96PbxqEKb1sLdknQBLehYpeiXzZ65xyLXKPP8RuaOjX8tPsv2wQ0j
7OzqkzoTWEl8IamWni0wMqSzK/02oG6xh32cJJfZIOQ0C48DsTmO9WhpkOWKFztVzmXTPcyIkKlO
n1JreHbIwwui0B/hmY21tYnLzisdgcg3JRg3Vc+YERkNkJ/SXVz7nvkNoYEFBvUico8YrbdWBNjO
nQ9mDpBxDm4KFmkmiEOl7i2ORnHlpi67alI67CtdNFtTjl7QDz67KjKLkIBXLppYlLhTZyIQR/lU
faJ7XYzdulcCcEjcwfSsSn1xxLzty49u3PtSOLsGUS3H7b4oN0B6GImS4Y3JbCjeErrCOh2+JMX1
2CnXZoviOdduwymgLFaWmKUFkBIyJKhQ88v4lNTx7VA+YPMgNBdtfZBDKErrvZw7f7Ieg3A3xUwT
hi8CP59ljruwd4gGK1cJjvx1ZNJBCu6BWt+KNkJhnW46PNrm0AIRKjedFgPoR3M/VYu+Fn5mqMk1
DT0Mj3LTkCPSavbJmMyt1Hn53Jv7wiBxo2w8e0guOtJ5Nv4chM1r1qJxQESeIQs6Zm4Y+E0k1pXM
H3WAiblKSEgar/XI2HMgE2sz4gYjihISAWyKeV5btf2I99KMwpe5l37Ztd48MSmyARWH3TpDhoEM
GYi7R3iyqabrLMYGdrK0msUhP7gaSgkle/IwsYc2jQQEnV5HiBbM27GsrmdIfuHBRIQdtsOFN7Qf
hNFVhi494B7M2+Fcl6yrNd7NpXmI+ktcfQpJJiBcgW0Exh804pPj+r2JSSRXTl34ViugQJGIFSvV
qkEYh+u4Jfec4DGtxcEvWXmHRnbtlOM2hLKsW59DqI16dDW0z4a57cE3OA5vEGudOK4XBsQGZccc
P2lnswGxQkLatLtRTckWyvNhpQS8dxYN2qpkG9WPJH3FbKDgHFQ69AiHOdYnTWqeUPMlZZcSHUGd
K1sW3ONOLYlLAgQp/SizPqcjq/rFGlMc24AZTBrGpFTbgD4Ycbmb0grNF9tsDjI4NENyg/4wNe9S
0IGewZAfSSMIgCKrl1yemYWKMDQ2J+yeMxODSTSpV0XiIkBZjGnl+EI0Njr5CQiC3400SepYaycn
xuPC1Eg5s0CsfOEM00a0Ijk5ESQiRe/7XdwZAK8STDJ906B5H9EnTGyhbxUDtVzZx8Ftp46kw4fV
gy50gb6UiLJUFv1Og0R/ZrcT+0TaIJzW4+FpznXrRAQWIkRGZXZkTbQWkb5rMDl6bNGsQyKjN5IY
7lxLBCAviBUinY+CZyALGqTESmlb9WU2jOECvGyJL1rC/Ywl5k9JiukOG69+0Ka83Xdh6m5p5foa
QvPQCxYmBrYO7X3trsA+C1b1+zo+eV/Nxwh8Ok+8r+wRKy6tp0O4AOqeZa2PSNG8d9+X/fO3zT/d
IDKApqKfWHWWwWJFsRepgP1NNuBOjU1f3dBGaO/SgnpRGdjvgoMYZn+9JlFOn1z3QgFXrG1A1SwQ
cUVsVCtyYX+z6t8GFpEQ0IWwCDXDYjKQ8W1ciiOz/XNT8zBSdpV17PiEwCcgSOpyDQpmvoJ+YW+t
kEHuII23qBLpWR+JIiJPcOzWxFzlZFg9kggMf+QAW9SJOBxamEJMuy/aozFdRPBJl7s4wEu8UUv6
oatgXJUPsIti8rRyDtYNvSL9sFNdZwPCmOnjEMCxvcnKk2tc6aygbO08jweeGU07pvra7RuPVaIX
4QJToW2ke5lv6spMdybbxOyt1/2QSX631nv7VbGH20qHIIVK08QHm5FHRiJxAGIzhmxcrhlOKtUt
uI8UN4yoxpsZv49Zk4OFHuVI5Mr/jQrhD5GMP4kL/19gFP+aansgXn8qQLyL47r9sfRCB//tNf9o
1xxGXQtHDcAjaQA0TN8rL+0Dmbi6hpre1lj2/BxRwHnh0sWhxl80iz/Mx+wPkEUXCeK3/B9kDX9h
Pobj/9fKyzGBg1s6MkcyhSgCf668TLdPNK6UGfnQpJ/UFq+9W8/BptAVe4uOiPD4CkzgKp5iLmO1
YzuV2XNxqfXOfCYpgyRKI4vpbPIk8dLFDFoGcXYbR3N+ZVtVcD1mCzcymQFbKVpckAHch2vdNUOq
mWIcPxmsKPw2pSXxlVhLrxqnx/VM5vhi0tVgEOcWi6BB0x9BGfbXzL1sws5Ux58ig5lLbAwItpVm
etNBiD254+g+s6Gp70DASd/VEsN3cwRGs17Eh2Igs2tWJ2tVNqOBcjGEDg3ewu9jy4KiyKanZEkj
iD9KwnU3L6jnioYv0hgR6maA27PGc35FbcCt1sqJWBMAxuh/IhyL2NryLDSvEwO5HniRcUOZYq/A
1biMndzWj+IaHV8cq7uhnHF/pxNkhT6K6v2Qtd2wcpWmug8lFq91TrHeeszQiweMRS6znWX314NB
1xA4OYQFOSGkZa4edTypVHKPBYqP16qNQmZzCPt9BE1Lzlo/yktkk2XQdFP2qs0kBKI854UmuU8b
A1bP4xziImViVhyHFEmTiUDwteDevho4tp+BWgSvooaDYTWueUV4GUNKBCo35kCoAxLUxFfcNj1h
jsIoZtiaR0iC6YuqSn0hxtHvNNZ3JuWcR96Csxr1Pj5GJrzJlWtMi3UinA65GYcYMFFBZnkq13U8
RX6cItkHox74opbZMXY6TGx1pfot76ZF/rEgLKBFmFC+tcCfSwafNrRliMqEqLpScT4Pi+q/CPFN
pCKejn3XRJd+7tWzNqI8kzAuvyqjqBZLYoRVXVE8lqXVpchJGXR61ySSkCAjVSc1FiOpBDEf90T7
hfxCyzqxn8shGU5V1TZ+sBhTYsetnphpZy+CkLfrWNfydUZx8ZVNinNnw6/zNcazfj/WSFE1kBAF
avdn7NT2BXxR+VEZjPGqwOvnNYMgFJfj49Ps8DMMmQ2eB5VIe8yfbbyda2eCqYLDGvqB8CO9nm7C
TNS+3QHCs0GDXirqG3qdGW9X2vSXtjfKcy6c8JYIC3LAWxvgt8v7wHXTY8ZvC+lIPR2w5kObmubs
aerF+AA53TmQ4Ql83V4ccNzv1do2B2q/0eqG/z84o38rUBGK7z/v3a9e+//1H+T5/tS/c4N8e923
S8QQSy4N4z7DEJbLPxjf/S5cwMiBQdqxLSiMi8rt9yULqgSxvIoomGXL8uPMjw+EyYoFjA5eiNXM
X7hEnEWj/lP3jgNRp2tfAtdN4ib4Gn7s3hEc1HM3IrMeHcHyec6y6UUTlUI4VZxxd5jSnkMPFBMU
90IZHY5WNUpQ4IJcyTnqInsvcUydDbcuyCQpDHluHVfudLAXw4Wj+d4C00KANfvKrR72CTTNOW3l
hvMEGK3Z9/Y6LWvnFflQpMD4zidnbRYUnGu4DlbmTY0kYzqdtFEchVKBrCRUArCITUqc1xjoz9dO
3TDB0uQwoMqbHB6baRTRZQywWMuxrcwdCA39sYajcTXMBgmuMRAUbj+MaIKgGqnbnpJn72iKAm2+
cFsN+Pusb+D96Zeimci0dJw2wGZWzh0GVhJI8RMh/+0zXd9C7+l2lcIu6zZu3eGG32s+7mE33aPf
RVbU9qRFrJA2mwjEOxWlHgNACkxbImfk2ylIwBEj2VyG0UzY3lND79bCIKKlVeVwX0dT9pxK171R
w5KdQzvMVPZ5L62Lq8voOVNCq8EOK+LBg9rOXfNf07v/zPSOB1ljOfr+w6JSDl+Lf4pzuY3n158L
yO8v+V5Aah+YyxlQXgQgrh91rMznMGK6AJoXDwt6VWaEv4mWqC3Jsqd5Q5+5nBf81ffR3WLWxMGJ
xoh0S15E2fkXnn0mdL8+/LDODL5C3NTGoob6ZeAPW5SsuKkxuPGH+jN1wmz4kZErN0MzBaB8bFNT
rkJlCnZFV9v3k2FG04MaUftuEGoF/XVOUsejW9UTQUNO6Oa3AGxC8dFEN+kHaWjnx7h2o1sZgi7L
KqvbS6GP3X6w+9q9ZlsA2mmAyegWePYtI8IU0LgacwTHfWG9pzMx6LVNa9nhqQwzmDoub/EsCjsv
w+myKefk0Edav8nnJFqXOjkdeeriKgAytsQDU82V0VHkDuvCwkR54QxH+KnZmzqM8BLS8Uazop6G
2ZKMUEybC7qlubXrlthqFghmmdAp58lbN/SaF9aoPQY7Jpw+St56UcXbQs9a4tAzw180Gn6d8B0G
I4gmKYyDU5XaRlHmq7SPmS5ZvUS/kpbNdsCgsbOMrvnqWMmNasTwhYXFgMpBHKnDZyXk/WPJnuJK
SVrfmTVfyxqomUOLB0QOG1bm1b7snW7XGd3o18glKbN6uU5JEdlKpyAJPsTiaHTxS1nMOG3VW8oK
zCxgNRa2rHYPAI15rMQJVHFEe2UyW94owvKakxmYiInzNSjFCRVI5rmARHfGpGOCebfPzu9W2mFx
1WJwGQ6zqug+dkZmXRy+HfnXixUXW+s1cLn2sU3USDIJVOzrZnHvTouPd/hm6V3cvc3i862tTrnV
EzLZvcmO0henLusN4ZT2tWstet2uHvO/WZ7/L9nygvJaDOF/LLO8rr92vxxY317yvVhBweEKHa2m
ZhrI5pc15PdihQwpPG6M/Sym/d9Q5L8fWPTAFCLE3gqWmj9kGSzHnKVpyz7Lfm+U/5Ii5J+k9wjI
qYWo2U2Y6Kr4pVaBBDYVWtwx8KlCmEPajeoiaxTmrl+YCppjD/4PP5vLtzLov+WdvBQxWof/8d85
cX89IXWHjYFKsc6/dOtXCYqdh/wh4iZf2rTFG76y9pqeC7X3tAi/26jLS0Z7lQXLdlGGw4QkEcaQ
rvXkmM7ga22ONTqby+yjHuZkucy2Fd4Oow6oAvHeaeyMbCHEVndJNnHkTHCFtkoSG5ciFCWSqiQ4
WXIAiTJ0D01KaIqi8oB4LGQfgqCaffTiDcSnFgnAlTq7BMFY+nCl4GjjABIIAJMq3Qy5eTPWjTgu
/0Fei+tZ2NATrgav0hr3NCqTundDWG0auTKjQtgnDUSHZmTFBPLcB0q0G0dEeQ7+MvSMACwapluE
dsFqdEkAKooQT5xzrwYZVJC5Tah5cmu3mHgvI/WzV5OHZ4Rx7rXpiHNX0Z4VYtJOSVmv8doRVgfD
OydDMAB6t+xoMftykMtR3KB1AI9dUvAUTgoa1t4L1do4iKNIJUyTtcaqSa3rvTXZ+A5zeW3DeFoZ
bdCzl+ALyRoyrbqaykvODUQyITzHfUui6GM1OwzyijtnKk2fS2zdxIXHJmvjNvaVIcvXZkyughLP
VKHcGHnoemWjvYDYuQQ6+I4cNCYh6Uz26/xSU/iiKmEzMskIuBF4fi/j3RkRjrZSZQaAU+3MtduU
XA7SHe9kbVgIWPWkvJgzoUymxXRyDArrMVMsbHTVndEynhgyMqEwHgZ7M+rPWpJYdzrSmMZinK6E
7n0VqfW+Z/0Mszx/STIR3C5EbpUDtxsvZYTHJLGsgyqVqz6SX/sxenShD0sG8wSQY7iu26+1gis0
M3nXsPH/zN5mPpdT9Up0FZd6rK+0CU9XwgW8YpMvAQIwOF8R70X9ncyx+kmqXXOyBxmGTAUE0Koq
cQbrINQWqfFcIjAuksbFhZE4TnwTdQpecFYYTiw9dzRvFMXcdkiZVwQz8SnIaF6VYbKdZfIlrLX4
LmFiAZ50noaHyAXm68a6fpPU1Xxv0TDzwZ1GblFT21vdEgxXer6BNyUc1RuyHdW3rB0i26+rwSmP
AEKzyFMTQfSxacZP+WgHz0OWDMoWzlWPPxCP/U1V1hQFPU/8UzNb9q3bOwp2jzoIsi2pIGR0oVb+
AmO0X2djMjN9QAhtyAVphNqG4CY9hjasG0uUcG1S94tqy/y8ZPuVYeVI370gUuEJTLuhO8zvXpG/
t2T/l7zcqKEXB/gfX26UAV+7+ufr7fuLvl9v6geKejAogKC+e8G+X29IITntCPGBiC2W6Syf6Lde
3P7AnJV6nHEuzbpuUSX/tkq3PtguTBekjvgj2cT/pTwNXf1nwSMgYeSTbO51Js7aL/W4kzWYtxLo
loHZc5qVlpj2aL7tMy7z5gyFLdpqiQqbi75P9sRM14QCisReHGBWXyMe1NW5OJjMJuE90QND8m0n
ZDYWPFsbQoWeZachgx27s8OxeiQ5tV01YRHWLKGL+ItOil6H7UerDF9pFAB4yaBjm53TtK/XESl6
+H1J4gm3Kh9dgCVLxU5Tk3MeWpU8h2PZDOsChdtV0WbVduJa8EmBtz2RMlauleAsI+u5TLKHIKrs
i2LnO9MNEw8D6bTui+kjQ8tuNfT6jRRoDUUQHwdsV2d3VrFhT8WWZLLkyMQw35aG3BBO+MZcJV7V
naqvUWzKO6fKbqyAkJy6Ga6jesbE5nAElhwqTgR0ei4fuhnwnF1FMbR3UMcMhglJnV/UKnhOghTE
e5KEp8Bm+bPMIm17xFHfEqozlS1o5uAt0cCCZFa2tcZOXZNPWWMjnkiA6wDXRnMR4Y03Xi24vT6r
dIyxWUHmkJowrPe6Nu0eJ+zuOcfChJSoCWeUrQBa+GeBGTa7InPCokEqkT8MQuTheuJSZS6cDPMl
zFT03HrAmnBl1V1QrqI2jV/LmNy5dYEh7GiF1pEr43PSiotSwXsUAVAo1PjxPtIku3wE4Xtlzsp9
hujfA73RXEfgQn3ObGzvbV2d9Bn5FemypkuSJ4t2O7HDexj28RElJvZxhy2fU9VIpAJ+CDqeKk9L
HBKJcvU+S9XrsoRpaEXFNioAxaF9yleWVb4Gtlmu56r+4jbWhYTFr3k16peEu34d5UXqNdOgnpMG
HX7PDIU6wRW7JlDlxigSE+TwQN75c4Fnt1jrTZXeOch0uWqMcEbY27dZ4zkJ6IVVG9eMcOxJca5C
TVMeBkckDGpqR/ssZckIOiurwV/SL66znLA5PwzM8jFoK/sLYp74KspV+wuqq1mF2ihQmsad3Xzs
atydtwJNL0y7BOYY21yxtlMgcbuBjp29hjHZt7pZQ21VJJ5yTwaZcVPWjf2sYSW7TWdZJl5eVuNB
OEb6CWqsRnmlxXAVKju+Zt/Sun7SpeRb/L2XwU9bwn+rAS79i/2n85sd+bzTzxfG99d8vzA44FXi
+RBr6ohn3vd83/shQZQSfrP3sSlTlGX59vuFgVyT0Q5tEorO97/67cLAvkzXurQxmmmxOPxL/RDC
r19mt3wWQ6cf0y2Gt9Yv+79BH2vbDszQ77L5IO1dHnTrrnj64Qr9P/RAdHG/fhrLWu4+RtEwTpa7
kb//QeCVJjIO7JAtWq+a+xC8z4rgmkPXJfCu5EsPKHC12K65ZI6DNX5G5i28euqJl9DwLc037Sh9
pxTrxJyfpYnddAi3Q3xxpk8L0CiwfLxYuE/UfZczTOk2JAUDcIqTFzxRft/pXwfyJFcJOCmzm/mg
MXzwxV0XIOfRTcmWctzUWXFKIiY45EfN/uTcyaj7auSfhBT3uDrROKRbrsxj0X1EVOHlYzUcS6Os
boKJjF0asPnQkj/hdyGMgAhXcgLk3jKsrVoj6xLxPoEbO6b3xM0Bh+93bQnPcWE9Z+C8BQlusW14
kfsiRoLhnEurMEVRPSPSt3b/GMidm5yKPPLcSdvUowLNSj0bjQI45m4UazP0MNtdlSwzUST5BVS+
SdeBTug7o2AB61x3YXwfpfAkzVfWr499f9dAFrOHTW+XgDZJjIqi8DwX8fQFesZhEiMojZhMHwva
4ayMEQvS+aQHzp3bYBc+m7jKEtu4Z1W4ScRa/8Sxsw4x08XFWpRa7LftWeFCR4QFR+JzqtHkpvlZ
ZhXZt3XzxZHGDlUdml3lI3ATv836DfZy4ebeoucZEISBhsMBh6rLxgZoL6TANl2L1N1Uqe4x2L/P
5+KOXSTBdVtLfsZLz2F+DuGlKpDtK5hYuNyIAVrH4ymRDe+MQzYCLMmSTWGO+7Dvrt2AlBWz6f0p
EFtXVhcDCn4BSDez/BLdfBqjRHEM4KFPHT4Ou3sqoiXVXi3POJW8pY2ZoA332R1QjU2iEvxkWpvR
GuA3LgP/RywTG2lALBkHPv9niiE/KJzdBCSaC/AUwbMh6f2ciAnAcLRz8n3N8tNpsdqRDNQPXlqk
69mWKzD4H9MiwDfRPSKFAtUS7efuySFayXGpVtiQ804GyJsg8023QI1z5TyFjzHecJFDT2Wf2WYw
fR5azHQuv3wHWYnN9G9SXmlXQM4jbyzwenXMOvX14uqs3MjXB2fbJZe67B6JhOApnF+V3jo0AYnc
3KPRXVaGOxotd3hV0jMGLzB8H2W4U+nEKnCvToeMkyyd+SmbT0uIvM0mRCLpQpTtm7jnlXjd4tpL
a3GYCvbW8YY8m8PcFEgN6udWOXSFuTdnf27UVaPGsIVf+h4uOSG3BnMABhj0SFgnDyI9tUN4nSvN
Uw9pT0Zir1dns1RXo6mvO8nqJMUWgX4Ua0TwUDMDjkoLV0ZE+EEE3BQmbRy8BKiRWjVfB+IqnI2j
UhvbJPjYsnqaksdqhqXvsFqx7R0LORymiu9YL9M47YmuHPl5usccp2NWl0fJMCfXPhUS96lAzLak
0pJ83GRkl2MvxSz/4A7o4V6Rfg1h4WGW9Zsmu6d4PqTGvTHXOkNkX7rBGQc+8xCN0yVWcu2Qp6Zc
x+QOISgU+k7LoTTxhQVm8hC3+m1cTExhmWfrg/FZlURT9aLwwmZ86zsMiK2kWmav1h+lO1+1dsd+
PJxR4+lvSqB5SUwepLJ3ZfwwSPtetDyJRn/TSKVC+gh5hlyjLZso/RRUiJKIei6G9joZuytLvUHL
Za8YiL9VCCwZ5pbhc0QQGIJI/W2KNH1FAoPPkVD3B2XiASntUzUcKAjBlTYrBXkJcQpHUsI2sOZX
vV6+uMgsAiU+tfU6jMW6WM6DpFrGPWTcVdO5USVldjR6kZ2/kPKxypy3tsrWCTqOOX5pnY91Oe4d
I9qqSOhnpAnTVeH6pGvtyD3aZdGnDKWZ6shNph55JJmj5HiKDRX8uzFrp+oF9OSRMAFUtSlvKuDJ
CYMEgNbpC9pioolqH6X9aggzrE+meRJEjQ6odMcU3Zqj9eqWG95aG4qtbIfarMkKCXdGaRzmKTr0
OqyAul0z2es9YcfaaSQn3IuS6MGAGNjaMdmcsH1D41BZn9Dv78bHKQnW3GM5kSfiWkUpsMoy7XPZ
FMq6tgbsyA10JhkMD/D2FvNs86ZV8qGEGeb1aExH8eAm7gkZj9fzW9DGDaFOkVe6OLBqq97bNTwk
qYSL6tqvm3SLwxxNaEYWniW3rTnfMadKQsiFvJNv4yHcaP10FxmICfJqpwvOI6Xa2D0+tpSJUOiK
6wSQFra4fIhOgT5wRO7Kntv/NrQn4L7Ca+8CXV4HDuLg+NxMIwf3PO0HKQix0auDbQBXRuk84S4r
8+qmzE7od05NtitEdI6JA2iqr0ETbauJFhM7QluttZQVabQPGmM3oHihYrC9jkA4UL4Meqdx5vJj
iKlOFYspVqtQ/9bsJiqPlG/l0MTdQyitp86aNhQkGK1tYxW7WNqIjSElwC3PzGM/Gw18pUQ/06bA
7iCYPq+Jwqg5jccC/XkCBc2yJ54me5dOMUx5MkNI/fKNdN30+c41SKnoFSj0JUpBfcN30hoMhCLP
wu7SAgSTEK9oaXsWvbWAKiJ26idaDxZ8tIkVaHbGkTCPiD7wZiinTXzoJshY2nSBerHqG7+l5rC0
cyavzfpWG+9y4guRWhLhobFGoWaKCOPJ+hstZWMXrMf2YMubPl6b6q7I6FNasaqktcp4N8BTm62v
i15SdM6uCEi5UJlTukp1cqoVvCUEznuVrIUa67Myro2hPRDp8MmJQzAb8wFI1ao1XyvFXdlifFNV
unMj8qTLlt49lwkhh6lASXZj9F+j/srsQ93PFlJK+tDbuz54aLsEOW27JdQeyOlKndaUb6tqXukz
Y+LtSLJOk7mek7n4324IW3HqDCVN/xTcahwYozgxvfHQHGVfjS+TU+00KbagsgFVL1KFcYVubEUf
7A/ziyCIEAOrp9XiFEG56q9FT+4tCYGDMIEynCznuco/jrDaukOCeBkVM2bNfqkGobYT6+KEu9K5
rvhD3fIyi2NT6dd58GoPSKRKuOFnvbtNnaO7qZNrHv6gvS27m0HbApX3Oo2rKyMEmNR6zkW72U3z
vo9PQnkpjBez/pJDN6iyK5uohOreoNArnhJMoA/d+ASfTbrHhIWba5IK/NLW8F6KGCe5tdEQrsWv
STTg4bE8q96k7aZCwmxxpBguFohKXZnd9RR+MsHpUX8b2pdCu5HkGhVPS6GWh8c5fg7iLzzAfbO1
+oc63kY4O+upOkYwZaQykM3mMMwRHp+N4GKgK/zEklkzzoEkMxOGKvIjT22NwX5j2VvGL7Ot6C+G
LV2T1R9b0GpwRzaKjbUTcRN4hZvddqDeV3bSvhX1sKlxNmFBrTdE2wRowWgmPjuVzWGNXwt/KeAl
OA5xbnpuTxUY6uwXBFnzlyTKzHAlhz46miE1dYVpasVUpt8KUyHYacDcpM4R7wI+LALAVd1DGpuR
ClcdZ2kUlKAE2uIAY3etKeZ8ZWNG5Wdj88d8C01FEl1aUJIZswjXQU8V1gDmWenDfNOQrLzr1BxZ
CFascVgYwdK+6pBTrjJF54lm6VBqdr5xHMqSuC6npyLQpju6Nx66vp5U+H46+IiJPKeg78VN0Vnu
Bqkkj546fE6tpr1jv6b6xSTiczlSRiObAxIkpnKF6S7dRCRnepIs0dp0LlVb6as6DJz9wMkOWjLD
G+a2FzWXsOhK/u9ZglSyVYmbMUHOhxNgNRT3Z6d2Od3I6VorZYA8MsnyrWi64MrVa2dV1p08CJqa
feomMIWloOwi28t2Am3P57Y2Q1ZBL1G1BjKleQW2rWWqNMhlUpaqDsE0g3o/tEa9Hfpe30DFg7Da
WsDqEQQtdTOT1G2TGToSOwskEPHhRDwkoJhbawX5hKSqrucNr5Xi0E/RU6rbX1tHu9bz8WwPTrsu
e0rNyroNrFzZNf2DbSCkQ4kX16x34im8tbjOG+1NG28ssAvEIG2U0ka1RKxGr32Za/UhjsJjZqnP
Zph86QcEOgHhSO2QnHVzq2tfOiazq0RD+s8ok4SAKQdGF/fdZs6s4UwUxYKUn/aq6A+gRDaxrtya
yr2j5OZOS/g2/DAF8yR62Xlc5vzerGH+mli0f606Pv69s51/wUH/d//bn66xj5/qT/LTT5z031/2
fXRjfLAd9C34bdln/6i9MfQPJmMbRkNk2bBSXggGv49u2C+rrvObIo+Ry2+jG+sDfB/22wi/F7C5
+5fgsaAQfpndqCYzJbblwBTYSPwqvTFrvjKVkTWSucl0yLYI0uemZ5QpI13bmIpOJV2gvSN4tZIE
C1nBRHksnZR94hQbSb8iPrB91khreEnbnl24GOOPUqg1JcRCSvNxBlbTRgM6fjD1GrYL+EWso2Y4
VRC9wYuftDpCKNOkMLaWTCo+cu7EQ7tlV9Ag0EuHvPZ6uSDVEpa4i41BOrjz5GgdwBCg46kdXXbP
xGlxKIWAzvDKz07UXOvm1F7HdpuAtMH6deJctDnUtaG6lxG8ts9Qc+LRc0mEBcVKKQe02XWimnSS
XFLzZJWurgMH5Nw+gGbDD2lKGeLkkZZwak3ZLR7g4SFN9CUMrrGa+6pkK+FZog3PgOX4cDPr1QGY
WhIT0WKWSuJpYQNKbMpC/GGsSRM216JFnZ5FrmVuNaDjJ/SDuXorLTfC7DXEnXVQwGdDHlJLM73R
7dHpV8M4BS/OrI/RzZSwuvS0gM56HQ6y1dd8XBGtHSyGZNIpahP/zZqVf99J7iKpZVv2x7u/q/h/
/sfX159Hud9f9P08EB8WxiTwXXcR1Rk2j/Y/dLgaTyOqOg6LX3S4zgeTj8KLIJrAof5B2mLYWEBw
5NoGkj9Y0n+NK/nOiv5ZhwuzGkcJyhuLFeNCzv5xyAoQMCFoMA48YWVcPwhwO/ls6GkCll7aX01g
fmDWKwh+XJW5425nXWqRb0YZZGLTJCeZlQS6FD/UeWQ9Z4rQUuksVSqCGnvyC1DkS4Zxc1lzP83z
eCI/YbgI2g3CC3QlYqPUUimwIUqJhEk1swtPjowKBgPtElI4K2jvdCGpChPVynqAFOgb3EkvTiTP
VPHaGoR7MSMNCq7+LiBWbH180aa4Dk7wUZClQvDkY9CdIldtBnoJHkpXu58Ly/aMPtZAahEQdw7i
PivWRYjyC5rmPJZ7deJ48MgcZ/WkCbYyK/JN0x2wKxejQpa4DiH1+XBfaPXoHlAF6Nq6qzgmtyNA
ByQD1VzfN5hblZUs05wsqQQII5kRkTeEYbUstTif2LTGe7MvyXgTYrYPpKwIEuT4UT5XfSvz/d97
df8bP8zC0Hn6/vhhPn+qv8Y/3e6s7b+96NvDbGofHGAVaGf51zeo628Ps7us+LlYgbx/48T+eLnb
RA+ze+HvsXIsd/Lvl7urUSY4zjvtiDr7rwhr9UXT//NmRgdYz//0JeoYie+iuv9hZRKaylj8b/bO
bEdy5MzST8QCF6ORBAYNjDt999g8Y78hMiMjuRj3nXyceYO5n7ueB+uPkSmpKqskdF20oAZay0Wp
FJUR4e5G+89/zneGsmgAbxdXE51vnwcrrrQddFf3ZKop/Np0mbOZAr18sNSQHK0KU8zcXim7PhSe
pNjBYpkc0RG0L7J3Dz2EleQhlyOQilCD9ungEtL7JV4MDprP/E0gtlHQneli7HFoYdGCyYpXnUW7
RidW162SIGXS75TpV2NJBNMiPcuwYyhI5XjfkrVmmpQFVp9y82tF7dWYmdupXfTnmcgqa9dx0o/t
dN0lBgrQ/Wicxn5RWxmeF5uLkNMltXH8CCBNBp6jzENr76dyl2jvQRkR7bbh4Nbek2tSGlnF4iWx
64tCw7E0St0CVT974i3uB3k3J9012IyXzug/a5hnz+OIjmkPen6X5oyfnVYUB1lmiW8NmHWlaKuT
mcntbNXelzmQ8lS0db8iOzPDo6/p4hj3duGSQ+dHTZyNnGvqQKNv1EfuZBmTeu7PqYnjwuA2VRbm
Rmfc7VA4M/ehrK3TnCb3lf1sBB6mrnltB28eYe1JB8iUGMg7gp4qvd65hbHu6SQhG9Tnz1bgEqCa
oKyaKaY5Jjug8Q/5HGyiOgl8/IPf6qGs1p5JTTOh1y2W4se0fhUkni178WXALDctSKRBmXCpGK5Z
FbDFKVRhbZMxuwMUtYun/nOh8ELolNsfPYRmNd9Q3Ay06ikeFLG5NDk5EE/p7HJ1CLDMhKW1nrVi
35HVW8kyAZgdOYjZEcW1fZQiZJGBD3lt1t3Uox2WFvQWrUKd6BqDstvRoeA3gzPoWLmzxy6q+zjH
6+PE223pjVXbKgy0M/a26qpsWeF1zdSnW9WZaGINJy/bkYi8rqp5LytYOdsZF8Bx5DKVrOO4woNu
z0H/uSzIgqCAyvpcItw+UXmq7uIGZBfmfmY9K/Wq12xOR2MFKXx6Coaa8TKvSrxb+qzdKVsW5cEG
7wIMstGDba+zaD+Zsp4uVINq3TEN8ENzjpT3ZSSMJ6wMZOPDyK2Tg3A6XtSSJ2J/A2zF8b1e19Kj
bMa+X+mGom0zDnQHzEAmmZHtJECYD+L5rCC2uLjYKGqtUks9qs4xX3rTwKXgdDqODWC7zYOuEVbZ
yrEoq2uVOwAW+7K66YJU3jez8SYElMlnrPlL4L0bZ+cU0wNNbN6acLerIY33uIBauirtMkFymJzq
W5Mq86KRQEyozsa5eV2TCTs4VQvOnuETXjz5l/wYhvNbYSfxwUq7lBA2msJ+jgaQ6oZmIJLMFBZQ
uGo3e8eNyQDk02TQfCimzf88/f5zoRLY+cu09/effv+7Rpz76en344t+PP3MX+THKp5g8sddlsvi
96ssz0WGU0GvK4/F37m0bZN52OOu6mEtE0y9P55+S6yEJyMmNlxx37/qT8RK+BZ+fvoJELYSFq50
pOHhnfvt048wr6QgTmH+KcFRI7wyRO2Q9KKGCQmcwk7R/DutK/4GlM65D3Zh4UWbao46ogsRpI/Q
pjVIK7X089ySWuXzFKidDSSX5geRPVCnqq/xfspzWhrjjCY0OLdN0UTnYVycCJTn2vvOUSAoJdfA
fGfqgTX4bpqPF2tS+hnDUhv7dob9ZgM+k4dTEhr53VT1TbkeoiZWKxhvydGduyzedWwu+W7wHSR6
au6UlcIHKDOOr7xoE5pilQM80EoGhLDRXAwOEhBCl6JY9bXasYhyd42o2amaYRu9cHZmd0XWtUcQ
CurCkdLsEx7AyNMYTds1LFCScCmboI1UUSdZPQ/xYRxG8eTonfKjsE1P7cAPlEr5Nai17msghnbD
sQsCpm1RLJ1mN9NFYzjtPkEatTqu2pP72CcmpWHNdkydazgcqJoFf698MuccGzaNI5Ffc1DQ6+XX
VnSNDsAph/g9smLn1J/cYE+P7KEaHLb42T5cquCTLzyDd+zmVoOVvXWAegyVHyYx77Rl64MPjDTb
Y8QuoTSnaBc46aYog+vQNrctu7MiC/04SrinzNdCpFu9yx9c2qaXEIofUKE5T6y9wK6QPrHXnqAh
OtESdlzjurPli4qC17jhvTRTn6kNQFQgvph0s/DI39iwv1YD2NOa2nfPpN1ZlqfC9i4NK2WuPGyx
ecAAIfG0jpYR/ZxWDibGfWSwTEkiv1fgzt0cl/K4SXqIOEYzHHuHCqk4uHaCCfrxdE1dFiaWEIyW
4TNzUNA60neVHUav9IvKQGt3zqLrTrpdY1XGsdaku5md6UmzkMGL9Khj+yi8ia1T82mk5RfkPNZ9
cWcnkWSJb9zjVbvy5Is9fuk9LPoFXkZec79hkc+jCfUyAFKIAMzFRK/u7S7uVuQUtkHHT2BQplMW
VLv1JbVyqOAEDhbNnf1uBKQHS6TZUrzLGqwif6jG4LZszWRFskruMCs417Pb0GYEhqgqP+uhV61x
zrwnLmJMkDgnxRKUlydt5XPDAn2gU2+u5z3FKbXevLLSfiwDQuCJc48ndROGnc+Te1ubrLsloYrE
7g652e8BjYDjJdBl49N3sP/QZkb75Zd5Mtd2hGvS5VUPTbj7Qb0tneao8Rfj/OKk2CnsdxVSBR7C
pHGAH7AbumtDGoUJrbdNuIXPuOti+eKMwxbVaVUwdpaOs2kjUt71jWbnPt1+57ApttZSmNPWPu4F
6oCcF8JhALO9g2zyUz8EF2pNzp47n40CPDFlM6498rLLxen34o7W2sT76RJip7gV8CKXcyiPF9vE
HeQ4lNW4cbwZwJAuTWqZMb51TXtTxIA7ecfEmkVotboucyNZ62WGDwEi0pQI30y+cGytNBqMPEex
GRfX3nRpIyxHTeJ34AVizCsj7dXX9rB8OppiF4f8vwXOT78LpvPgRD59zixgnqmD83PDgZSsXdc2
zMp8IrvGqqUg6OVMUGZQ1PQatXpkI5Yfa5O4RFp6XwLR7QyPUCssoqGOzlAJ12ZSf0nxxEdYOBtK
m7OJDyqmpqERFzc519Z85pW7JALhYemuWkWZOOsme5JO7Pgf12lTwlkmT0cDC4XVYEn3di7uI9vj
k8q7uIGgldNAkNTBnTbG486pw2ElYyOBySBu2MI8Kq5fvmjyYKX34Jg0vav9DMbnk24Yw9qT3MWr
un5ASmzvXE+1O9ug7I52+HDbZQw3Gqse6Ek2qZdG5YOf6UlzGwIR3FbA29euTu7OqhAza8+6pUT4
m15nLtgX5w4hUL/gVA0+jZMcsCIId1NOnFH9R7gx/Qg6Mk4RCUyJP1bGSA4SCSM/DbCzaaduA/EY
tKwxLp2E7UjDuhM9BKXmRDy/GDMY7VjoGTzRjHVpm9ntYJMk2JQtB5AXg4HwcososWYt+6W0xQHc
jvN0n/KP/K/J9v9dzMy/4JIBjUDCKv5H17DTv/+/9nM0ff5JU/z+ZT80RR150GBdgJzIzsBcNgnf
L2Km+4ukO2bBKpMKMIzljvSXHQMKBbZRlAubixpfw6bjLzKE+4uLkXOJ/SMB8g/+U/ZQ43cFdcKV
kEPtJUmAfArW87cXMb2x4PQO3JWoshnFqdBCF95sbFAJxw5aaKvR1VsqKA2juy4Geir9zmyr6nPX
2MEM5Qqosj/qKcZO0LsU2JnRRE9z2dn9lkY1Na06u4LP0tBpfzPF9ntAc8YjSqr5GY+k81KVYebA
0JwKb6McSCer0LGRMasBTA7TecAlDv88hPOOkLBrWvWzSmo83IXWtG+mI6oD7PIOjS6zP/WqMvlU
A0IzCVyFq0lUSJHKUgw8OpsGiwI7l4c1qn7xVfOS9p31qetzHH7JYZHiRemCQxHZwy7onJa7TH1x
G4yRRdWOGPwgfMZZce2gFK7Q/g1cHJFazXOJlXByw3Xt5RuKajC3WFF2kwXhcFKOM2+rptcOGLmI
aYnS41ei6rDp9hPdfOi1g5TLZJtVGzsiabiazT7k6T1DPltVNCGA4GIz8yqzTj+TX7Opng8T5Nci
yc2rLhBVtJ80+jA2DM9Aq6WV7VzRsGy1SWe8ZBbLUE7JGtpYXGdd57tE9ZbnNpLOlFg1k1xDLo4Z
sjAo1sOYvDNFyWLEjKk8IOLL5L8e1KRvJqNND0abhCdV6PbJJZzAkRr0+jbr0ZtXWGV19A81vXFC
DTy/4G/H0KvFuCkE4LsV9+RxyRAHcJQNEhivymxtCSBRzuEhHHpWQYY5mAmzvfRu+w/g9fgBvy4/
QNjtBxS7/gBk470t+1VEVIvlff9Fpz2G3ekHVpu+NxYynLV8+/UHepsfxVW7FuLajakQ5DDO8OZB
/+uf/2di/c9NrKCvxD/Ua0/F2+f3NP7ppPz+VX89KS0HrwOYEfarmG6ZgH+clCSvGGIFXV8eUx0x
4r+elEyzgEnIyUrikh91X78aWEGbcoRacFE/+qz/xMDKPuengVXwxxPu4rQk6svF/ye5NkYIKlMd
27oy3Vs5973A9KKZigZaUyY5eUQpZxxsEZWZU6HxeWjkwCamk7jl1rka48EfZJ1vsH1QjuhtNLL+
KRCubMIamjXJi0X6Y4N3HkjV3IOfnLjKjY5h7XrVRv4MVnPValnKBGE/53oibkKSLndZ3Ka3LG9H
zizAJ1AeYfPxAAGCD5uBS2SFWEOYRDEopNmIy4NfYLI3lbQuejLaj5NmNV+goRfww+16AHyiEblq
ZkyAnC5cSMTidjIkKMop11bW4D4UKroWHOqtbW2bqPOdoYh9BWUxoo4Rfc+Do2ipbOfILj9TCGZt
WrsXvlPicx8JpAKdX3VJnhCxSna9UxCMNr8EFVTyuLqn6skhNuxx4y+nlVbIbdNax7Z07mUyrWXj
HHK3vnaMfuVCjg28duO0+tfRa29Ypu+ouspdih8bQFWunlFUCKTAbxCgG2r+ck3tC2He9S26s56X
cCC1jW7HlDlXa3PozkaeYgYr8nuZ1YfJVqsOYGCncKE143ti2tsgJkSkyD0NmcvQkem+ZXF3rZxq
W2bVvrWL6iwKRhntphHkrJppHyn9bWq7T2Ey4lTO8M81rq+bxU3Sx1wayX5PvfYt8wgj5SzaWAz4
Vjk/FmPHcDvf9q3zOjlahkMQMqju3XljtMvHYq8TvMpxzoneuHZC9Zgw2c11dhNl9nHGOECVdf0Z
p/XYwCKNyWdV/WZs5nvqTTDVKkpYPtlN+C23YWK4VghKc4rjd1cTfBNTEmK9U6ExHui59K5seF5P
Iwohsm9nUJyiuBQ8xHogzbWeRu5loC3R2bJdB6LPTCevXcmvjs27iN47lIdkFVkBu4ZERleyKTKe
baNXfHMRU8jCI36HQ9ABrHmLHfdcBszMdfOk3HnXBsZt19XXUtDKjUnT6MwbVpCLQSwV+k4fKp9W
1TsLVC8nyBWc/NuwOaXC+poN7sYr6V0fARAlCRAy8yFL8oMWe18kU306NfvlHFoVjnELEI79gtZw
E9cooh51fFn25DwrWL57CV8YK3P32DZtfJRx1K0ysKqQdRkluhmnXR9OX/IFzZYDaRyGoxin+yQf
99ZgX3j7XNmzvaOP9tR0MX1H5PaCLOOxiKAiUxKEGVcF9jF8OGkP2IcJAc0sJQtAARuFLB1Y3gEx
HQ/HYZznrSp6UGwed5JhNq8ysBgqnSmyNwWfTuvVC/QTxYO+ZlG6koUNdjMQxLV9O3jhI0iiW3rr
jrNIAdth1vKVJ5+9eX6eTAYnO/FFLs59jUnSbT7Fytkp2wPti8V7ye4Pb1OaTxTn1tyrMoXFucSc
zKRcEOuY5kE/YnDfAhwiNrnKlbz2ErKVVoa2l0UoDOmhcdNvxUD0Hb34VeUxMQWlqOwjDL2C2odH
j9vyOkeR2xd6RNolyHZKgywvi0+sPB4ixwHemy6TlMz0bR6ZJ7NkRVKWcmJ3YfI59mIk8Sl4xLm9
ceIDLfX7OWY9YoZrfLy35cjKB7jSp94a7pSefh3iYpslHR3LSGh2srbxDC5ST2QD+tNcdRssoF7v
QspwZdcxPUrJEdYC2FewKZiQNQC39EKQrylnH/mM3A90GGbNtaZ6/UwHxkpod5A03itr3rduMx3a
hKkzGAxK3smADkBcmHy1bTAg8hCkXbXQo4BNAV7VUmMfkqaQA+0jEeabDZQ7toLkBmT9linQo41d
KH+uejYQXa2tuMHbhzjrrFtjHDqYq0IdnVTtnNS1T0aFBQh6bbNLIq2nMYRA4WigTfLBnbaWpi9K
z1Rdz1CfxT7IivrUGSwTyPZ0ZBP/udelf82hEYHxH2r3p///f+s/RMJ9/8IflyHxi4P7CysZBPaF
+/Y3K4q1DJTEDIWQQE48k9nwb2MjhTu41QC6O8QLl3D4r8ZGwVjl0JGzKPu6/DPba+MPmHC0SUDR
YG7kX7T5/DQ2cvdgWwDJI7Q7SpqTD4hZZyLifYDNooVxxlbIcS8y87o9bYmWuTNSGmcMa4DdS2k4
wayFl5Z/oNMQZMzbLpHmVnoLWc1ZIGuwGACuUfRmsc81C8kZOi816CFvbo1kEKy2bqG2EVYncgAS
XjxL/sm3ZSypJI8ooCr8pvIAvyluF5zObZfTVe2GrdxhOk2uFXloezPl0j1JkWvvXTarYWukLegM
T7TDeWw751sfBM1DoKpx3g/Y7v0A/RKwZRKA+21k/sped9hkFnztAKzR0YxngkmNE+/d1v0KhKR8
FIqwH7t+3RdDFeNiD+czC17c62mHyU2nzxkZuW0hZwdxtZMtvc6FF9uPRRKPX8BW8+dFdmXTF6ov
kWbGbUccWiPTL0WrRxuV1UdDxqzs3WIy7EezNzWEstmZHql2oMBBb+UnCilG32P2BNTRtdXKE9D4
mpI1oAOt71QaLVtchtbsvmFeeymD9Gxh7sZql12jX5BPygS3pbF/sth3j51LgSpvU4zt+nssuB86
TfCeFBHBKtaBUzFcLEjndayeppRO8iE33lVNX3o4GnKt8yOtmFC/9Zl+15kGYLtAC4nMteFG6gbl
46gLcdXd2km2V5h7Za2/lbywK7gFgCqzaRcBBQlKvIjDwPBtSec2DqaDPbqnvhg+qRwwuBzj7WhN
gU87KLVpuMatSn5rZrUFg7UO2xFp3r23ZX3RIaL4wiSwV/avqh+9q3YwKkjplb5uyJaHoRSrPIUQ
3zrFto24jDu4fldW2CPmUvN6qHRuwpVqO7JIpN48K3ZWadyAlDaQvY0BApeTVHuW1w9UwWHRcEBW
FybdRKmo/EqUXyPdXDZFUjO2cLmIFc3cytfsi/KtY8TZlShCh2xSASUU1TdFo8zqfCJ3AMz7jkcf
+fZ/7vn839h+BEeEleTfX8Auh7hKP9e/H2m/f+X3UxyJD/swLl0OSt2yP7yBP0Za+QvTJOIfpaPs
XIWB7vbjFBfmL3gNHTo7LGvZ0i7T7l+G2qWRFC1Hdzj8MQ39uVOcp8FvHEgCBVHyZ1AaIpEbP6TB
XzmQHOC6shQWtY5l8tJFw7lPgWaSpMnGAcnzr7+cP0iI4/f/gz8MCPbyk/JMY7/82wdG02iAQ9Ll
RpOZw43lJfElm12zvuvaUb3qWjnfdm2jj9ugyMlJVA5IP5ZEiQ4Rwxi896bM7U1YiOYyxRp86jjG
whgmSbsZaMpK92Y/4t3NSBg8tO1sE2ICBFrjCrZdqnuNTzw/vOMEFSRybfcGVEa86mnRwioh99lU
bkuTIa3ZZFXlj6K8clWBvSenHWxmh1uk4ouZvYOj2BfzeNNW9Z2nq5falTd1mPhVqe3qkmaEFuEp
5YJYm/MJlvCl8+xHNyS4prXUhlTsUjekAUnYMOsIZlK6nOqtoIUHAX+TeeoVDP+9E9T34AyfudU+
En2nOdvZiRTUv+tAOZ3NRh6oOZCXGlAykxo58eNcCR5YEUtOTaf3sshQ1ZKI9YDJOjzXq/K2qtkX
e6Cc1rWkiNKDXL0zQuvr1Jb81urh6LGnJvMeHaolg5717jFOyRALs6P/rcPjoQjSJMPRGMU3106v
CkFQcqyDQ5+qs+22z4LF2dxEsKCY6sl4YEiRJOEXtsqcsdpq5mRPsJhfhZf7ep08t1RUOOFjFhTf
iNWRhcM6NdT9zZRGp8YC1jLxhDFdrF6kCEM9+sx2GjALiRZvQ8+ML7yvwQIt7wvrHtMCg8jwODdW
t2KjsuIHtfNKrPpKfW4Jv+QBIdJVol6As+LkNmgUSTZtFl+HcGbdmzB9iU3mXlMzDmMRv9oq4JuU
Tw6tHEnx3IREoJslFUnwsUAhDW+KqFjH9MysKHvfKfowM7FgV+0bwx62uoq3U1xc1fwmdDmtlkY9
r3QuOf1va5u7/ZxdS6eE20JoMr4reVvxjjCrnRU2t15mXc3s0JkIohXPp2WvdwtF80lOyQVsEbr6
faK2uVbtXdg8RNJpxbpTapenL6O8UcgnTlXsHJFxk2lO1ds48YHSCHO3xnCWimEpnfO7GaGVic/E
jxawiySbdRVbQGO6KtsE+bscXV8gVkwGbQuESstppGClJZDt9W+5FpyDwLhSUXhXGosJ2Lkx0vlk
2I3PQ8v3WvcOKeU6TY4N3JPRkc+Q6Lb9aDK8btMIYaSct7HSdzTcujTkQdS5j7Mv9tjfccVbz91j
Y4vUbyN9RYXxKpocLlJfnUY/0dK3iuN4G8elP1bJKYvrK85yumcTbVth7AhFw+/l1kQFasbcNwik
+el8GQaKbAT5JnPYRtN7pB6ofsX+hSyNG1nUGJUNozpWYXhpTSCXE+fAspDMnXsi99W6HSlYbJ+i
BKwA31R6U7fpFvnCYObHw2iOJ5txsy6H26x58vJoR1F7wVqlEg3E/fAUwzzVqvBQ1M9tfZmyDqEf
LNFsq+vUocR3mt44La69vH7tw4qY3V6XGSZDE8E+9V2Hoj/m03UCbbUpL5rxoJqHmPBh2C2lRfQg
ae6+Kx4UgfV9WKK/tNvUk6uipbOoNV6jYFMn5qrq8Xo31VFk89kOKD+pr6RI9n0kz9wrtzNvpDGf
yNkq7BLX+Xw1q2Qr2hKYYLE2SY9+MIAqvf3UhafOzu6GyDjFBnz5NjtYg7Y1sEzkCJQIjiVBNMbu
hg9LHQFakoQzdoNj3MTkUsdSQpiTx566TavtT7wpdf3SYVEBGHKnsm4famAzln1nmYyHZg4OuZh8
Irq0tZjZWVbM2aY6zJ46Yt9GYriFwvhiqJ6P7by1FyxB5Nxpzp1pz3yucbzU4fzAu/yGijeq5cJv
uDDZOc8PM4fenHf4JHldky164bqmVtrAaLMSiqxJyy06TnYd2dqVXWa+obN+sj45nBcgI3mLuMZz
a92kbnyTUAgikAjJuWCv3A8U3oXTtSYoyuEW7kUsPiy8pUo/BZ29La2DRPvQG32rf2UjfWXWzpOh
PUcTZpIRWTGym/dSe4lLqPhVfu5BMNqT9VRgKK10TL0BmeaFApLLu9DOPsXE4ivtQPQd7BbwP8PZ
a6njc1404b3m1Tu78k6hSd1028CUA2oCrsAgAWqGE0lQZ92D9YhsxABWYH33DYcZAWIHWRZjbfWF
l9sRCm3C5QkB7N7SskOhPRrJvcH5NszlLiSg2CK7QeR6iMz8uUjzI1K4XDljgvbV7gFdfKtpZYnd
dqS2qtm5qBqJSK4C8AZ1qJ1HsLJ5msGJbfW3Km82GBKhjrhvOmy2TSrGyxxH38osuO8jexXrzrbQ
w7XTj77h9TuClycu6c8LsZfbFyp0cOto2A/cdJ0WhzH2YOn3yGo0JyT4vDhg9dq9pFn+3GabTJ3r
6THBBJRRYSWzo9Ebn8OxvbGvA8lbO7sqtEvRVFtvzv3MuoQoLlMR0HosfeviovKXhxkBaoRBoXnm
yZl4zeGp3xXzbdoP57xgWxUxMgf5QguASMFYVxDrNV2wlFN8asUptNkI1IdOePderbVrZVh+V+/q
hudcbJ4mPt2GbfrxlG4T7VOM22EHegecG1vN4sTZ1iTuTbJ8uiHQ0L5MOJ7E9OQclNL8qCb4tcmK
7thX8bYrr7gcrVPexsEUfZZAAKTot1rfg+2YrkFFbxWrgQqyeKXbPs3MvjLMvcOnQOiAvvqXSYWX
LBN+OB6593HcPVQyXM/jY8CbUNb+IMqd2yA1mSkFP/OGRew+YufpjRKXyHTW8se8gewortX0bJNG
Hmx9P87fHEgecXdTlCG72RxGxkSm6tDSTG6HW5fnW8fdqRP2IZjUQUXvynoTLw69ZjSxI3AbUDct
j6Oo3XdjAjFdfaOh+kqHErJyLOzVDF7EYq8snSeXTVzdSrY4jLgZwAzhM7clrl9VNrjQ2yRzt61B
c1SdXgU5B0NavqdGOWOS79YkjMlo6w+cqUOCJOx9salDM1IcasljMN6OaXabqKPN1S93bHZDXL4E
LUow3bQlR4fL59vQkrgRD3bNotyMfMEOyTBwzNdrBx+wqM4aVVoOGbTMekhzKqK439RTeODeBm6V
JVMoUNKfh8o9YAH3O+GebXPa94ZGyfDBWLrr1Ao47arzWvCmPDA03Ps9efhKftLAUaa9hZ5JMYdu
cBhxIvI6xcyZNDetaZ4tDd2H/XbUq+f2W8WyRc+mBZqJ6XteCGzWW2keK+fV5NTGbuxHxmFKKTnp
b2eDSGKv5mPPQ1KutZHSSn5lLgVuLQaZq67i5QBMaAabKdGzT0HaNYAbiDbjZDIm+cLizEFHiNxy
adllPrDn2r7KWE9AoEga/dlKpuQmS5e6ZDEnH93u2Xs1gYzrAXjs2lK+Z5UMXiv858sHM9bYlxQF
aqwwCspECmGfUtKIpyofUJUycLQHy8yRs9Lcs+g9zgNrBwF1vuUIY3MdhNnobNhtw7jRSDwMSWpe
WXToNGjOwJFo1Og5IRvsC+k4hleWYfXV6p87kv9LSqaomIJ58K8D5e8Y+oem/Fy3P9lsfnzVD73U
wO/MCOvpBmMzET7m6e+TtqVTm0v+BwOO8NgFL5vbv+il7i/2x98CGopoizr610nbIrrngNAnzrsA
1P5c2GcZ5n87aS+hQqRay9FtBvqlJOrXWZ8mYy4umtxaU97IPX8eA643ebyGaX8qJPGKJApuixI/
aapbD6VK7ysOPr8Efs6cmHBoQINOv6s7iC7UEPzBTG78biRfvivyiaSQYLcRgf7tdxWm8SSnYXHF
UBLv92whAMxbV8lQJ1yxcclOcnY3ZuGuhTfBTqKuG+SG8f6rV/IPvo3fLdaX74L/InmwRPaW+OSv
fzfGUNKz7hE4YeY6LZJuWIbcc+dwi6q5NbvuE+25HJLTKI7/+E9ePOa/zlPyduBPBtmH/KEDKPrJ
+qQF8IjtmVfFE9mVaZVPJSmHdZAYuM/V8NBzFu3qILn7x38q3PPf/bn4t0gMoxRhxHd+/omFNpvT
FKfG2tQC6yJmWbx2jg7LZIJ2Kghzh8I4Z7Per9vULdmUFp7TnKjJwqgL8Nn9osmivg1JHuHMiQt2
ePHI/XyFas3FGgOyP83lY8RbDkYLy+4MRl3nVkCIW5GvMELB2fKsz3MZPOlWw26wrEPBGYpLGUPF
sOnloEHrAP/feol2V+fxK8zxZbuftVcuwjbubwMqAtZsK3K2SSLyXd1Z3PIUNmW2chtzdoZ1L9WB
kP1pYq8MSsrtb+KBjXoS4HaWRULbZ6yZ21I4NabdsKUtpTiFijhLX4w3EEPelIjJXllDvcLxNR2y
zKb5pIPozco5nz6RQuESGethJNdFbELZ1vMAG5mchyUGP/a4QaU+5eZFp+bZQGvt+pmweEXeO2yq
VajH8ppaLVWeh0mmiCwFQOydHreGsTWkIhSmKXvqz3GEO+1gG9lRN2paK3R8THtoNDH08SRn7WgO
gzPuisE6mY3bsIhnwBlm+IPrPmlCvMUg1LAADzFj6pDKslzrPDu4CcwhHDOj7EjFc0cLtxNojnyd
Z2jFKaXNr6kgiepjJY/bnZuUxR2jKGI0WSWcA7Ngus4G/RpfyqM9hNPeNjR5EJUxvzBe07bbenP8
brNiBD/0AYTFp4GxuCEWcTt+IGP7D3xsaLmspAscOYf8AzBrfMBmGZhAzgJ+58IyWguQliVh9zR/
YGrLD2RtHUblPgxCVvdT/NnVQSQtd22DReVqFu5NLCkFHxfGb77QfvOw1k5ta3bfcE6kDh2mBpSU
j8/X8uD627nWfHh53opyquMwan/6y3+7LzL+879+87D77Vf82991ov73Fa2Fw77lV4fR7x6j+89K
/fv/qePfmrB+fNn356gQC33U4ECWLBI/bFN/yQ3RJO3RRUWqyKUJBg33b89R8NeEpPm3bgGqYKT5
23NU/vJxwvKtsemiQuZP1dE41s/4a4yq9EQYEviGBOBv8PP++mmhpWUeqi4VPvJOYOb7WXstq/uh
g3qoXiv3WjfuRr1aG8NjXOTbOdLX/JCbor2twV33fMYn4QfBNQmLK7f7PDqHFqMMj6ZNXh8dL8M4
chYhAPb0UGe0UAfQ0sL1WJLzwGYJcsuGP6S0J9Fb25Q83ypMP2VU4MICXnMCxr5snWuHBrc8Jhfe
FXCAaF5vBQVQTCKu3jxWIzEkJzhGQCdzW7ugqZHkx9/l3cVLrmbIrjtPe0igTay7qi+3dMdcpiq9
Eln5VMOkm2KQXgNDMYZ2O/haVTDqo0HsVP2FL7zHFJCzN17hVb9punFDNPY2Kdi7uqK8bpdaRq0s
LqRjHwJI/mbBzlBUj5qXrvPE1MBkzZvaJCvRAk/+D/bOLDdyJN3SW2n0OxPGmXzoF5/lLnfJNUsv
hEJScCaNg9FIbuCup9fQvbD+XJlZVZkXSFShgQIucFFAAREZUigkd5r95z/nOztrBHE3mB0LVEH8
Q+z8zNnM/XMwxphXCE5ezQRMpu6pfgOm2RADMS7/bpcIS3ut8FtIZZ9rD89ubd7O4adTVQU3euA7
t52WSIXv8ZyfZ3fd+TDVcuusonIGZNXe2haRWj1eBKxh5zIuFVXNOrJ9AMLBn4jtM3muVaXAcxWH
LjiUs30V4Xq3rFddUuHlup9uSanMOObXZZpvASdMizhGrYOCkAiQotZFFAWdWg8efXxTvrKM6dmh
RQc8NDCx4JhE5ufAHhnv/o/UWEfFiHs+RLZD2GOuFzd29UPoetcn7WaCluapS0HxczdDYsjW2IXr
n5Es3nWf4sVLD2U0nEopnpO2Tzcl3cZ8E+HRcqT3q0oeoboDYtlVeow3yeXlxckEXbLeRIjViupv
xv0RaxhFH7vZpVvQI4K0N4J+j8t2L2qT5JMfoEmrmcOWLm2CNUX4dgGYSRsObQPeBAOx+RZTwF13
l0biFtci3EgTM1ZnQQ2b9aHnVUl1Adj22dx1ko1qSb+EvXVxFdO2wNtNba18ROBJOemrnVlQ4ItL
ATnEXwYxZkg6h44E+668ghDH1GK+ejSddOt3gbHsfPWcDtOdkzRACU3xiIVg6bfPmE0u8YRu4VEA
x7ZsScMTIMmXtKkwKnIZNPTWTV8nMHIdsLYsIZ1sdy+ufnIITl2CYIMkkxLiD9QFf2boPr3wyTXz
VdSMS0t1O7MlHk+hBzMj4mAMahJAKO8s1OWDXb5kFB6WFt/r+g1Q3ibAFVj1ZKi69q3mX6/ccReo
dhmNeJQcEHP2bNFQ765qsLxe5fJvIfenQph1XXlv6xOssI3h9FedPb/Zbku6PPAgpQPOd2R7FUKq
xw9NmN7ZNdG4J1+71mF0a8CvSaOvHmGujHiFNrip+2u/L296/ktraDohhbrv8unQldNBRHiIQq46
bv1S0RSeJ1eUc6wCSURl4gXAhfElnrFsmzSOBMO1XeW8/I0nv7iZ6h+kPa+L/iqZw0N0eTaVRfpl
WUmFju6tPS7EVeD9xNsRLlI/AzmSD/miVvV7V/4YBpJA+Zh1BL0U2nlz7Q3IdzINf0Y4ykiNxdXW
To1bRWxy2SBHSJN3YL8PW6JntyrZzQrrETTIruS1vKtUv06QS5rhnAAmpRWVq3D1TCpvabfqZCTv
+aW5VWUnYD1I9byrh2URB9dtGl1PbXsc/eY59NGXom1IbzOAD9Yd0EUF+lmUXYmmO/pZt7bgCExI
HpH21z7gVWpNP8b52Wq8VcUtONO14ApuXok6pTLekOEa1PQP30a8h4oajtUzPMNVNZFDNW3OGKW6
tRNktxhT8Na/I/cELONrazE42PY0c8xCDQn2RoylA0b3eH5vpaRjIdF7m6/xgkCGi3l/WWbV5Rzu
xip/samSpT/b+Zg8BrDJeowQQYRD3l6RLTr0pNZbz35SExRXS+86wfULvxhbJN18tere1W5JCU15
VzIvNTYHjgRoqcbXnHvgMmiso9uyyqv66RwN8X1A1zwiksmbE3omFH7C4wDtzW7UAGUBwXAaE1wt
iKe6EnppqUs8Em13YB4tt5HjPFkA0JZtCVvQogblJbQr3hxWzA/THR0WICN5qe1USThPM1usRRgP
PEC9zHvIa59U7chKazek0h64btMmqYWR3XqUvEPNm2X4IqwqCxe458LHNDQmQHxzzCnS+EDZCs01
f5FVLDG3sqSXEr9u31A120lFSDe17J/BGKkPPzPexaDe7C66fFSSz+9pLjlA6THKie3GnbPwytjp
V3NUhPVOugYEN75846ZiHw93Mp7bSzg+PRZ6yO95PcMlNXUwrWaR5faW2oNgUVjcAkLYCHvo0ha3
5cxhfZvVrfvSODlOUTvpz+gX4B+rJLpyy/Yz4HFUZ+VbGgWADaIp4MXSrpWnYSZX9rmv3LtIbcIY
34sbljWLOWVstMBf01b5yRXRaxHNtEd2xOSKpuMarkJ9E8bVaqiGYOHLcdnbdyAApluCN3ptpMPW
n5MnYMngMPkV+VbrBIhkWFYmfBGp95NCtBowNCyxLayyEAnXYzEuCeMNMrubQ4NjrxnHrZYBxL7C
aZ/8TP70g22WX1Coj0NdrELuG76Lpjudm6C8MXtsimTBYaYHFa9WMcqjb3yV0NH3GohGGRNhHuEx
LrlcdsteqYjQMbtSvxK0hRgdUOcAGHLIY60cyyVex7UDW3koG5orjAiwEM3wYk3L4MLA7lgkFzS2
sWnLHpZ3imdLMxp7kXfd20SmDaAiur41wmNtDRTh7RJArbPw7KWZi2XCAJvG48pCZiWX8xgkHthq
+yMPJY+TkIPVWwyyfUqq+aqn3BNAxotvZPuxh3ussmjhha86YP8A36/Z9qlasQfb1EO7NYa7mNrn
Qd755iZh01jK8VpzaVGDTzOyjne9FzMcmsdEnRnMN3EMPMyRuypgW40v87Ed3CMxcWzQFpxdC5s/
PYFRxKAZL4kTHSObfBC1n0unD+6nSgX3dnqNowgGJlXPNcRvgy17XDf+fuit7jMjpzk29jZjGFj4
lVffRolPJQVR5tM8x6Ciess5Fp4T35ejYS/cdBREmYx55zkOhiYPezE7uumYki6FaRJE4ybP1E8L
Bwg3qzk95E09bTIvc24N3ZFuct273B7dTWxHWPBVyxoEszIbADF468R8QgH6nBI2TqKzborEbv97
PPz65yI6rmA8+6vxcJu2X2AP/jgd/vZRv6ms4S/UmTtu6Lku3IZva9JvKqv/C6hE4ZDB8X6FKf5t
OiSiAzXpoqHafy4qhiohXNv920T5ryGVLv+aPwh6/AWobXyBFF0EDtUZfxwOy6wx8klMEO9hbO9d
d2RplzILNVmd33hJ0B0dc45ePKtgNeFHwjul+PippCd5FoED2BtDLw+OCl5NOBMwcUZjO4zma23K
YTu2LsWV5hjQvhsE3cNo9qJk13eJKHpKgxaEPXZLYyITju3nXxqsD/dREmjVVVApXS9pKhNXZR3b
j/wK0kBgf2kjgXSP0Y87TS7xJAHNoIu4oQTB5M02kDTIIsfr13En+Nvh66w8fwxfnXnqj2WjKxbx
kah2Uc/Zx5laXreBJnGRCuyKZhoZH7GR+SUeIBjZmyZLi6dyDMs9KEdI6xwonSMHKPkGeOuxae4j
k7CHZ+rnxs7MW56Vzl0mjIhEksPYVg5sZ/1Wc8VKG4ju0iXmkatr4UTTo00jMw/R1jrYTQvhW036
c8yMdi1L88voIvujbYZDKqzTbMzhIpoTOjqwPSzgQugHtAOP07fw3YONjHlLGKsHpDRwLxmHaGfD
glxRo4Q9MhZXHWVLi7nFvZWo5NYziXQKaVtveYttiJhrwCg5sByDLs0V0sWwVVEslPaTgfEoGuCw
RusOVwG7JHup5wTfRpHaV8UUr4ZRnvGMJassN3o4s8W7xxGCYHulQg+AbVs8BpzbRHdoueDiAlGT
A6rMxCZO6XIM0pmT2qnF1lZ1eHnGc3KlnFpjSfjeMczkaNH9RgpcXMpPLCAibaHVrkwctRR4jBkC
+lNbcTqProlZjWL7RYHl6BTqAgj2dI2g7VC1h9UbhPZ3sSN8o3lVpSwvm5zaR3ZynOpaPTZpz4B3
aYesYlfeRZfGSDO8GB2+ayS1TaOkvnRL2kmdMUapdB/EZnxnfpdQ5vDPn5LOaoACXFoq+QLfuohk
w6pzwU9wiVXJUbiN3LmeRX9DETFE5G1G7TThkJkB2UQVXSR50j9xWhK6bOLBs7aVunyHSNWW29bk
/VWrVnfQSAZGhNFPH2Jf5J+ZCQ6JXI7sn7AB9jR7UK5Q0g7h0I+beSCrIsSIzCwvf8qbvL1KqBee
KRUvb1RW6Mfvx+C/TVL8gw6JVvnbX3zR5/7wC4ZKXoRn9dVOdzyJi/73xOLlT/6z//F//LPHgemJ
v0xsrttZgXL+03Hw60f9JhYCGUKFA30JdPo7qP770o0HO8szCwQu+yX+HofN2u/2Vgr2PJ9tGDbQ
X6MNfxcLOV5Yi/hgNi9FSv/i0u0/lxIB3ryU1iM9Bthl/UtX7D/4Wylcm+SA9gaqMWqG26EQGOms
SZbyji0zojYCgPHWTT7sdbdIYJqMreHdNLnPbGY3PhUjFENCuZ3yJLitg+GSFRh7Cx3HBGZWG6m4
Y3WV5fd5OIz9btSoN8u24bEMICgLXxj2VXmqaxLjBxGaSCdxHBfU5YSMj8JsYpxOWuOpc9q6VQcV
xZmzzqu8/lFbeVCttNkZ+KcucYLcEO7Gs+LoNuocaEeZLYcIuyJnA00FQuNM8nQL8NzKexKR7Tjs
eMei3oi56SYC2ImKH6bJQHvqRlM+1l4TbOugxSrkzWL0b5StJox/PZn0dScmwLYdX86XPacFVh7T
XI7fyCNiRuCPCAZWZ4YuxrcCxmK6tr5hScagEcesOYY75PVNAgrdmUdWPjpzd3jqcee1FwJTWBb+
rRtOel6PtpjfijkLNxrf5dHqbZQCiAPEHUk8vScXyBMYneHkWbZ49MJaPDWDg64aZA2QctnkbOuo
CIq7tWcmE9ycfMRwWV4IF1DRpgf9jb2oUdFc3F1ztB2/ERnNhZZhmVM9rPpvksaUco/l24rhLC2c
VKxKw2Nl1VnaszdeoY3xsWa4Ap8fhzON5ybInfWYaHdPy+F0C9s+302ZlY7rom8y2MADSis/1rPZ
scrsYJpThar7cVzktBQysrlQ2UxHWJ9GNYzPve7GZ+Fr31qO0RACkg8VwjRloWBych//TOUrIB6A
9wpMGoOTQhIvOmMj47p/CLSjI8YqUOuLMqzVddlpjQ86q1y8k7qMMK7o5sExynAXhT6hGzx3GGto
pIWFrqb3Me58gDupmZ6s1qlfChpVD2Yn+Xx+WTUPqBLeD3ucEGOb0s49mgvm9tzYRsw050nxM6N5
91pkfj1vZjyUq5RiyruRmSpbaKmb94ZDBL0oqGxmqb4OggVMgWwk8seWCV21LCyGKN8ylkYrhugk
mXoSNvbYfHvsnnfBAL9v14yxmd1n8Zy9j6Xbd0t37H/bR//bHvb/dfdHLqSev0yurT/TtmK9/+sJ
c/X5v/5nSEnq9wf9eiBYbHvYEQEnQR+4BB74dH/LOwgMFZflDXEDPAesiH4/EKxf+OO+BV3112pw
Fku/5x2gzuFQ8IHYEY4j8PAvlafyFfx5QiDyAOAOvgD2X67iwFP+cCRklT9OpYjHy1SdU5KFA16O
dfswTMo8ZJ5Ut9RDd8ehlBQMeQbh7UCm10YK5QmKkFj7nrgbE3FHPy/2DPt5MKz5BLMRIU/RXzG0
JjuPbpZrFsF6Mw3aWdesrIgUKG87liq4mS2cBVFPYVaWBOvIRq1twFKSDstbZF87Wwlrvp6hCLgz
WV/6SV2EI6Nf1QpfrpmfBUr5hjugv4bK6m+HtlizJ2mvkJTshZLBz3pC61cI/gurxY1YwpJZDZa6
1qH1ZBveLYkHVrlQN6YLZc/273yP8o4Fw1tkrgMVyx8dUsJjDiySi5nbUZ/FekbcKTf3b5qw866B
zhuvna4EbFnXHq+hIRR6OXr1dKpMti+GLCswyZzx17nx3XLdl7jJiXOPC9Eoi9RVUkaLjkT6rrwY
sIKLFcsR1FQs62+Hlvh2a015al4pu2bHl4ZfM9XN29QNrNvcC8uvMjbzZq0I3O+dixEsaKP5hRZy
3GE8m9xjfrGMNeXEqJcaTGy0hGAqa6oSblXpxT2Nt0CX7r1vB9pwMaNJgmTHWvVRQRXGxa3W9pXl
keroDkGaUBEF1LZj/9ZvQJ/eiWZlZ/RrsLbg9pos6wn5jUKXW8y1y0F5V9PQPk/aXXle9OqwD+/K
ei/y7kc6i8fRD4holFTTT+22x5wwB86q72AkTFD4ewlIzsgZN0S39xP9s6Byzh/2ZfpGNcdjMxPM
frT7TwpqGXymZfiTgfGqYRJJY7gIQu4GhY02Oavh0JsER3RzBRhxWszq3feQ9DOxpccL7S9dGYh3
gAhpWlPuvUAM1hyfxCRXfep/VWhzKkSmFsMrTu8bUT1b1K1mvHd0DpouBqcVrlH5EuT87KWZ/ZVh
pct5tJ6Ub/4YKSNfmGN2lSTzJyGjJc14CzCGq8Cl9TtceYiLgmz+8Ildr6gPg7OBDbDI2fGknnvd
xLSpvrplvUv1wTHvZXDy7dokuAgxsh7dYzVfxifxEabOvXI/5sbYW063mAtzNftgAqmkMu1i2Wfl
EZP+Dfre7EAfSC+jMsERUOmbiSyqexv3xUrQVFZAA+pahcwKFk0dRde4S7cN1lTXTvOiRRKtBxgG
Wb1SRrhiswuxkYG4X5XFK+cRGnr65FjtIlQ9Gfov2f/IEgAPy6iw1FueGqsW4/0indI3kbz27Wc4
vbZo2SHvZXNdAA1jeqr9oyY0nlRrX7ob7jfsUqnT9PSL3d8Yjb8uCfZQFXz2fXIBdU4+21/VNtSh
ApWAH2N610IZyP2PbBrIctkdrTBXnpURMEqXJPdXMV6XGFE7cvZsmW86Ezt79jK4NPWpJQ8ILz8n
UJut6d6f2bt90gncuHdB/xyOK5GsxjbEAXoV9Q1o+UuRCVe75tmI6hO42CVXv6zpKbxlV44aO9fv
tubRYS7n9D6Jbyx12xMniILHUN4mOokvF8WFN8Jj7NucYoSoyna2v5pNmtEkNTf7agYZIcncRptO
yGZJnTE9h8zX3dGOj0zvzKLK2jhz+OiG0V1XEI90BvEYXnIdfMR6ctcAreP4I+bNiGJ5ZUUDPGw2
D/hiIlL6ttzYHhksth3doAHEhecEESYipJkU2U0XggHx8xuqxs4yBRDVFHtYUCyPwXhSdg+7ZTlm
7bJqbyNivCFk6e4+mbnBwnFqjIeMTrq2uSP23GukIQCLrUtD1yBrVkNl/CBUgTUhUem6qbIv8KwT
G/BYojGXcCan4WlSxjug4GtPfobpu/Q+MvsrxpTXmRt3FvjD4DqUMtwPOcQIksOW7+wyji1hww1I
gvqaBuIruzSfh457dUseo0GpCun/cGQGYfNn1NX70XxzLPtYl+ZDD0qCyk1/O6VZ+ChYaDzMlaCu
zVz1ppu/CHc8d1lpnCrQPKSCd1GT7gFsk9TmQkeJXpWwl5/BoKgejFjhTpucGILRmYe5CzYNVQFJ
R56NYOuWsY0XeGIky0J2r1kYeytvgGdJT98i0BpKNr3PofxZOQEmd+9shDx2Zb4ZqRKrRb0jo2EP
1WdifFEZu5DBsFEUWfPS9jZF9RwO4bvl//QvawEMBg38x6Krl2y912Kwlx6uh7CMz8Bw9iWjFS2D
92mNyzEjPW1G/ibNgq0t0Pc8dn8RuJiWcvNa0EcnTnZiX7ctbuawStGP2O8W9QpxdFmW/ASRE2ku
+1FWFK6zYJiqc5RkKx3cmSrYRO4uqI5oQCyN9VkH+d5Ov3wdnXRCkcnk7xuXQ6ClXzHg/1qxnpt3
h62azYXZn/QJWuPC1PWptYZDiHeMDRM9cXHDm9d9iRJ3KWP12Tm4vuMQeikxb8zYL6q+HPhiqNeq
ojjXgwkyy4MqfswpcnvkJQftdD9G7fEQHtHZatIyTJoNW3d76IC4l3dW02ydjE16HFK4qfIb3zcW
fk/YaqSHFPv5kICt8H+OGS/Qu2F8NxRrBRY1eFtbar66bW1/Oql5bLzxS5KA2zIR7fDLUNXWLaDz
btPc8Ek8JmQ6omfC5XE8PijeiLl/VP1wLUW666tn1kmHtHKvEimfE0Js4ZDknLOE7ZLwUXFPG1Ie
1hMOeC9GBqx6takyPpuV3SXiZq4utYNnM8ufxNjuYlYuvulA4alvlPcj499c6hEOPc8pnOHPmt8j
YD42gEcN+EXY8qvtOIWvaAW2eyNJekRhVAHwzJ9njVtB5o84517hsJBeN19Maz8Zj05c8nPv38z4
RTnjxo+DwxSFW23Cr/Ua3OjIZ/E8dzzG5SpAixich8p/ASsMl50I/yLxs1fkt3gRm3O5nhN5ysP3
wMlo1MvfsT7EoOgvg76+MuJ5Wc/epqrE2XZ5ukbBQ9bEe4Or7k4X8xPEhe0kvU+vhoYjM2Lu1Y1j
f/jAvFcM6BiccFOwKFVtu2t6ugECAhIjd4GWVFnQY3PoAb1I9yFM6R6wKdTV4R6zPoqovCJMupup
1XWDFO6Tnz55zbjoh+beM3+Yw40n7gc6qOd6XmcFHpF25G3TuoIIHA3Ol4OiDwTtBNXzPCLL0+P7
s7LVSwxqoh26pyHNz/wWLkNMrne+ZLMV4MKqsgs5dm3o9j6Nb4vpPA3AAWryew0KNY4EDuWyBfvi
a4KK/PW8kL3MXBlOdnbU8NzOLAJjLjIX1rSzFlT0pl1AeM8gyJ+cainuZGW/agwtdRNuUB+XoQEM
SZRyEVgzkAH7ZPCUiS/GjbkyD9Qh05DIu7zsPJyzNWWKXamunKBfRZyhl/4VnOJkl+3lFIESDqGh
Wg5pRNsK7lvH6U6NO291IzatGq+lC0vAGa7clMMPGMeKptSj63frLP9KaLqU07Smx2gtxzNqAj6C
bj0hDvDAg8eVZ0QZIfoKJVkZlu61dmkToCfOwvCbDqjl+D+v6sBYVTNFyWKMt1FChCkx2s/Ou230
mQWi5PvcWIAaWwvZurh1W3NThtkdEdhtQarEbvutMjmMUKYnHLztMsEMGg7Zlc+3qc2P2KBv6uCZ
wE5vP+XVZxaX69h/6AlPKmefuT4JDQpFh+G1Ktpt0SQLN58PlmlA8acdjcbUkjpk+kmbas+T582L
qIGzs6XnXJgPXN94RAnzfbKH3YSHttUNmcfbHnKDOGiU4oXRf+Y9ptuSGxUH5oCfzGG96nrzFfsa
YqPzYY6LTTiufUXPcHfCFYgx+G4MLY4+7MIx3aZ3IUDJutsrkwgcFp4hIB7bTvsu/hBtfCwm0tLz
T22Oa0u+6ERsL2k6kZ2SuqL3qr5CuFkNHDipvXNzd1P4YssevEgeIDm/XAStPGzwa7WroYCBnNur
PstXnbGfZmwmGUhYxpTZgaurT4n/kloDuJS9BiTityVnqX0u4FHL5jlznBM83tWsNmq4j3wA15BE
1mqw7h1a9ZqlpVz6I9MNaSCq80i6XWt7GVTFfWikHzEmmsj5qkJjW2EKqUpaEcdqPWvrWJYPAkhl
XnY3c3EvhvDEucgtD2QTJc3AQZatOOJciItwXVloqXfAzc4synR/lmzFsQdy1HQvstT3qDmLnrQu
Pm+xlny2gpZM89ll8iI5U7GRoi3Y+ixH3qdj/SSN+TrOBMXV41feO8dcUZI+t0v03KvJ9PaZx+er
3gjovcrMwN5gWS+AHsG759kaOOnRwiu+DNVIst+vruG33JcD1DBW/QKtl/zgsbQwjfiQrOISgsdY
xhvte+ssHAmSD7Gz5njfRgUHboQhI3MfrAhqCMyYeFXo3D2ktDMcLFZRO88Yii0Gy+jm37uJ+C8s
TpHv/EsiB5nH9/bHe/5//3f7J4Xq14/8bWVh/nLJACFQOdiVISgRR/ltg83ywURmYjNKXdcfVhZ2
8As4JdRGz/XCwHKsvytU5IRQuYhFsOsAMkA3wv8nV4l+ITQX5DCLrQoy1R8Fqi5t3Rm9U62cKQ7E
Sy6dD4UB9UEMsrnJyyxi43hpBJm/20Em7XWPwXdniP7uD8m1tF/lpVSEWaw8UXKFVQhL0rXz3T4y
fTeReEHPclXApOQQDXKsZSI2fC5Cuaa/oBHSO2tKv6xlo4H/rU0rqMtrDVh+2/Z6HDbxCBVvTfln
Omx0nOpTq029tbqEmbk3Dgz5PBOxp0Uce+BZS2MNu5YS5wTX3khAuzSiYTubToFpSIQsJlHW0Cgm
Dy54HvbYXhLFBjZK0Sb2mNT6p6YVRB4LbeE8liHhXUTi766c+RRAGDTX6ZzGq5rL2ZsGF7xrbBVf
dUZvA3XLEoexqI3vdK6C4aqrK8bfgHOF2TqnCLykQSCgXaIHVDA5dI0qDxoJG4TSe1eiJzJLM0Rx
yvt2/ixZczzj8+FekUxhIXesMCDvjsK4ZDwrO4VD5NOavGAPUtzKC5tzOfRt4WyoA0wIbeMqdE5l
n9T+LlUFoRAn0ka1BUli/gAteeFSZOXwBMncGmmTlkUAn68CL9LYifEDJB/qQZETXI9mmJ4LqP79
sAG/3L1Lu6BGwfPih9RSfNuNuVgxhCC42XaLOSGxYQspZs0FE3bcb00iN0xW9gDYqRvAs7sJjnHJ
WmUZxhjQLT+jFhvAA2Ams1nHiRXGhDi5TlJH22FNJ3Gc+hMpXZEMRyfzuRE1nrFuOJR2hZti5PVd
+UYnKzecqewebJ1eT3Q5Qr8vF1Reqo0ZETQzPEI41VzuZE+De+yBhspKcYrTmNh8f6PdzFnqwWT4
TSvqkZneuRRRBeFe4q/NBoUJfVJKLuYrMBbdg75sYpZWPIw7Qf3PQ69j9SzZU1rLxKBnbmOCuG4X
fDvbelkUOReyIAHgskhlnfBe6X2W6Wywdnmq6LZMMMeiyumKe3+q7NyljjagDS5w8hwmZD7JM670
pjhQMK+ozTI9KtzZ8zOVS7ykkCwu1TzYHMg1/fdR8E8amcjq/fVR8FWl859Zw+6vH/XrMfAdCrX4
qeOt9UOIkny+3xYVUNlB54WhyWrbpwLg75trjgGXE4JqHNBNuItsPui3RYUNzsllP+Fje+Nk+Reb
Hk33PwVGg9BFAkbM5rNZmJr+eAzolIV1B6gSKrskhGy2ZfHuxzNecTdER7XChuRI29FzFRX2uRXG
mC9V7Sh759iTfxfnoJFXQxJEPhQ41tZVWlIX41ngecppiHO2fnX/BDMdry+73FnsUyxCH3laZKeS
jfqHlmXzzOZvTleFo80bcnAa8nvVilXR8rAaAjczlg6P3adgMoKTSluAfV1ngWbv4Dd0y8lzKLTq
eGuGwNut/F6PmV2vkekB8cSj3HV914DMU/yIFliJWInHfgkxuTMs8gAiMnBu2Z06ycyO2zOWEBRZ
mlWxDk0ut0Nw+x28JoJk1ZbRprQ3YWol3no0OAM3qip5r2srzj80LkOshhzer8q1yZiPtXiRplK3
HmUM3VpJSXO6shAi76RR5nBjgry71V56ybP0rnvLcxk5j11t+RWFojER/EszWojUBzvYjIG+meTY
MlZUSI7jIOrxGDfIuTwCigNTq32dogyy+TUHgvzaCh4tu4Wk4QjKfevIKXgyN2ZLIaUx+B+RbZn3
NfINKMHenmARUMZF17iQrx6p4WiphpDfRa1jvY9RwJVrnLwk9XQzGG+BMaPAjbKEUUGPkqpXMHrF
E+Tq8CkI+vpQ+LBvatpnCbYHzzrsi1fSK3z1Rt3L08g958MpgkQiODiE85DxGBNt0VV6zV9ZP02z
39mkBHr7Ii6KeVXHAdgEu2p4qkpOdJYndZCeoPjB0HcI2MrNwOP3o9cSkDCtodeG69JD1sxy1U+X
b2eGrRmXnkrmc9uoEPs5Oe91ZpKuORR1e4nxkAtyNpU5DtNuSjz7SjVtBiQELnh3GMM87JYC0CNC
dihhImG9Czac016x1HWBE0xE4bwOxdS36/9+Cv+TT2HX9/5yW/x//gPTyp/tQ79+0G8PYfcX17Kw
DgUu+12LHdzvD2HbxiPkggolahRAuwv+YVvMBd4MXIGVNOD5TTnG3x/Cl15P/hfwgQGO03+Njofz
iIfsP+bD+eIovQhIOtqssr/X3P/oH4qEqR2eivDdzObSqpLMdrHXovYAkNg9mY6KLcUmsx3zKaO/
zFgCISeoE7aarVAsG+bvjhzjuOPzg3qM2kasdYZ7ZEnnjPeOC4I5O4T27C8dYTSowDztXXA4qf+q
UwOfhz81FVqGHLOPRrnFMwaPMVpa7Fg/S4Nn15WIJu8LLZH3mBhM3uz4L2O5YvHtbQe7VvNmqiJ5
X1cE3QSkl2BBn+VEcMRJo5Wf2/LUxT2ssBA6fWtY+ufkd6wHgiG+yVkRyQV3T7muwtJ96cltbIYk
FdeZW0IzMVpyT1lW0jcUhqo5xKHXAWiyhPvWFWLG3Emg5MzPiroglWQi4CrOm3ZRkvMXN8XgDKCe
LfSzzktmedfFXr7T+VxWK7tKzUc5Au1IvL5As7J8jf5KOdquIWOGs783PJzpAQ1QaTyET4bS3dnm
rBLQ+avmplET+LjYd9AqArDqc6tLgCasuRdFW10zH82vVWdA6OpU3h15VA80D2N73Wi6Jj8Z5bmr
O5mGrdJN0uLUDRP7dZqN4GeQm/FjnYXUxuVN39OY7hVs06us2CX860ASdkTueVExB1lzyHqZFtcL
10Y++6wXHhpe1811ME7ys1ZD/eiEiPHLjKZUC/7re2yqHvifDLg5cm6768QWKlg4dqoOeH6j96Cm
CR34k1af8f9j78xy5EbSbL2VRr9T4EzjQz+Uzx4e8xx6ISKkCM6jkcZhA3c9vYbbC7sfXaHUkJWJ
FBoN9O1OoIAqqeQxOs3+4ZzvZC5fZumpYtiYaYYP3XMjuzoZhsTdTaPP1Z4F48GScfkKe0LMwxDT
WjS+XzrkwKaTvRa1hG44isK/h1zlvhDHUXD6jmwAEeVqgJEQqPKxO3tZxAiZV8bUpqdpMpBbkDpp
eUWOupMvMl/OQBsT3tDCGfzY2DYwGu9lpsWPFkO2Nyvs2TN54taoCGbWSY1ELeDzd4GBOays7YD8
9zpcx1HebejEk7WHSev676P6Lx7VQp/Fj3/MV/m//+e5mAcn//HvP41Ovrzw/bi2UWci+RfwOAww
Kjbn5fvoxPzAIccijLIYVY1Nzvlv4h7SJl3B/0VR7R7zin47rmeNKIxr3OSzZZx/8Evqf96Ovz+u
TRwvzG50QaTRbIX//rjOGhVFcY5nZapUlmzc3uCtmeZ9eaVHHJFbJ7JS0ihIQF8FlsZbGsdYyppF
aNcoQ9Kr7vjmT+fngK27f+8fH45M4ABby+ND0x8fIBFl/iPxeOUrG7yDfnzQyrauIaWD0K+XAOyZ
O5R5GVcE3hYtfOhYRlDq4wRLN7jma4YAjXeuKhun5eQ7400qxnTeps89KbdemS8IZhup1RM9va+N
smcWGtc4xXDj0MS7PJUjcpvLOtI7te/GMGiW6cQ0Y5lbLceRoYr6prOUWAVeiTKyVeeGVhZA1PTy
o+340P5L33jpST1qFtJOgTSItjWegwSJjZW3Dzzm8JdDMnmwJNvBpO8Jg4pf9DiJrvqEbDwSS0R0
GebzIw/4AluZG3lICMppsghRrigWs8okM4gApGU1kPy3JXGkJPPScQHamWUhWF5osMeUisL4QtNr
7V7p0iK8DWcXm/tB4TqjQAY+WQbRbFhGmONtTWysxNkCQ2MNacfAyELmDGDuMVcY5GJqExtPIxHZ
qcFYP1sZ3djlu0JDhIsIPyp3YePbpJaY/Wse69pLlxfDoZdWt50GANa4wcoT5XfBGq0YGH/2GtFt
nQpCSnApc8FFo2S9UBnkZy6Ul972FVQV7FV4QcHbjuPp34fWXzu0AE0I6A9/fGhB3e1+PK7eX/J+
XCFOZzTJCaYjN/cg7vx2XKEqdGymtYjDMfXBv/j+uGIexlFGmpEHG8rhEPmmReRs8eYP5em2oXP+
fJXnv1OOvlBIvkFK/qXo8ssyhgH5b/9KmvxPx5XtkEvk6O4seJ+Vknx53x9XmOKdQHd6VFhhaR0i
pwgCeMZNzrLemlI2HKm3qzMvpKw0kS2ZtTm168YwWbbFiddwzni2jHZo4Tg6tIQ8mTCyxNoNMdAu
QsZY3XLqR4P0P3tEPYikyVn3eHtphVNXtku7dap0SWmuW3AJRuXsjS7Or1SpBm9h03UhkpxDVhtc
3JgibUmMkY9TVF8H/XAkJXcai9pez92tm0t566aW8xQgPzaJ1hk5kUQMB26d4p1FHDhNKYk8pctM
IPNnop+O0iDE9RiwRmsN0YMPwt/E8l/iPNtX6PSWCu0hIggWg1gpZ+FHUbN3jkt0XdQ+gbv28sjc
DLa0Plot+1ZdIIHhA1uDvdTZt66tXumftAyycdVbQLQyHlqnY/zX5CpYe4o6RDVRgyC9lye1rQuQ
iR0C9JENs9bdF6nj7PiJXcVTay4tDeNTa/iXqV54D1LXSj51aKKNSV69QqlDi05z6WhRvTOgL7+k
wyRPfI3Ns17p/kkcqP7BtSbsRGls5a+xmSj6ag8OIMI19lCOlbk77od4BEUROpvGqftrLSNnjpDV
HM4A0LvFKAuH+TfjeWRcY7fXCmt8BcmU8h27UpylVlkTWpu5YEZzMyJciNobikYajw99GySfW/B5
kBq0p6QLDKKqetO+TEeDqCVV2smFHekOlVzoS7RqjXuJzGp8GFi3XdqT0e1Hcx6I680Em5U0qOK+
8iRppKNtaXuSciByFA7HozEVxb7CwMQApXTY4olqbfT8KRrkDkF+gSwNZxYIoGVVhg76jeoSFmmz
sURzGFPzwbP5XsO+09czxnuhpC93FsfwshHipYDkj9vuHDHmUL/mY7HuzVUut9gYrFOt6Vr4nTk7
9V7kq5TbHuvtqWabFP81EUiZG8LWGP0th8OGZR604iiSm7QZscFqzSYNU5zp5r519K2U0Usjym5b
FZ1c2Xb7pDd5cDKWhb7Cuv2pJTlxWfSu2vdxfCH8YTuYybbGW74NA8xNaAEf2rGiKzD7B50LDDea
8yYb92Tq+bbjzDwdxnqNcGPpq/TOIVQQ1x7ig2reoGuujn0YSaAmsCZm3p2skl2SNrh1+XeThgGc
6zoBFuY5zTJrsktSqgl5J+GWJ+9zMmknieg/uuQQdb3esPNVh8I0L4OuJVugMk4si9MA5q5kmBQN
cJrESdgM512FNCwJ+KKsJPsI6OmWOGq5ZmG9V4V9SEnJNbP8zUL8s8SR+GR74Z2hjJs+z66qNGZK
P2DBHIo3HeQFpkGcg2k8PPvwDxwbyFwoUSOkg4MRgJ2xqrBUq/JWmsBqAGvVFaLmVn90x1lYO+yC
pjkxzfjETJOr1AZU29Q4UMpkXDOgevTLqlmYbv0c2elsvCRflgM+uc0YOGxlXzdrukL9rrNR57ET
kCey7YhVE52RnDT2/K6HAQfnpjNwvbjzSH+w2seEaKA1vIPkv+Y2376W58/5q/wZYPXf0kfm6uj9
//SejrPXT3H681V9fNX7Va1/cGdTAJMeKHzfD4JM/4NHwe2DejINODI+m9evtgFuccOxiJH/wmf8
ek9b/gdohnNSPcMbnwXvLwWkCj7BD0MgrmnBTW0y2Kf7oZX58ZqmAB1GHIqEJGgRFXlYo2VeSIoK
e0Xn39SbKHMNtaG8Jn2+a5hiZ6S52IvJHYZHgnNaZruWU/Uw4gdKUCHs6MF3USLsuWn1VcVPFxGK
R4FLzp9v3uZZjz0nCrD84qmcOXKwRdErj8gsOJyJoMpFlEMmQRALKjAxXk0XFe+idozuMwE6DIlR
KOkrN5X+PVnyRrpz07S7SdhnLTxIx6+yFDT99AQ12skiMF/9XDMOsqlIoNdC/9UE+AJcpi3Ou3IQ
C0w+3q1ZZ9NWpk2ar914fBk9FfbrtJ+YMaQtwvE08W/daRR3lFVqUzbwLJnmT+FdYPbpHWENWoTy
vxyzWao00/mwGSJYr9AQxxgAbofa4cDLYBO2y3jwIExFXn9reCqIt92g+5ey5NOcENJG8ulwTEF1
WCqfslttP1bGnJJaHxNTx2N6qn1MUu3nUFUiB8hX/bso/4tF+Wyo/LOH/R/j5//4958QAu6XF315
1olEETPuU2DLFJTgOg/c++bNwweELoNn16D+hhf327PO5g2hAqu3bzjW3x53QK0cDQgwHNtwIMD+
kkWIUv/n5x3PKJ+etoDJBNZxJs/fl+VS1TyzloeWyYl9lknxld4Q457Zn5y8klsqCPDAxPYs3NC1
l5kK7ixyNJYaSunAsVEZmhPi2SG8a5A2k2BFpdAmFXF30qFmIEFkEbVeune0Ntwm6DBpAYyNK6nc
pYD42UU6rnwMkvqFOVTugjzPgzto2Ucrm4NZfO0tznD2ZF1p7VHPBwtVWCcQH/El0jCsVDPmKM0t
6/j3cygyarCsO8Ug9Cy74DFtCyAv5CSjc2KT5hpohAvNfc08GgVl9+tiquhxGzSVgQU5epDja8Fi
fD02rXZtd8VOWLLcoBchgFh3AQF4GB0BjmlBuNaYRisqnJg4CdGX9QNJdjpnV8Zebxt7eQpJfuit
al21jiBTtI9aCPtW99J1o/0Ztbr7opES2W7NvCUZj+X8nUF45qveMNF8do3gzNeGINkmZdAiCNRh
0S5K9lPVZqwm9viQZIL4PBHYJxfJgMGnTKQkK4qmY2VEmV0sa6Of9Xt2Wt2jFWCjZUZwEThGm+AF
+h7rLrvqYrSO8xYsrNiH0a9I8oLnLVlkhf6DnberaujSOxGY5YFxJtPneb8GQI3pO95i1m7+lxXc
vI0zu1p7GUvklMuuctExSzICO2TFMV4tgoMI86iEtJYNGPkJNr3/Uvo1kSvGUE/leYK639gzPCoy
EkNAFZ0MNpOMjXBIx1yYeUCsTdDNWoMc6UKa4N6n3NKMly5ykEMKq0R1oAuN5NPe9AJ7a5TmvCcs
4Q7mJRyDVY6j9hoJELtK9DgPU27xNght+TBOkLsrGD53WZV8MnSsDPzpYKp+6Tb5k2a511ozkY3i
37BWAE6vxKwZbw36xWuDvBROaSpBP7CgnMc7cix1vJ7GNcLEiy4ML+jUik0aWdHOIRRBaUG3syYF
vb9NGSqXJd1k22zLaLAudFfLd2NFLAntDE4JN/xoNtFajSTXCNaFZHBRS8vajTeej3sK6UhKUKPH
19C1IDhgLodbc+IZLaFN9AntUd5c5BTrDSxwq8vite0MW4VWewFZ9cXIrGu/zs9pl9P+ZRpnD22k
39CjHvIiOjSJES14v5WIWJxdngwv7eTehbjXlmaaXxojEpt5j7MGLwsFoyD4IEVfL0egEHaSv7VO
B+kKbWJkEhLBaucK2MjNoGO5sqoe6xl6X1F7yVlT2Qccgx2TvfqhqCRkfFWeFa6K96GqtjCSHkET
XSM8AWtWqtsuCZtzO/c3Rd1tahuMfwx8dmH1OfuliESYIJWntkp3ichJL/PFDZVEOnf25Fgg+V4C
Cosu4iokGpbm+sawyrM0bvxVDbbw0pat+anqmmFjTACe2iKf6NTqOzdyb2rbvSl10vlq9GMtQaIo
+LETSDftL2JP3aIGAtBYDZexmmZnzxtX/l2mF2iJSI1gOdvHKzwqqDf18HHGEjF8Pm0z0sNrvWAd
7Jhddham+rV0p4xfsriB/nYzWN2ZDPpb3WfjG2txz3sAne5giitlaa92QPB4mIjnup3SbY1NDFbT
kyzVAyvyaknK0L2DcmH33W33Puf5fq4zMwW+3xnO4Vbz+AjFlg/14Ge282CR7NL5Ic5ky71E5hUu
XF3usH2xL1JaDVvS/a/pKf4H8m5dfr5Mzf54QviP/FmOzz81Hl9e9N54uB9QCHg6JYftmag7fytG
LOcDSZqO/Y6vcOfd9NfGA56Ri8JHwJlnf8F78fsZoUm9jvGYxaLFCvqXihHD/P0G2mI8CL6e1HEm
kj/LgNoqB2TXYjc09A7Tcs/8aloFioTr8zCfRxIm1pBiGyYj8rQw18AOgoeVB+4vyTOh49CJ4si5
xmXq2ScI65HVW6GnzpG8FSdDqGcEGvUMA2ud52FhQrnFHBuXCKkbO8Hc2RbZdRjO8jgda5K1to0e
gDRVuM+pxElI5m86XclROIewqvzPEUvzcZsSJpEuaXK4mtyyHA5NUQbpVqtM8TRIvwEQGkYkV7lD
cc9tR7QwLmGSdywShXBHhh3WZTQ4d4ECLKdPnhHs49DNL2K+4EMsQvYhPSbrB5u0bkBuExvm3k01
AwOA50Wf0Q2yb3SqKvuY12oeRwFpImyEgB8cFV71OVRNtU6z0TxPawKd4HWY/bovishahRJ/tqtp
/YEktXyVgcY85INksRFW5Mf1fUB2DS7sURnNq6BtRXY11vu81nExa8rsT1J3yFP20o7ajxz8CfcA
sHGK25knPK+vWwdUhKml7LR9gjx7/ElA1cx56U1cBvvvZl6FixId03Vy3JCn87I8O+7NkZ6xQw+m
2BAr3px855QY8RUyRn0k24rle2iIZg5Kmnfy5nE/D+XC2cTz0r6b1/cyZJHvJY792DACXksvYc/v
j3V4QRpWeFEkRf/mHgUBszSAqS4pq7YdBatslg5MRxVBMQsKatSPN4lHjtLm+JT+jWC4HavXf/vX
5895XHD5tk38qf3pdELyTcfxJ0faG8PFf/qa9xPN+OB5HnQsMAfQFsxZM//eXjFKYStK3gXbUX1O
tfjtRGNkgnaRTEbkjmBUjvvbr8JG74MHC3xeUbD3AKjzS9MU4/fjFDSSgi/CswT/gcX1Y3vFnLiu
lC4mGgS9vEIYnLbb/Ei5d9wu/Jj0Du8rGvdiKRjLbqo0DwHiByacfN0yse/0cqzxD486BRjLXtj/
pLBEGOn8LOmXhUk2lzFD+G38GIFy2DsGbuiNS6Ow4xpnG1l7zMgV0jPs+K4T1f6+kUrHWjgyfMbQ
NZnGxgbWTEV4TAUoviQEpK173gc1Mh5XXgtyV29EwNJhwSAjW+TF5H0SPkrkUEQfWysAGF4a07p2
Ewcb0pQfEjTCxCmUc766nt+7bjf/r8a7hepJEJDXm4+h00VkMvrmzm4o8JYMPzJ3W+JpPZfwr7IF
KxjcZdT6xU2eUWNjN3cZQ43gHzKYjqhLdE8zr4ohTxaJYTNJF566Matew6PMhJiuNJwNQlED/cGQ
3VrXLHWVOpPiDYvEPBAVpi6nVs+uO1Wn6aSSC3IQS7UzMejZKGISpsQmAyl3Z8etRAaVtwxzdCuJ
PFSfDHvj3G3M07Iw0A/SdwwfZddClUNhQvspo9vezYZTI83dve6U/mlF9glxfj2jJ2K3cCuno9pg
QCBgx+CkDJEu3go5iGml20gya5ek4qUqvX1Vl1Owjr1Wkv+prBy3j2xgPRNKOR3Koue3VxnAMHdO
FuAzq/vsNGWtx9tEuqXDighC3hJ9p0t4IjpIVPJDBAop1boC6u/A3m2hJcp7glZqPvvI1u+H2Hlt
knC4MJ2cVLdAdQnNhFOSmBVI2tMSc6WzoAU1iH+aOjKBWAlk1/yIYWCym85W9NPAQ1yFHsgVRFRJ
u7VpTob8JuK3a28iwKPlagq79jyxeJsvnaM8NXNgJrf0C+1RvMpP33xSR0mrmtWtFOKz0PUoehVH
AayeJRkC2I7Eh639RSTrFghmmXr4jLuR1J4RwRDUV8koz6ejzBbpF5JbjTVesEqqWYrrH2W57mBH
JwM7cJAN2dA+mcPoPQN6m5aeFQBEcAdjD888hf8dNv2T0xejfPr1u+Cv1a63/4nQh/+ek3U212yN
/+QyYNY2PufPv78Q5te9Xwic7UyzZtG65cwD9G8lrvfBNjDYQMr0f0LyMG8zDfxxwhYOszUk6L+V
uBieqG85wW3XNmh1fi3QAQTQTw2T41IrU4Q7zP3hws3REd/P27o0dQ1cswXUiAzuuTWBUPaAVKAq
fijRXayUh+9UxcWzpTgUBYqXp4R0ImDRWLt5JIzrMRyTA83450LK6jQyB7DfRVzu42B6doOYD5in
Z9DZPzdOc2+w/GYR7BoAn4fowYv8+mSYmOxVdtTuTG4lrI/scTul3+hh2ZGR6hcnVddTXbIwXqoM
EghRNeN5NmRAuePAPKvqttnzMXFyi0m7Jvuhpt8NxZotRXgR21bIeEUHnSyxAjdOO8ee+Rd1L+7i
NtEW3NfoRdsIwIU2iF3tzbP1yIuWRWg+D5pKlqVnYswyqRjLxvav4Z/tBZPvxSDcA8EGdL2eA82N
CGCfAOUO2RVuK4ZSNixwGEfBBh6ac2egMrqN9Mp/9QRIZMVxv4/NWi3AVAM8zwZW83EfbSbVzH5b
QzzaAbMnvtvJo4/onKfJNj/ZWkGGZh6qK7NLxB4lk3s6mBwEraruUUSE27YV2ppxbUqQQYcYQCe3
Dg2Us23M4a5wYsSjkD3IxqlKfJnYcVnYdef88qxlWoKHjkIdbEwoAJ5GLaA8b1R7tzTbdSxc7RB7
GoFvrcFEVTpnMcr1dRY0uP77YgOQgkgLNqqOtAyUuUG1xlIEscXLxYJivb/kW60/xdDhT6mY7a2p
ReFtpAyH6ETdQzfFWhGmfXFCmq08d4vQ3nCUG+tKn0ycXJIVZYUCUiUzctOsGjLZg/kk97yNCjy8
C02qb0OArgjPymZ1fE9EHarLXI/iy8QIoltjcuJ1wfRjiYA5nqGqZDi0nRZtuMFKuJ+ty0EbR2KX
O6VY41Mgfdfohk2Dom1t9xI+ygSdvDNySh2+7C16h+rSqRJHXzdBaJyRGg+IxypTEDJqCC7aIer2
MN51a1kOFmvwAFBgXgZkKRrMUKBitCvLEhrgHa/FlACStgTsDAHItJ9ir65P+CGXrLs0/VqboVim
ivhdVuWuywdrP4UDgXxBGb453liwywdSS4hWtGKCbl9nxE0ttbaMDyZcn8VUNcGcYV/joIJfEoA7
IZW5U6dDNYOUBvGZKaAOlsWvTuKcnbgwAH82nWpWJlpaAlvjeik9yR9rL3phskTS7gykM6JaXOqT
iFZaCgehSToyQ/gBLkTk9GdahG+d/IfnARHXuh2tfIXf8J7VPVISEsExTUN6xKiWXpVxbFMUTNHe
MproXmki2ncxKWGT4sqDeU4GVcyd7aJwmcj4qIUYyA9AfqtFw5mO+mapd+0rtd2rZkU+shFWVm3S
3xl53u90O1+mUhLH6V77bNGWGXnbOFrKzyOmP3gEfrluSi3gSZiVtg7RCIOc6BdLog84lHkyfFK3
KYAHPIgJcRyCuOghp/bqY2uYk7LgErkXiWaekDPRLOJSD1ZoEbKlLEm4AB4+rvEcgYYlTjw9w8VD
EAWJmDTtFsybGgsfp5POMBBbXzIb/NRs9QPQJZdxU5v7CttJAQC4rwlM9TV8OBgFtfkiWevpXHmE
fneV1214hqNmxGRPdrl1MPGW3+aM0IcTYTfxtUoKYiAyTlqogyFRLCVbvnQhZAjPpBMqGC70HMYl
s40qPOn5h83alXWcX7gaF91KumA4EyvV7mBN9G8kjYSnY5LX08Lmp7qJ2965CryeXNqUdocKPe8R
23d8Vn1hFnbzJlHzOBvJbA/DCkzZ1xrBx4le6JzFyB2yaG2zeNzUUvHFmb3Qb9OxQGWDX+nBhKvP
V9moEIlEI9DXiKKvFLMOjOTbTpbI08dGYTkkwjIhAAcKsKuL4WL0Ww54zW6ce5hyKbQlJ2Ju2Rj1
J5QxqMGpTsdV36ueQX5WkBQwDqU2rIZUD5wDAvFkvGl6HrIRzBHjoNC9GkRlfi5GO4Ke6werXy++
/jNl1f+vdnMaZNx/s8L4j4uvxfP40jU/9O/fXval9kLhDOnQYyeJ9HlmG/IB3xXTNOOAEx0iIW1m
e8fErK/jxVmdSBFPQ4724IsP/WszjsFlnit/Z17/BQnicZX5/azaYcXKTBGlBH2/ThX2Y+kVtCrU
2sqeVqOGmfvKaCouoYgHTicuEM/3yg/FaH3U6rbek6xny6U0co9VmrB3bsRO6BLslbAOfkIiDNAn
E0ypMRNL0c/29IZOtI3NIjudIi74xeCG/h2GZudFTU1zhWVjeFCx1pwlGbCdKE9BMZY1TFST3Lxm
mPrHvPPsNZdz/+j7cKTKSWoXjV0Vm7g2A7KmgavaonobDLWugjE5ickeIpsY0NZHQiCynT/n3KV9
8aYqvo8V12Dz4hRZSxIv/C0XwFJG32djdFcikqeGzDkvrdjuwWA6cbDI2rC9EF0JNKuzlUy2dqeZ
Fb60hma8S/Jh21EN7gm4cK8mXPunE9/AvgVn9En2uX9SkUcYrqHym1e0VnW7gRbrimVsGTGR9kOt
3vhCaGgjQ2YkCVtDu0+EQ4mbfQ4HXB5WVLMZ5HiLYNsOmbP4++H+KyqG96f0Tw0Rh6MZIk2fs9fv
h23fXvreXM2WCBDPHhIHbh16rN8ecNLy8AHPT5WwBDsG+p5vD7hFS4a0wAdpMbvbvjVXPqmzRG0w
nuO/MP9av6IxPtJMv3/A6fZ8w5q1SIJwVUwYPz7gFdMLJXkXr6auG1bpJG4I6ACc0NrldN/ZcWTs
9Pk2vSdthxw40r5P+gTiwzCM+nVU8L3tpT/7d4nPckmSyXoAKiXy3xfMUc79qBPJrUeglASUpRcq
FjZ/TdbFAzCYGLbloA/XY5y3DEDC6F4agFNDLybjJ+RwPEhscpcpywXgY6I27o2hIdmtZlO9Mmcz
UH30BaFSHXetSoeNQKy0BARqL7rZSmQz47dnc5FkgfkoZ8ORe/Qe0VKgm8qPniSVNWmy8Y7C/GnW
6A9HuX5vZKtEZ0EcAn+AY2mL9dRGmAi6hnQ5gSXhvHJG+yLtzWJdhzoLicJKuKlda6i1Za5gtrE0
Vvs8yBzJunaCTSatqmOpEdR3qZUz4OyaYjoJWMjeIx/2diXVPfbWFpmAUElXr8t6qK7tHCccZd8I
MxSU66UhJjEcHC8lLs1wVZ5smsYg0EsOFdl6kOT8tqb1AZyFTUcXy9GctAUhFsV1GZT6XTGIq79P
iV84JXg2/7gE+Ecqn5vn8Z+cELzstxPid8yA9xKAEwIbFWfHHEL8hUTzfkIwj2cIz83MIYBh9pgX
/bUE8D6wqqSWQOr07qf6hRLAmIn/P+6r4QyYfMR5EGTMIscfj4i0RyZvTzZvpHHSjVOpOWP1YJqJ
R759YplgkGi6d3QE+PZwNwU0iZ7mw+WTmDb3RGV25m1OaCVQwbDQzmwVG7R7kYawG+fkLWnvIc2K
mUdPpcpdEuEm9Mx6jNuI9V8ZXEmY7U+dnve3roUZ3kwts1vblhyNReAMIl3WdNiQ7ThP50E3mz+7
07HzA3SBJIWDEsJs30ItWUjTnIeumnDbKzNnQL+sozpHbD+VnDBOSab93EueDWAnoYUqrVjaTIG3
+JGI+/U9xhKqsbN9nwx42rPizgNzGREUv9e69N7KNPFYVowRoAtQgAcqSN981U4vvtVPLx7AwG7d
DWqeiVuQ6eSEeJukR9j7VpaOG8iw4HFi5vcKA/76uJJzYbfvRJ+KfRJUalPRG2zSwcSsgeoC/H6c
PoyVU7/VAUEGi7iFmkse1clkVRKQlk8w4YAQa5Ulyryb+QHLtHftCwOn/Hlrjt7S1UN12ZjjAGUv
GeRWMs+Ca2vbKlr1yGemx6yJnU+DPn3yCEnMN6E7r1LhCYKZMWjNTWCaYZHeT4ZzHYetDvo1Lct1
ZEbj29+nzC+cMn+qYjg8R8085P2XMw4b+U8OG179ftiwrEPDQEHv4o5HvUCN837YuB9MVJjzrNdy
9S9g9q+HDVQTHxG1wPf3RQTxrRzxiHtCqAmT6qvK+lcOG5sv7IfDhq/N4PCiIrEQe/s+7dD3s95A
I+zFBQW6MlGpza10D7dhtHxmJ3bRkz7he4zPYgnLRzYJGaKxxqovaUsSUHnbhqtQC2ZspG0CCvUm
ljddkSJTcAFI8eiXY0vRPVndOqkCnyzNHM7VaYpO4rKTDhppP2/QOnmeUutSG4eX0O8ZTtn2lFlY
r+Z+PHRozadjl+7NDXs1t+7+3MTXFqDPZW4XIdDEPhDBVprJPDs99v85eNlxOWcaMRfwxIMgaYnl
jhLoubALUawwJDL1Vj+N2TCexZ6RHezMsOCTBt5FamuqPK+rktADIlAHUsJbhizrXBLYsZApURQL
Z8pHgPVNdcgKPTJxIHY9S7QGBm4udYscUpZch14HNLIKCt2Hnaj1pOMJZJ8ZVRlR45uQ/q7x61mG
lBnJBUjwLFn6SBe953jAgnXSJAlZ7XWsAU2leQy3Ydho0QUh8x1Sz3zw0tMYg8QLcr68Oev4m7tu
moPfMLo0zbpNY7lKFBTJAyRr9oM16YBQDPqMBMehLQFqpaq9KMlGuRqLIuCXP/nGR4tZ87g30UkY
65Yis7wdNNSmuhxyjvuQ8fkiIckiWhEH5Rob08+ry6a2btK6aBbdxG1AQ9a8jbLWNgRnUZ+1w7Vd
Zzstcx9SET5OjX5BcGwK4Nq4JtQCh1NRA2JU0cCMnHshyN/C0jgnG/hU5+pqCK7ZlAOsTeQj68nB
wIIPgYmZELeQ7kkpDsFlUX1lfn2ZI3BZxKq+mFIXBRsuJ6Q4XoK+L9D9kDhb3IQ76F/OLkC4rq8N
P2eBLQZHYpaKmRCRR7B086J4/PUj9X/l4uxLk2b+qUx98dz+tDb79qr32Q1CCgu9EDouGicIJDRw
X85Spjps0+Z8Cxq09/7tu7OUVs+dV2bgSSi2vpVtaDI8ZkEW8EFn7vl+4STl6P75JOXzYm4FXYWE
wqRn/PEkNcpEUAQQy8W0JN9qOrwlI6hyzqcGXyNT43GHM6o8Aco0XWqNKU6l4DHyTR1NMsfnIdLx
HSK2Jum794x2FRVJeoJfy1nphLOsQpWV98oK5KFIRmeD1NIBOay3a12lDikG9edai92tUfSfbKwa
20JTA4BGH+mokM2ylkm16Q0Vg0XDC9bz031mImutqs7HGMLC4nyqm/reV7m4tO2ue5oMIq37oeFu
UDDARWvHqzYa0Kj6Xv05Qba8dr28u8D6k3108x6cdc8Qh35KohdJ+tOsNNynIjR8qiyVP5ocs/xw
dGIm8oAnFWkrUvjCRD4wDfXlaGjaMmMaDBk7a/gkKv6sEwRy1uAxOJtaK7qU8HwPBVKxheqCZiVy
TbzYqYmuDczHQkWZi9TdZbbeSYDBhWH6i8jA+IiMHl9P7cPfa6XKZihAsIpSPoQKiQ8eQoTMokA7
jSg0XCZtOKLqJird14JiWjAqjA82cUEL8nKqpTI0PqHDz9Ct63SVw8Ra9bwdlsYYsziREA3ynswQ
q/cd1oVVdJV1uVo50rfPvWp0icqYrFXHsvDSQEV+rrOWOGsmfU4rTMtVYtXDBZGeIbOqKAN5XrQn
5AUSZKKTkW1UPiirxYCBbl2LxDxLh9HcEJ5nPQja2pdeS4JbWgqMd2bdV69hXWeE11flrJ0LyLkK
mYMPta9IFLBzfveIddoQOLpujfUTbPP6bQJlsErmWSNoQe66qXeDzZDp+9JoG3gmYqWc4BFtCydk
c4llaRnxBmpK+dRr9hlhBntm9/4yL603SiJjS3iLfVGg7li5YqgXTmvGW5W5Naxte1pmROMtEs5i
fjaIgQYEIKsubIuLxil6pP+DBJblDqdeYwBiRFtyUZc5Gg6jVReiSgr2nDinmi7XnmjADfusT7B0
IfQqMDWmnUF0MkTCsD3PWUkDCYgNkkNYrpyMedB+MhGN703VEO3rpc4yNdJp1YLZPm0sK7pQoTmz
c6f+Og9dZ+lVLoZTkGRLr44+xS04+bAyMN2OtjoACcYD7PN2KSa/JsMCr/b/Y+9MlttG17t/K19l
jy7MwyKpao6iKIqSNdjSBkVbMuZ5xg3kLtJV2WSbs8nq7Lr7vvIDRdkSbavtpirVJ/m8s2W+Al8A
z/sM/6GwmK51lBA4bwfJShMspF9iN6hnStqC+ScLGstNk00cVCrxrO0UcRopUMWLzO+WuHZwCBVS
wp433coA2TRj3IwQpeKObctHNQ21BMmfgjuLbjQfy+cfP62+Y9LwD8SM3B0oROZvNxAu8FPaPGNG
fv7U7hhSfiIpp7GoKUPVD0T50zEkMSegT4bdkkYR/9RRCYwGwwvaj5JCF4i+JFX954MIjN8zVYQf
OIiYVewfRDLtDdkwgRRwwGnbnz/x2API77SRLHQTxNfeN4M1CZDlRcm0LnCQ8Za6izbGB7OwUfpE
OF6R/GqMk8xCRcTc9YcRapUcW40xT234wIJ0GaQtKkPisWBqN0LojDlvaJJp+cSNZBW1o46ZAgNV
LUOcWtHNVazlU9qZ45QO5QjMwBs5t5yRUVvTxMOHLy0QUxGxowwE0IVmf9uoGM20SgBAP582on4U
ddWdW+ScmtJETyzmx1lD0p0Hm94i4xcdkNSEPVXJu7mtQRxwtSUaAneyH01c3eDAxKjdKNRVX0yL
KIUlzgwc/fXCwnPDniEMPY46A8bIXeD4NzBBanuN/i9ytPZdb6AYZRZnYQGlJVrbyceGd3QcYqaG
LGO91AKkoTJ4S1Tdaky+eJvhPjdOQg7sELkW9xgUNj6GjnTkRldxif84UjZz04xmWuuMo3yuogsR
S/llDDrECTKI4PGFZq2T6EKhB6xWuEcH9w4yuBWZQeG5C9QIL43YWOvxPK+ctWV5R1qWrXM/HbWg
6kzdfYfl6b2uMf1xRL452Is6SxiRIyAcw52SsEfp9G4ixZx2Qo3Xg9RNRLEftxrSjS2dBdk6Rod2
7ETmuamrk9CRTxEnB+RSTEM0280KhYGyHTNqX+rE2dCOoXGa4U3SlO65LIFFizr9BBkXa+zXhDue
uUbhTDUvU/Wj2/pnSgm33iwRxED9OFMQuC/leI7SfA+/bFYV9Xuvk/MTSGsoI1T5LIv7o0E8pvF7
JMgw+wlk5uWNUVS3RVsAPe1rRAo9qZl2IAcZc/fHva3ay1YWj5VIWzDjY5J7bUYiGH0zvCwEa20a
zrxAMG6kDaSeqLVnNsVuHtrKyqgEdY7sQQgaz1zgcJ5PdLl60wZZNC6rYi022hTZr5NAJMyDcR8j
qGUXIVLKPv312pyrnncWdT2ah2p6WhpKfpSK+Wloqf0JMBgeOXVluoo+sg0013EyqyxPWeLCNy4y
GFBI9AgUhHcVycC4R8cGuV7fXdGPtOeu2EtreMq44ETmrZerY0uliCxi4wg0KKQx6civMYPAk0lq
lbM+E5d+zRumdej2in4wOIk3ZodiXuCuoqYOLoqs8Fb0GPOJ72RsB+mssLZKleRN8Fsbbyfc33D+
baUCGR04bovMbVLO01KW4C9LmFnqLboHku/E94iglMcRypJYI8qoJaCb16iLrNP0bCxJpL6K6qKJ
5oCHG9HQ75c+A5hwioKZsZDkrsvwn9TjaozFhEuKZvsLBRezaZFX6lI1u66YmiryGwLzWvTMpDoT
T/GP9vOlk9dyOkrtwMPkJDTgZVZae2YHuXmEGLb6njyggxhaSpW4NqkdzloKvHdFXZk4IvX9qdzF
5aQslXS4U9IRokbgdkG8bTxEMGYM+5R1oZM2Nq1wnjmCcuFqDor2yEBPTFFqj+1cL1aaZkYXVlcg
jCBUpj0u3dR9Q3SWG473KH+TM4gaSWCx3oZ92KJSSnl6G5UeDwpOH8ZNV4jAW1zXfNvKzVb0ZGgp
uE298b2MNLGUUQAZo2xYHpsuyoZFIfPoK4VwJgoY5I1ADlcaoOuqCmellgEVtYR0lTq2cGKKCp48
YV+NalRKjs1YgIGu8NQAbcUdC10XbRKZmEbgwtZUxxmAaKnR5kGir+OY5rHrQ28gGTZw4NBwZZ7j
m6Us/MpvJ0at5siX15096fucJLMiZETijeXIFn6lfj4KzOI4dk0FNyysqr2uAZ8lThM7PbEKIhRc
M/TqgDxnx5Kc8CoJykkvBSeD9B/djRwwlmke4d5zE1jhRI0KcmqB7etN6RTuHI8aoPFJ5gQWktNN
saDfcSOl1SkgaVA06CuWR5rSJYyucD2hoX5bV/l1qWs3bl5cYtA1CxVxmYe3rqws6/BWyhApV5NT
3E2wxAOpnfcLjHjmft/OPSFY5ZxdI7FLVrrslZOwaPul0TrhiR5VS8vxLjzJXYUBujiRTJos1GOL
JpMFdrrFM2wEiMiclGbgzaR0ZSVI7WZZ600bKaDzw0lkcYes4r1p9SgMAmdG1gAo3VDeQk2Feuup
ZTQHGWOOBdvv5wG97hk4sAjTswDVjch0cLGW5TnXhUI7QmYfYl1QlpWDvoiSNUgZBDTahJAjFOcm
eSRLtEPs9o2He9CPZ4z/l/sbENe/nViONswWnsGCd4kln9r1imUGSRDnRQ2j5oHERo646xXLPzEr
ZihFF2MPF6xKPzFJ1ikwyUQlZTvV3iWW/GjbJ8GuE3Y/zcEfo75te8HPZtdkrSoXCOsN5r+q7XU4
NJ9BtdDTBbDDGrCuUwB8nQGIR8/HtSLc4EtLEBNMWBQP4RklMVDKgKYV9Qkqn0Uc1yXTCqmadT72
XGWH9RUC/1S2bS0XawFtUnFWumbxUacx+K5Fq3qS1xykYAnNWVU2NAvxLED+KiCqIfeOkdkJlG9p
06i1dNph0hBhidQX7yMNvrXsVskJM3A0piif/HnXClo4IDrEZWTI4dTTgagUDJWLeA3kjFQExnJc
IP5l4qgz1qXOn8TMjsxSfxvGzVw3nREwryuE70atWN6JTU8BVlQwbvNVqabnUiyM07yeuKZ8WfjJ
LE7tBb3wN/DQxoXsXGQiyk8lE+7jzH0DvRbmnlWuoE+MPcyuVSBlqmideoJ1ndH+Hac2XO0gIkj2
ZE5K85YMBsHUbh1W3aJzklnS19dSRhwJWs4+1U7GSojnKUfj0GzFatof09yGPpNg4VJwEa7gnPcR
SErZF0dx5g4za1jJrv6W7gh3oZWvoRIubC/RVo6U3KYyECJZMO9rBSUUMu+NJyijFg9MZpcrucP9
TO+MCwMaeVWlb2lpe1T5U8U3Tl20VgWo5JNCCd8LUn0MgnTeaZxdgBRP0W85xxTrBkeKOYxALDHc
cdY0azWEeQxjkrCnvHMbazxM2IPaGs6Mu7CMMQoSoCRCBUF51pyA78Nqyq+IqxRdK1uIVoY1aCZE
EQJL0XskZFdqlYD7Eyzo1hFMQw2BW8ua2005rq0WRj2ufWQqqID7WKMF4Fsdy6XPHt6qeNFBxJhH
bgM2ozimgzTqbRMUFh030rqpVWLrYBt3So0gTFCtIku9YgB6xhwFZzsBZ+VQymexBvC2ttMFFony
FMW1tB0lAlpikyCFAkMWW8tnqKSgIdOqGXQaeYBfurWd32An7RzrcH3Cea0VWUbHLwcp/OMR+ztq
/G8G9b8gSWOIqgbapy/F4p/zu437nKPx+WOfqnzK6EHRGtEsQDuDGOCu2Yy0Kj/Bj2CwrWFwBrJg
12wm4tIReN4aeAzGCCrpqm6KKmP9h97Aj1T58jCYexqMNTBEMjpMA6mQhbe2yk+qfBvnDD1LU5Ir
NfUEakU/9MGDR0OZCG9r3Cp6eIGDerpGOTY6FwMkReedIVWbugjsS5Soa3FmAmeZ5jndQ7lzea3K
EPfxxgO/n4Fvnft+gbipBktroSSudBo7EQwMEWU815GUehyXGaJzkdTZ75WqxuIOQVNtQDFH9oka
o45BapkeRXV9Y9WtPK8tBPeLqsreBJ0xFTRPnBl5LOEc4t3pThueUhzmE0O5rbs7L7HA1LtXRu4e
pZRlQZpL46TEGQXrqLWaNQncN+jF9KPzCTCb8yjXvWlrY0BVx3GxRPzFXIVCqSO+JjtXXdTZqDdN
gSNkMsO2Pg3Hcq4svcxY9yXQDhx5kiHRVbRZYrSEqB65inxhwwlo0KnISnVaJ299neMBCyysRNea
F8yhKyfebeZJx6GsrT1r0Vv63JKj667t14Gi4GiHPTup39iyu6kQ1SEYJOW4Teu7LG3aseG4CMJ1
UTi2NQKO5sj3jNJOghKH5CzQp0AiwIip70UrokKxrDda7W0yz7RovfjtDNDYGHI5UHYF+3eIehQr
HE8qBfQYp4oWNph5JjvFtBeKIzQfcapp/JloQc0GVYnre6ouaBNTcGjUxG/FkBzVgYOEJK6LyLRv
SZtAuBDcW0XMEIH0Tx08pS0S49auJ3L5BhsCFCWRDsSxMFpGdOInjGiPoI3E40pVcDMLN5FacAIT
4dXKX0mAVfTYX9VOvAg0THYceYzi3ArF7mMRhXZZbSCivCFiuigeVsZoSGfX9Nw8yKcKeLdIbkal
blijJFIukvYSEatph1OwbMXnqNmME05trZfhWzC/hlwR1s6JaAdjMcIMCFWvqPVKxDwTrK8V5dhI
MyafwahvZWWWi+K1Ip16JaBQK3rj9xzlVX2HOTaxuW+ncaTSWA7j8KhNmw2Z/VXrGNPCGXzWTHwp
ZR33H1eKPWYmzQwlio9U542koD7vQpmSxW6mGv2Z2iG3F4apOYFlcAJNSK69EyWfu2gmYnQ9QjyH
+Ts6HKlxDuESci066R6CjgE1pVHVqDbG6qwOGHBQ/kY8YsIHDqiZ1TVjncor0cybMuXjTbPI2rYc
KaG1pH67YnSQjEx4k1Qm9RGthftWXEk1DMkW4rrUh3R5uncooCMCDPMw7ss3gmnNc6ueC3q6CIp8
GTTWSauaswJRm9ISN7rhnNYxdX3XImd0jrtDdYLqGvyOM3Q88FxuzTFN9KmT9x9o1WhTp2rOrKKK
Jr3qGuOsSz5Iwm1ufgCHZ0KuTRFcNuO7KujWGRyvaW3qFHP9VJHFq9Y1IWBk08xiGGOhk0RrnbgE
tYBZ8aCpojCgSbI6XAvRtSCuK7fA31hWjnwVPcjqY+iWtBeMSYHFq5xWIxo2o45azE/SCqEBbnp4
r3HzipqTO0ySiWdfmzbuxwFihIkOWhqCK0+rE0HBCL2bvEaERtWrcx93oUzDHN5NUKmBLkbLw8GX
si/oDkqqvgA6hNRQhjUxoA8eHnmlof6UJyj2RFDjnEUjZadlmi4Ed1Hb3WUqXcqVPJUK6x1i0jf4
AqxcR3nbBC4GSMK6su1F33pLu3NPmDHhgiimcyEBbmUJ/txR4cwCW35fdrdomJ7qCrehu9XQrPXk
8qMPyIuO7HlqFWeRXl/1Vrsg/Zr2erpuJUFExBEfelNDDsdgw80cvJE/iz0nmQI1q+4CXb8rGgyl
Hfy5lzpqFlAjWvWtGzbeQgvcSp8EdYFRiGY5SN7akV6OY2jgwagw4uJITXAfbJqwPLYjhG1tOsA3
IjoR4chHVmeu1EEwV0qjWXmtzMcrUUonnmLVUyUwyP6SEsOsKI2Y+PhK2B5D4ZXn/CriQl54CzGK
Qw91hMQayb0XXsG88u9zsav0Y6asOG7VNWIVVe/R8MbNBz9hPCQQTAKd48xiM2fnniQVZw+n8VPl
GRKB52c0O8VQGFdKBSY/p8jzkXCmGalk9J07LTSmXE7MYV234ijrBNCj1jJFTinMhT/4pV8kBnu/
dA/RIyBEihaF6E5zFURqleBQSonh3ZhV8Qe/aQAiPktBtr+JnNqSDdrj4vD1n6QguiCE9ONa3pEw
XcSM+iInm/3P5qf/sGwXnaH2IMP/5IGbbMrN/7vfQtgGKdJ//qcl4LP31fNZ1efP7XoKyk+SKEEo
kSxwDhYTq8c0VqGngCAOwvwWOFOMFElwn6SxpgICbVDtxztgUNp5TGNR2hE1nmqyXIQjhxHXD6Sx
Br2OZ4+QqqGjg5wOgFqEQ8V9b8XIsVSldXG0AtNoGmOEK93zaJC1j7YK9+jIB86RuFW+R+btbZQ7
7bxwTWmTbxXy4djbg3kUwvm2FFrmFCuVaFVUslBPTFqrAM5Ev3mXW6aNNy9I0SQD2KA7njGzwfme
on1AUpNSeI7kkoYm3irtiWVr3QkxCUJvbwJ67Vu1WWpedo1ZCh3btJXPhNil+SrEmplNRCTDl2j8
wVxpykCYKlqdH5VV30+wCw7eoRdUfBwU8cQZyKtinVoxLY+0p/b1StebhkAtZvm2ORJuGyVgtTSU
wBGqIpvIvYtq21SRdMQkJtm22QINUcHwmH6mhLzuUBQ22wIRRraDD1/khi0TlVKPxiFsXZW5QQp6
LI+Rb1uH2ADE/WAIoLkG5gDx1ihACAd8flhwcP/4+/vN4vHZy/m/rQrdvYgvUlpuNmFSb57BRz9/
7OH9RW2XnhvjZBp8WGcBBHp8f1HtBB7OPBVtGXVr1vH5/R1IbkjDEEHkh37h5/cXKptsDOq9sGS2
L/CPvL/SIGKw9wIj6MtlDLpbiBtpXN7TM0DUeodeNFq8diTDatGcXFxauPowoO305APqKv1cFhOx
mApWEzOxEpiuRadSWTrXZt0J1aQ19H6p1C2wcmeZ2bjmWX7vUUR290LRL708OANmdCTa6i0eP2+J
ZptIK1eiSQaowLJF4ZHCBqFMRKXkbh4XdIYkFwJH0F0LQXmdNz04qKxRJv3gYFwJkbKE7grvuUyO
2khDI76aEYLGiZ6caK56lHXUET00GkBEpSyip+lNq8YlDEEI6d5HFNc4WJ7AhztGWXQWClWC805D
QSkH5USjAK4S9wNW2bNBXz8eVBghjs4ZM75H6HxaetW8c69QDZg2ZQW2SrpOI6zecARA3XrGgzDq
YUZTzUZedZxQ22MWP3GYMLVJNI8kY20x/HVq877vC2AsaH5E8swJrwUpWTVwzVMHEdACTothVViw
60zyDC8Z+2DImGeNS7E/tVqGDroGdB8Q7plpsOmZ/Dau9VltvaW4m6t5MwGIBqcgXpblfZIYx6nf
nDamtwFXyfBbPFY9edYn19YAkZL79MjP5iWoTAzLFzoXIDPNYDRBl9h/x+5P077FJCFoJlabMbPF
vM8XtFFOGI3M6qRI23kGqU7VGG02bnNlWPWRiyJzo3Lfhsm0Fi+bMoWiIHTaCDvxTVex00VJXyzy
T4LOumwZQ2NS/k6iTceMa6XJ3UZIzJrKrwpL5jZdHYbTGiWjhWAlFSI5vQxf35HF0x8PeoeEs2dx
8R8JXrMLXmQL3x6DrAtQnl53/7Woxwd3WYv+E3J+SFzJ4OJ3Yie7SYgG0nOQ/VZAuJCfPJXMAmID
PddkcjIQhbEv+hT18AIleBo4iBKottDRH4p6A+v4WdRjrKtiCwC4huagSoL0POpBHCkRltPRlnIS
Hd4rllvhlY2YR45ZsG40F54hxu+sLY44AVFsDdBiOjugjCPBckVqd8DHqBGDQ0YSADHUxpOld33R
gsruMn1DxAVD1l76XfBWzaH0030A4Gyax30rdIvQlK4MPWZQTyWOH/x5oMN1dRKGCaE0CG9XKBh4
Dgg/UXKvvUzzx0IX35YdcdlxgiOJV2qm4UqBXXA5FuJeo+gHcaKmRj6SFD+YQ5I7s3ysDLJiFtsB
Eih2l40TmlehnqKTAShEyNEqMWz0pKI3eVrdinp4kvbadQT4tFSwEdq2cQaWS1nWN30SIP03YHlM
5B46rJpHeHEuylKf9aH/LmwKTIUIoqFci6OmgfubwQJ2dATA8PD7aIo5jsbOVVixOVl2nvvCxNfS
ckypfOll9nTQJTC6CXyiW2VAo9tbYHqwBalrW8C6tAWvlwJKu5qYd8mlHYWlhHVKVVlHUSXA4DET
BERoeGrKqR/0lTHvkr5xF7GsWxjTg17C89i23UWR5hiwqGjOWLNe7Si0iqBO3kcW/MMaxQuQTMTx
q4QctDklshvo3bg+4s3/P9B8F0VnF2ioWL4daJZe6BVfizJ8ahdlMIqnMBoUjigzHjB5uyhD/EHX
nIGbrIqGTIP9U24FkE9EPZr6RxzSHSYNT6MMGuXw0j5HrR+ojb7MrQZuzlB9DWRlFDG2uuhP6muz
iEQB1yBvkiShtO5Dp3qTotuNcAYApNQ/o7m+7IU6Pu9jWTkVSZacHHURGCxvk7jtACe5J75XrHsc
HUNzkeT8zVmVzTI1nGhU836hvea7UyvRL1SvnlSaf+JglDKKzYzcJaE1ieO5dR128XkQyukYnsYx
CciIvuAMl/R3bjvXFG8OimwiACl24fNBmDnufGNlJPIHZGEU0x5yPiQ/LGmiNcLH2GHcFvbiFGU+
PH+MBq592efvXJrs4BQmHi46Gp+RlH4K196pxiEoD2SjK2lwXwc7UuVWO8eCwZs1eXnmeYk69hhr
DjwP3HZGWSMlCzRZ0pNQQCcHNxRtkF4zWpyVIBsNUjBhGErjRutQ7awaQ1mCVXereeJLZJR2J9gq
nUkAQjithBBqUKGZRobT6bM4SZ3bKEn7BlE9ZoDntaaW53XnaVdqmSRvxagKz4D/lh9cQW1O4QLk
x5nM/FLvfTDrcmGRz5VmeGY3mX6TFiVNodw1m4s0bWR9oae5Me5KU0aXGCSZdGaWib9wzUgqxgIE
xjkKrWoIZlvumYIi2I9J+1lt12u8iE4Rl17Rgpn4gT+2Uw8MtX9TK8aykRuYAPeteRIhJCQhCeXb
xQyPnDQdpzLD9D5ZRQp4Nus2AtCcAMiJEF6xzXwNptqYNeWVDCGzSN7oyFXnejCiX3qlKaPUv0bX
OoqBshfuIlIssjuvXzR6dBnkjTKCjlTQwktEZR7TfpUC732Ir9Ncb82PRnBWDqRTq0kkpMXiUw0q
2ep/V2zcKa8OTZ3pNuadV/d59+a+IBf95Fo2/HRrV3aZ/Ln/9Bh/vr7Qrpv0xxKoqq7vc3e2l7W9
5pdWCTelV1Z3NKsgUGPRPsxTmbQOf6gUwyR2Hn8s/4S1A6GT6ej2z0Ph/GSXvrUPL3/Fhw19+f88
+wIfkiouhxvheM9VXQnqe8fNN7Zgb4UnW0DFDoRHG/T1tn/ohj3dAu0nTiHc5XcKg//z3/1FFVxA
FN/3/fdWefL9ycLpOGIqrX+6x8+/P21yc5i4P33Vv/7ofs99/Z7/8+ze7135/fa9XNz98z9Z0PCZ
9R/+/fnq9FVhRD38eX7/6dowK+Dr77bnIb35Sz0GIMCs/fLuG6/B3mZ+fgwg68GEprmt7LaBV/3J
Y0DHS9R0xAPwiXrcJbK8v9Y2kBQe/DYMiSR1JEJUD1+TfX2yDeSZigFrETrhQ7B4ALT8tbZBAghz
6EuB7BaNykEP59P3fLoN9CsZTpjI7/z1gsKg3Xrw28BABXoF3Y6914DDgpbqMLj5y74GfH9xH2f1
o9EAXVvQpAZ11u45f54XyOgdAL4aMLF/wfsvogdz6PNvIjtHL4vp8FfDAEkBOQNYlc9R4q8WDQfD
v4MfA5p3BiUwp8JDGHj+GDCs5OBBaQ+IxPbPD0TD7wiZnxLuseuFd9tU27svvpaRf+s/PGaYX/58
l2EMacSQQj77j0Pm/fC7H3KN4e//8uzg3J57T374eA5uf8/u47sv+OWvfva7Hr/V4z8eeff5Jv/g
dtsfdLvLfJgsT6r+w7MOrUAgwiCAI5t49/lyvjBO+NSOeWn1W9L+Krx7zrKEZITKGm/ToavfJL2z
KR/XecjeeMGG8/rQpa+fQ0a5ZE0cvPcOXffq91++2Aw6hDzjh678+79twLxU+cfN41q7DdHQe3n8
p6/Wf991Jy+r+MN96D0utFsbTOorXPol4AaESr5Y2xr6d9/uEn7fdSfBF48IJe4r3MrLe/y37ja/
/fJ4kbs9MSB9Pf7Tn9/vC69+LjfEI4hzI4XpoTty4dG9elxmd82wTV7lmr3nkqxcMxqrrxBHLjbw
K/YekIEl8wpv+sUm2OT7PlWKJA+UnEO3+o3XP4utbIbE2X/4wuv8rnpc5eEWErD1V7iFp95vv9zt
XzNONq/wvpze17//cu96+f6F03l//Kc//76sqt/3XkQF7uUrBL5V9dsv4V5Mha+lvcKOICl295wn
xgOiKfIrvOQrJq/F/lXjevcaO72hwP/ihdEoEA6/i8tf/15u3C8Wpzh+hTcd65kvVn7IZw99z5fJ
h80XhyMGS+or3MlBDPer7w0eIMyqDr50lg/CTf7l5VtMvV9h/U1X3Od7eYP6UE0dfO2botxESbwX
CnEiNl8hFIK5LB6//0OMVSVjqE0Pvezf/pMh1V4U3NXXhy69YEPi91X4eJG7635oXhy+eAqxdS+o
cOGD0uCha//2n7/+x/3+ZTOyfYWlj5isdI9XuNsQ8CavsnIQ/PrvXzzcdLheIVrNf/179Ovff/8F
8treeawOXfXHL/TnT8y5lzOC2kuqNATRX+PiN723icv7vTwToPNrFGfTIvC+FhIhRQ9NykOfxWne
V8hIPS708MgAohzke19hbS/+sF9csrj0CqfnNNz0v/1tvyDRSMJf4aCYoru//yRquCi8wtKoQmzy
95uAo+hxh3ebDvD8Fc6gyX3s9fu1K2Xx0NE99Ib++q/Jl88KstGvsC2//usmHvbkt789XuZuV0ya
6I//9Off/2H5zRci+4NpJaCnw5cHnbGfgO5GSoduOSvfVftPCtnKa1x0Eu4lEzpMhVd4NRGI3sMo
MWhkAii9wkaD9f/1v/bOzsG65BXCFSzH+w/eM97JcN2v0j8ZbcLf/hbcF/upEFAo8xUe7587/Pn2
TjeMIl6jSvk5LyFYPN65h5cSP77XiLI/x+Um3K9SdhPpQ9+bn2M6HXvpG0sPeI+Dl37B6/vABt7P
v/3yRQTEHug1YvfP37bzPfSiX/aGPHh1IvfjTds9fsYWtHHofXzZVunAy/5jW5cDf8HLjhAHLv5d
QvAH/o4XhZEPXPtFtcsD1x7oiV9XdH6FcvlFNaUDL3zhkNU+fZMGbRCCyytUES8Ljxx43cOGv8AH
PXD1l8lqBy7+R6yQA5d/EQv+4tpfm61+AiN9OXF9hJx97WPPx8nD//gQ3m/yf/lvAAAA//8=</cx:binary>
              </cx:geoCache>
            </cx:geography>
          </cx:layoutPr>
          <cx:valueColors>
            <cx:minColor>
              <a:srgbClr val="800000"/>
            </cx:minColor>
            <cx:midColor>
              <a:schemeClr val="accent1">
                <a:lumMod val="60000"/>
                <a:lumOff val="40000"/>
              </a:schemeClr>
            </cx:midColor>
            <cx:maxColor>
              <a:schemeClr val="accent6">
                <a:lumMod val="50000"/>
              </a:schemeClr>
            </cx:maxColor>
          </cx:valueColors>
          <cx:valueColorPositions count="3"/>
        </cx:series>
      </cx:plotAreaRegion>
    </cx:plotArea>
    <cx:legend pos="r" align="min" overlay="0"/>
  </cx:chart>
  <cx:spPr>
    <a:noFill/>
    <a:ln>
      <a:noFill/>
    </a:ln>
    <a:effectLst>
      <a:outerShdw blurRad="50800" dist="38100" dir="13500000" algn="br" rotWithShape="0">
        <a:srgbClr val="1E293B">
          <a:alpha val="40000"/>
        </a:srgb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b="1"/>
              <a:t>Geographic Sales Distribution</a:t>
            </a:r>
            <a:r>
              <a:rPr lang="en-IN"/>
              <a:t> </a:t>
            </a:r>
            <a:endParaRPr lang="en-US" sz="1400" b="0" i="0" u="none" strike="noStrike" baseline="0">
              <a:solidFill>
                <a:sysClr val="windowText" lastClr="000000">
                  <a:lumMod val="65000"/>
                  <a:lumOff val="35000"/>
                </a:sysClr>
              </a:solidFill>
              <a:latin typeface="Calibri"/>
            </a:endParaRPr>
          </a:p>
        </cx:rich>
      </cx:tx>
    </cx:title>
    <cx:plotArea>
      <cx:plotAreaRegion>
        <cx:plotSurface>
          <cx:spPr>
            <a:effectLst>
              <a:outerShdw blurRad="50800" dist="38100" dir="13500000" algn="br" rotWithShape="0">
                <a:prstClr val="black">
                  <a:alpha val="40000"/>
                </a:prstClr>
              </a:outerShdw>
            </a:effectLst>
          </cx:spPr>
        </cx:plotSurface>
        <cx:series layoutId="regionMap" uniqueId="{DC4023FE-DFA7-4B27-8286-C72D78952F20}">
          <cx:tx>
            <cx:txData>
              <cx:f>_xlchart.v5.6</cx:f>
              <cx:v>Total Amount</cx:v>
            </cx:txData>
          </cx:tx>
          <cx:dataId val="0"/>
          <cx:layoutPr>
            <cx:regionLabelLayout val="showAll"/>
            <cx:geography viewedRegionType="countryRegion" cultureLanguage="en-US" cultureRegion="IN" attribution="Powered by Bing">
              <cx:geoCache provider="{E9337A44-BEBE-4D9F-B70C-5C5E7DAFC167}">
                <cx:binary>7Htbb924suZfaeR55Oad1MbuDQyldfPdjhMneRHcjq0rRUmUqMufOY/zeuZ93s6e/zW1Yiex3Uln
N6YPcBo4QZBgiYsSVUVWfd9Xtf5+O/3ttrq76X6aTFW7v91Ov7zK+r75288/u9vszty4A5PfdtbZ
+/7g1pqf7f19fnv388fuZszr9GeCMPv5Nrvp+rvp1T/+DndL7+yxvb3pc1tfDHfdfHnnhqp3vzP2
zaGfbj6avI5z13f5bY9/efU/P97UN69+uqv7vJ+v5ubul1fPvvLqp59f3ug3D/2pgnX1w0eYS8VB
qKjESonw0x/56qfK1unnYX5ASaiwkvTzM09vDMz74TI+LeLm48fuzjl4iU//f5n2bMVfrt7aoe73
lkrBaL+8uvqP/9OV+Xz36qfc2ehhLLL7RV9dfnrLn5+b+R9/f3EB3vvFlSeeeGmkHw391hF1edP9
mZ4ID1QoOJgao09/yHNPkAMlcCiJQl8c9bAJHh3yw+V8xyOP81665PHyX80n/U01/5lOEQdwMmiI
hHqwevjcKegAvMXgdDyeHhh+7pQfrud7Xnmc+Bu3PF7/a/ll093UH3+6srD4zwb6Xuj6Tzyxeujc
n7g3GDrAiktF6ePeeB46SXiAuBACi8cD+2Jv/HA1394Zj9Ne7IvHq3+tXbFbTN79aD88j/G/m8rU
AYPoSRgS3wqgRB5gEsIQh8D69JD+899/tI5ve+LzvBeu+Hz5r+WLlStzd5f9qf4ID6REUjLFHvyB
X8ZOjmWoEFfP/bFfyv/9tx+t5ds+eTr3hV+eDv21fLO5WfKbur9rPtvpe7HzD5wVeYAEVwyLx8QF
PngK++QBlQLJkD8eJXDd0yPzL63o2x56MvWFg56M/LX8s3P9Tf3r8MPU9q+7h+EDBMEqFOJFTlEH
oWRwaPAjGnmRU/6VlXzbLV9nvvDK14G/llOObmZ31+Wf9+2fcGTUgSREqlDyB+O/ODL8gKkQMfQZ
Cr6Iav/Cer7tmS8TXzjmy/W/mF9s/acCdHkAhAlCGaXfSvqUHLBQhVzx8EsOehrIjn60mu/45GHa
S488XP2v7Y/vru7BLA/n5NmX/qiiADEKDgLn4tEjoBw8TS1wTigliAn++Ww+ENivdP/7K/m2N77O
fLbu/3wF4ftc5QtOjW/6m9UnreaJwPD7o59eEuSjF1MfE/A3A9mDxXYff3kVEsbB/E98tr/Ns+T9
z3//j/919yVZPZt0d+N60IT4AZYEzotSHKFQCvHqp/Hu0wg54BzYjsKADTDCHEZq2/UZTJIHTCA4
bKBPKMwYB7c7O3waEpDNpIJRTDjcDmZ9fsdzW82prb8Y5PHzT/Vgzm1e9+6XV0QB+GgevrdfrCQc
oizjCmGqYAUQcGH89uYSdDj4Ov4fQzJa1pUViRTqytUwJsdzz1BEsoqedi16s6h6yHTY9o5FiSjJ
W9PONiqDcjoqejmtIFykd7idXOQcekcmMmlbY7GRRZBuJ5MVkU3GdzVl/YpWksRibrcS8+W+4n2n
uxlPlwvt73FbXCIR0FaPRdVESSbcMYFYlOmyMcVh0iZGp02qVlwMQ1zI9I53YCQdjCJdm/kyG8nV
WOdd5JKuioOkkSfTZC/zRsXlcuLD+b5n6hjnHp/IspUxWcJK0yJ/66u01oWcW935kL2WQ2MO50UV
h0uQ8rNe8ogMKogSVIRR0ZX1OwxvXg9lcV4MQReppuqjkrDglCe9O2WiS3VaFdmKB46v2kEMGyTy
D2PfbWGDhNu5at/iVl6b2k56JuLMmHadOt+t5qK94HX9az0jGdEmOFMVTmKcNMFRHbTtbT4s9Nwt
hp91Y9tVOl2UiW1gL8SYVm/HkLLjfp663WjT9WRRrb1UYD1eVtrUJt10NcviOgiyTHcKz5rlpjvj
VCqmQ0fcXdLP80qU4RXibNJDW4Zg3Cm9UmYIIpY2XVT4IY+MGNtBO9ENJ3XCu2PU5zQqqUrWkzeZ
dh6P57wdqNVdWZob7l2rB7t0qxql4AvVFJpkItCucqTUU96rk7Ruz5BsjiXKli1cXjd9Mwzr0E3F
ISnFeBckw0YqboUWQUZ2c8Xk6ZLKoV7xcCzjrCyXXiPrzWpsxzy2ZdgUEUvUuM5HAa4ow3kliy7c
FgJrizu1U8XMSz32AY1EHbpo8eau7JSKqe3SdzbgfuedH2LEC7PKBtyDe/yymvmwwDNcuup6k67S
HLVvs3RIYkHnN3OW16ejUMOo58rKaj3CQU51lS59nPVBuebcqBVJG5RqP0tymVWLELooU7Xm4ZQd
hUXINzXkxY0p09DoWnq+SlQ3vMnKIL8qsMdnyzRNW8Ylf93NkoXaU7YLRHbc51UwRjUtw0JjQ8v7
FrVJF5G+nKye01bZc9Q1yzkpFqHWYxq6yzSsHHgcl0Wlc9HLAU4qsR/Sdqjet2VefUwZcjdM+L7X
ZYpIF6VBYX91zk7NZralM+/7YiJYyzBDFx0ZzUVaFjmPB8rHVDvbTmplUEVNNMxZlUesrhCJkkZk
6Wlrc/bRK7hfOrTZlVlYDd5zAvvVwIre7EyCR/mhLofM62IuaqzdQk0XjYJ0Zm1VPvabzo/qughb
m0YoxPW0TtuuketWtabWuOrqUqdJ55Hu2ETS2Mw0y+NkzLpBM0/gZv3sSRFPOS28Htg4z5onc4Ug
3Jk21LWRC9U0IBM/6kxG8NrROhrasXyfI0LUaTZYI9cdYzO7SEXhyIokvptWSxEELAoXMmUXsk1w
eDSFviavHU2LdzxJ3XbiPa41FUgwPQ6Bl3AcAZWtfG8N060heaH9ULdT3KWVPXNtViSbwCT5+kmy
+kb830f3Z9FfMEa4IgJh+IciwNlPoz+E8iGd6/1iVZ8fLnNY7lBtQ503aD7yFerjT897zN2PD3xI
QLe2mbs8zR7LNF8+/uPkc+3nU0Hh6/V9oefrpytr4O/vfuW7N9ov58udYDWPy9sn72cffoMlPmfS
F2jhodz0ncF/GUqwkIB5vxSUfgMlvpLDZwjkYdoDmAAZNOSYylCCoLBHE8BoH8AECHIhXP6KM2Dk
EUwA/wWYQRmIqyHlnAkANI9gAlRXhSjmEIhgKg4BZ3x+y2e+BAD1jc1EGDzk2XZinOwlEEAlTFBI
Zy/ARBn0VJTpzCLWBm/EQOIuqKm2o8jj0SG0oYHzmjqrlZ1anU/dvdxDiDKjh0lHdSi782xutt2Y
5WsmUhf3i8Q6DMwJW7JmNXAPwS2bo7IlzVYVvNJhvRi9kPHXuhrf9Nl8EsDZW5UBvmdDPq6KzFar
DufXLbVyx/LCR9lc3YYJtRtXhUTjokiiuobMVc+ijzFXvRbe3lUZ9nqS9l0RiuGQL2Wp60Ru83xG
cTYofNwltjm2vLxJWm+1n4YxlpUZjnuPK215CvmwU36dZPy8ssVVMVUWwqBjsZncRx+IG4A+8bKE
c5R2w6TDrlobPkM6UuY2Rz7QVeHs2kzNykPFRBNW17rOz9reuohCFpp5+1aGdOtNYbVwnYx4AQsR
vmQKcg5ODgmgmvXSYHqcTJ0AqDWM6wFlr3tFwm1dQZI3jpxNtNoCHLA6CSrypp1zv2GyfVOPybQ1
I37vqn4PEPCwMkPodVtPSiNRe20SWq3zfikATiB63PO81Y2TPWAHAv+MkwW0kp4VFmJobpJytYz1
2ib2fkjZBbNu0BzZvt5mvG4jpjIDwdrTlkR9HZIkWtpwyS8LCFzv8dzHBBx4Ogf4qmDTtHGqodqE
RR6X3BodenNkenYh82o1DYW8NbwdNTfBcdBB+stT+1aU4nggwSHKl6gf3Ducousy8FkcSPxutmkb
G7q4uOG9b+Ixld1pYUj2QcyGJhGVWQ+YJ4fjFSV9XzON2MTVLlxYeWgayAgRcQ2P88Z112OQu7OC
hOwKNwS+apZBvA2H8crmftJlXjptVDE6nTgzpHrO3JENltuJ1DtmGFkn+XBtUn4IGKA6K8AM6y63
4tT7cgHrz4mWPqjjaZzGeAoRPkJ4uEyLWp6H45Dumn5C2o9DFWeAgfUUJtsqb15DDmo2Cx9OQjS/
7pKq1oTUctXgfDmZWjNPumuzJdWNmbMPe+AW9UUJ+HheJ2O6vG9YCVZIWqLrpuh1S7vXAG0KPUzN
vA27FIrtwQhgbMIxIXAqAabaqEunNBrHellVoThhrHqrBKniLg/yXT6Fmy4dQtj3A4rTMgs0WOy6
knNUo/y4F9OdEJODbW/GaBloFot0TneyLa7zavqQD4ZoNKaD9q5/l3aqAcM2S1zBhhVBWADuG6dd
MyJ3ubRB8ZDEHhTFb8S5l0kTolzIWCgwA3oGJA09T5oh79t+HiiLXJh8SBd7xGh32JTkMsf94ZMM
8I1HAY1/GVBDTpRghOzFf8aeP6r0TgZoYSwKOD9VY281K8w2QOT295+DX9LA/TsBnaRQYVMM3mu/
kCc00M0dLas05dFkhkqXjt1mSHVRUNHLoroXqjERy44CY99KnlMNpYofIBEMhaPfvCqYlDPMORXi
U255sgLbNmZSMmERFZnQLgBIT2b2rvJ9PNvGaduhyNcTbOlRO5dRnY7pkaqWSv/AFMCtf7sQOMpQ
peYYiDmky6emMLxECdBjHqWpqjVDC472CUZkAY8qqeIFtVdp5a5JTzYO0FmUFWaEJIduy4ynP1rN
N1IqqNRYAFNXXBCxd9wTszTtkJEGqGjkx/aEQ0zfudnYrbd2rYBFycCtRJgnMe+mcNUGv+Zz+GGa
1aZMzQWZLNXIzOcFIaeBz6vo9031zbWBjWC7IInpXoR6ujZfNgCL+wI2jcuOBbW7uh02TS3vpim8
8O2Y/eB53zoNUgCyVmx/JsQLtNrVPrXTDFuEjcN1khdvF6Ssbsl0/vvvRT6dq6e4GBQXRJUUsAug
qAMCzPM3U0Vf1jJteNTh+SLo6DuX4Pul6LrzMHc3bZGYVVV1H7EafSRH9TGdbnvZlNGspmSdAwVw
SdB4PXd9cw8vYlpNp+IEw1OHyCzZUOhW1fkdCnI266EZxOlsqqGMPM6IXLuyV5dzwCSJUCfsm6DH
idBjLZnXFUfLdZq68ETZcNqJBc1IK9lAHobknd+VrVGxMrSNUJMEsckgT3A8y80+2+xoskjdDvaD
C7pzPoMGUg8qj0ozHzeI7lybZnp2ZXo5qrG9bVKP3yW5qM4TPBFNebasW4eSTVuHl0GbAfWWvVuT
MTgPIS7pEtt+U1q6nC5zmYHwATAhqKtrVU7rqiZRTsNZFyPyEfeKRVmQxsJ7DHfusylZIdeVuoU2
Jt2GnvBoGUersyQLVtNizTGdXLBubKcZF27rILFEs2/eqaXsDrEjS8yn9CadxKDx5GM1dZd4pqdB
Kz6MXQXIaebbLJ/PSp8dcURzTQC/4GTu9Zi3bN3N2YaPMtOjw4nu1WlboS1rqkOe5J0mGL4/y49G
Qlp0Dl+7qTxLHDBOHq6Nanc19x8AeX0YamY1mhbgn8q/brwFVl0NhypY3kzI1LEsxFnvMnhW5cD4
WG0sTWo9TcBAUZe9zjqIrgilN9i6Niom97ZIhlbjHp+nrvdaUoCQkO2vagd2a1uT6ImlwYou1clS
ZVHGimjA9syLooRolQ26DgzoSXkpdZWTe9QlR3mXsc0MIW5lc8x0LhMb9Rk+9wRfYmjki3K4kNV8
RefyBKfLXRDQFF6DxkUmjwHinXALO9iVbFWxUmjcZceLDWKFyHtE8G5p5Bvui11eFHEB4l2xl0Ha
tnwDjGEl+dBFJpyMpl0ShQg+jcbchwRODxbB6wSlxwUqx2gmZtaZ4PWxzYfiDvYqW03eJ7oKh2Bb
de0GoTL2RZjEqk+2Y2fpujRlq8vF7fI66Td9RsCopO413WtqBRxUrYwSMUhAQLvBzXVJOx3M9khI
lmoEapAxycd2WOSmmPpM58uxz5JLSud4kmGnUevPRZUcucJek3ypYtPVN2rh7w3j2wVQq6G/lhk5
d33S6mkmqQ4CvwAon/vIBWxdFSCGKFtcoCB8DST/zae49YfY9f8Pb35Km/+xubP7WoJ7ScH/S5Jr
IMUYsNH3yfXThoWn9Ppx4qNWT/aFfBDrIaEBAkECMMqjVo9AdQ8pFJHZHvvRvUz+mV5D55IASg7s
nivob5Mw6bNWv+9aAgABcn0IJA0Bpvkj9Hrfy/EcmcBNAJtRCgUFEOvJC+CZzFSVoHWyKA/LbopA
BgY8tA/B/cq2dklWA5DcOZjzIkLSu3NQUNUCRECQK4XT8WQG1HVbzH4NpCyf4rBIGjgu8xwek9KI
XTr46bgbXHZF8s7eqIm3r10jpg+2q/NGZ0Z05NgFldCl55nUvelBK6N576TGC7QLbWlRZNMKd1B0
0EVSW78tFl+cNU5wvWDaDFFXMMu1apfBxqnnxU1iq/aQpJZ8qEwJqWwem+XEdUTctXWZscOu4OOm
mmuf6zHzIGD2Y861M4u9YHmyHHkQJlU0tYGIlGTjasgSe07IQKK6lMGtrA3VvCHJelDyaipYeqnU
gHcd6fCubVR2hEkzRmXS28M9Ol6lxJenI3C/o4lNfbBxBIsz6xafRykfm2y95EV6mmVBcWr57INN
qEiWAssD4b8oSkgpprK7gYJgyfMpOa5xOazHHgJa2eXTr0061Se1bBvA0ianQOEs3356JlSG2FsI
/+q2qgbIOAzPp1nYHLHUuAgklHA9BOF9uIzTxvplXjlp1zSZQWC2SkVNMCwQvBhw9RxF0wQyBl6W
C8UEiLe2OucszLSxA6R4fsp7Oq9qEHovk9AOh1WeW+3UdJ9582EJZrKqGnQypGiKJ5weNQWh674D
PJ605UWGQWHvkLnMuAEmC6ZdTah645PiKlVjGAVQZ4mkSpaIVPkGFP10NUgooIxp+6ECxBizJrOg
LLBs7UAUOUOtuZub5O0EGz5uAUxqmaQXU+YgfS3LEiuhPnImBy2XnkfUZaee9qcWAKZNkTkWJtxJ
VJxMYN0VpqWIhnxqtAOcsCJ9llyPI7IkaptwRKB3NNMmM4k6TFK/QPjPFn9FfSnrtTF2BGGl8QBl
QL7NdKDo8jbp6iGMIec210hObJsNolpPvc130PGzykrhD/NBlXyT0FB6PZZLU8embnkZV5y24QYo
FWKRlA2oRhMGBquWLrtGPhEt6BejHQEHJA7AfVFO7zirIR336ULaaAqyctNDc7NfzzZo2rWDkMXi
sYBhjfIe4NgU8nTSCGDBsF1ox3st+zrpdB6aYIdKvICE1kKJSOWDJgNfhcv8bnY+piFktiYMTxtQ
whwl7yehxDnuc6dzxtI1dPLvRAWSWQ+kf0H2rc/KPOLhDNUmsx2I6HRWVzeL97u+FfYElI9TLhb6
NuG9/RhAjKyjpS8qGhW0BDgysbanOhmlSSEIEPFrhxW+tsAEX3MK+GggI+CnwPW3RdHZSktCu3cD
m7LLsLZFoSF04Qh5WwD/cwKiB+AJFG6CZqyOWQVI3OKE8m1dj37a0EwtR/+dVb//g4dnyZFA0P7d
rApu/uf//ue/fW4+eKh/84dpDzkVJGbKGTQtClCgoVpNgEo95lR1QIWkeyYH6VOpvTr+uf4dHgCr
hKsceuo+pbqvOVUdgMYMBWvot4PqyL40/gdyKkMvOSwHkgdZnQGz5hjk6xeccq7bmTQ4AIWR9azU
+cD6RVs/LjoHXvNrEdZNsKmAf6i4KBWZotks/i2wwBrHkiv8K0tYajfCppmIknpo5LaRQcNOXd3m
o8a+A5mCUzWcMl+H6pDNsj5WRXMpcEsDoOk8wFoFqJExqoJq0SQnwAVImgfJcTojCpkLWkCubVuD
1FEZSNmrZnTpSQrcdWWYt5keRly2q9EvEmqtLinfDIEyZ0lm0rO2632yZqiu1Yb1NojARwCIod+k
dYfMQeV9zlWHdaImcl6OnjDQ7VAI2l+TZoe4D8x6NCh4PzVu4pqOod/mqRSnUs3+LQZZN+6MOYZw
e4yzsTkNQuaAGIwghqsx30qn6mMfYB8FU9qsmE2Xewa1Td2RzF8rkgOKQKwCdJAHrb0YmxYdcTNM
G5wKtiJTNW/71Pcrj6GoL9u0PmRGuJhBeo7qdhEgg5Tk3KJiOQ2kA2UXNfSwNdQfTVnBVkMfJOcp
BzFdusQCIyvOc7YUkejZeWDKJWKVvLaimXXaVe8kaC0rufgelC6faijffbA4CHWRF+MqwKXR1pHN
fu5Soash4OUFpV2wQZUXm76QzUoa8REP/I3BUxi1HZORD/PyqGnpezo1IOKlZbPKu+BspmZcGWmC
qE3UcWOyUoNG/0alwYXyfoiCIJy3ZmgOQYE9pzlGhwUNyijD7LTHINs6d0HS4Bwr+t6LvFzxeiy3
DZ2VnudJ6GyGov/EQK/aq4WdtFe06g/pZMO1NIi/CwKQn0vAfNtpHupdzgDALXVf79qwvIFXalei
RvdBXqXnWSqGNWCHfNX25LXv3OvcFW8TQIRxgzwEZ5ee1R02mi32uOboPDP1h719DAJRbO6qRrMu
BVpfW6ldLcoopNVRN9cfx4pcjIA1El+ArtVeJghAY2fCzdAqswkDFPsgb0/29gx7vESQwYHNGQcE
Cu66GvMAfITydUdmcVgkJfQVqBZp0aenyQhF1Mqz2ykMwvVSondtNkL5ZZL10f5y13ZnvoGWjyAo
oddk6PyqYflpX87Jbsm5igy3xz5tr7NxaGJbMRwN8GMi3e63Qzn0/phhh3UOXRZx2wTvymDcDMso
9VB2x6XCp4tlNkbLXOieNW+qWh5nSWfXwdzQXTnC5rDzBKX9nB+RIrebsUM4rlLoC8jbykeFc9cQ
/oJVJWUdOeCR8diCDJovnkU4H2/Gqkqi3sqTIQmr1TwLosvafEza9rxVUMUCwQmOMbwkHexmEfZ2
b01UObbysvIbB5tc+9DVYCOoKs0G7WZcvqu52baoEHEo3UdZ1wSwV3/ZFYAWeEXf1JlZuXR+W8is
jdr9ll2gs3YzFuUM1Xf7sQ0SEfmE1wBD2jdKohb0h/EtzXAaLdYB6Le23cgqINHAanIYeiggGLyP
q233vjHddcmmUbOyuIc+n0G3bh5iL+p5XaJ8Oq/qFl6+K+ojaC4wESjjFTCSdjoPCMq0SKZR7VBn
SCwJlucZArlpCFFxl1A6QtViyKGNIF/oSTgL/6b0UAnUEmcDQOiFHbcN9JIgOg+bumlqBJyqCArN
Af1p0yF23s0VfQckIF31nLljG9Z0R0g7acyTDwVT1z0gRKLq+8UmuW4UsCXZJ8mkaVtSXfUC+ma8
nbWF+67DoJoujF/6TTuQ12aQnRbYzDseFng91VO9AZ3wNhF4XE0C8Z01vNglFnqboBbRHEEPwgJV
AGjKUIT273Pf2JgSU71eVD9CbSvBv+ZhM0H7wFJFSWVEpSGlkTeFk2FUoaF83UC6OU1YOB2C9lZE
uPEpHCB7WJtkOHStd5tOZMMmRZ7obITiAx2gaWheqrKKDBPuAtXuVEwY6YraHHSOoNjA63VnUAOE
1rGMgjyV8gl4Qpt4eS/m0m2UShRIPkVgdSgKeGo6FuN7Wgf5a2dQeAGl7W3qZ7ZKaJf1mwFiv27Z
VIIKCEF2iEIMNUWQwasYiO4SLVWdXVlawdmBfX0TZqb3DwWJ/xZTvtmV+hX2EQoI7ftCytf+0BdT
HuEeO1AYMAQ01iMJrQVf4R7hB4D2AJmDGEIVYMEnEgo5gB/+QdeS4oAdofPxa4cCtE9CX6LkUnLM
BPz6hf0RuAePeC6gQGFJwE/MYHECKjvshYAiw8GJhkHlrmyK90M2HvsqPDJto8003jyxyvlDreBp
ZyXg1G88TMHNGGYSDBG+QJbl4EgPVNBDpA7M8toUDW4OATbmANh6gHOaNNA9dZLBub/vlg4Amsno
6FfYDWqLnAnMXnLhDAjQkDQXgWoHvivTtHDnpOWq3ta57bM19CbUwa51RkxHpE36divkKE9oXrX2
rMx6csxdDkmxzop8jsewm9qjjENL2HphpMpib1Q6x6RfuFvjAJkOeiK6ZQUtFguUmUE5h0mcTLlm
CafASYe+P897IfHa07Kmh9Aw2QJXr1tjtmxkSRU1xJ/N6QB36qfaA9xqTPM+LBVwXlsuFECPky3k
ep+BKf4fIeexJDmONesnghk1iS1FyIyMSJ1ZG1iWogJJCIIg8fTXY/7N3B6zmV1bdVdHBAlxjvvn
pzM6vHVTnXWF6C14z0Q5KuBl1KawAV/qHZ0crsfF67wFurzXkItdV+8IzmUypZqtbQe0qVEv92My
+cPDItp4jEpuvDTLgbux+RjQEZjHsJmY5la0MFoy7VO1b9zUQiixxFsLXeMl5hk4zzSPtanf7Wbc
eHTTEn3gNoiAjNXkZw0e0PfJk1ggV8BTFfnoyFpAaSYoSZifB9rJnEdE34tl/J96hkqJ3K2dLN23
1lQRGf2C+3ouTbPWqFfiRyrS5zppBGjP+Z2SsM83r55Kp+YcvONnY9LXZOueyTj3lSLBFWs8QNsd
APRwCMyn9W5hOHgHT9MCS/8otyw+0iFmQB8GiGWO1iB2TY8bUJ5a8Cx089piWYNdmHl97ofzfhrk
AJO5hUpOrstqD8vibNnaCEDmqMq+t09B2JzbAARdg0ssm7kt5DzYkiLmUUq87KFlv5mdUe/RofB9
eYLRs+Ur04fBDcEFFN0z7n38tqD+bnRw2tL6IjIuyl4nSykdG/b+qHeRjG/ZwstuRe3V+eRx8c3O
Zep58+vH3ilyEHrGzdWhZwE/4aUgSfpOXQgDEBHEF03gGq2AKFO7Hdw2Xn2HbyCm5GFKllscNH98
GhR1o9SrMstLaDyUz9vjFnIIZIa9hfNy9iJ2IFHnKkNnuM2OHdfEsXIj82fGUW4EaVu6YOtBwrj7
d2uLCbIkaMstTyDwHesUlMw4O1X4GUlQ0wxjobBPSlxbH6iHSU6ouS4ZSOp0Jgp1rFdS3LEjob9R
Y055TdfHtJXdvon1H70GwH03A1OLdVUYAKvibsecv+ai1xfhD69JjzYwlvRsA/cwuvY2BfWWhz46
EOc9rmyEQrnFFh/UR7th7EZgmNO6AwY1oIzw3wNBedlmuGOpw2XNAeck8ye+KCBs/BQ6e6gh+0p6
zXRzbfNXcf3MhszlPl32SibnkZvPJFwPcwgMKBohoLWx/tkouhSGhWZnojYqtgmOJEiDC6HBOd3w
owM+UMiK+mdIYL1p5o5d1OqHWUhXbkl3C8UU7akQNzqw+VF16DgW6Q6GTFkeNukfmNK7Ycqm8wbP
UqBGKJo1sVUQx6iRJLxCo6AOT6N7iOoQvlMwuSIEHVu3/QxWmb47VK/oLsYzwO8vRhdWsRGuLxd/
ppb6eR2QFPxZvIsjU8VrR/JlaAHLZLTkbdPCfw+uiwvxJ3N71o0n9i1JduHQNsV2x6+5oddI+6dm
C481689eBzK1p3MFCfBJ9ybKncQODdLhqWMdePg2tsUS35nyMH6vM7/Hv1sayLuLyYHnNrsUfqYf
L+cg7rMbS4O0msUYVN0EdVsm6bGT9gD9ETqvXYu5loeuURXM3OPm8GmhSrYi6KO2II3vnntc0/kU
DZd1lGzfm65QU58e/LU7JkP626pmKke77QnccvDkdV/BUQxBAjWkxGHxy3G/FGMW5CgmBQR3M1e1
DHaAZ9YHD0pzEUXwAceFnNZswzcFLKqLWvbeO1TY5mBSs2N3XSDUoIM79sTT+jEZ1C8ZY31PC0C6
toFwmclq0HGbQ1b2Cm9r0VzSMtBouBI7N4WKFUghXT9qmaEbUmmVwPaucEmMj1jrU+V7VvmXlTta
+FaTqxcOuqQGsn3IO1jzQuK9Lv2OJ/qUUrJWijHIjHQ5T5KfpAh1oWj6N7Q9TgO/73Ev1gGv2syf
/4WDHLORnGQ3QrzIgOi0EesPZlqbQzC2TzVXX1EQXqbBf53DIYAKn+5V6CUAm1z6MVIZ/tHdQB7H
wKe5s/yS8ukyNkbkcNKBnMTbLtPyJxXwZRDW+ANSwCvjRF7TxGxPvdz4fg3bHS6/ny6dvmYxyZwi
pXHsiHdgAV/LmAlI12OQd6PIKmUBaiTEy1nKfm5rfbAy/gsZKSyCRWSHLmrEDVShPfuJCKseIgOu
yHF4rRluTANIqTCch3hQeEmjt76NaefnZmkqqu2a80Q8BwAZy6j1L27if4fR6R01QqBRCB/bHhtq
iLQp4hbcH3HDnLdjjGtWmauhug5w0kFcqIfxY0StVgihM2z8HvUCNe+MsrFI+hTWeRMTENpsO6VK
nE1NFdo/6NR0aM8d1kY+1t6/GrkvCBvmKCB7ZJuglTe5H7UYngiOJxb5YW4VVZdgiIMSJnn04IXQ
hYLVtPkCiLUcou7gmv6UTe1TPKlLlo4vcdaGFcR8dMpBCuytCaJngJwsD0G7F7Xz+EuWuK94NUG+
LdEeFhe0o9BrD6QmsvSXwTxJLbpzFJCL0IKi0fa+auyIHFKPeUhot+E0T9KK2oH8tiH/ZRBmefTX
9jluZ2hFKUoemhH/Pc7S3Wjjdh8JaHuTS77cOIgdEj/pDvY3NK8Br12SLbyGat5rt84oWHpbLR47
9nNYZUNzjAJzRUb220brBSs8ekiWYSkTxneG10NOYvpoBqgl0JeQ/JlxOQy9j5I5hQXY12UdubPf
0xG5n+X35PGKhv6Zt7HKQ8hJSR9enaLXbm5fxRKVvscvqvE6pHn4r55Cg2E1brcp8aBveAfIL7ck
CJ9mN+y3IPpcIXqyFNUFCrmmmDOZ5Sv3vucMltVk4nf8WtDEcv252ODNSxEpalN7HpT/SrEQh8BT
p8gkS5FxS0qj6haBmwFLkaqlAGHxJToCYNWx4BGpEbkeuzu1mEewRsw+U6tontqsG3CtZCRdiyWx
45/WBml/bBq5BEW/8eG59oJ+vQy4ePyi7eOhKZWL47NoBy/ZE5+NJJ+6ME0PUZJ643evXP9hOzMt
Mt8gTi9I19Dwok3koSQMPR85I43/SQQNRl89FTL6P6Cyf2reUUgjL/DwabCt70Me/n+6qR4DPD7e
eAXiC6h5uyWYygmL7mEE7VAXW4scUdHFTF//e090b/7+0X+lFMhkBikPVKMf3tG7f4fZIEYbuKym
iPyJgKgRJIKt281SFDzLIJUQSdOu6LbED4ouGfDeR9SMHp4z1WXopT0so2jZEwk9pr9fhzbyodek
w1yXDtQUL7ONTB4KQhefG+hGObIwaQfGYwxBjMKYfjVqqgWiLMv/osb+86mis01CH/AAZtxk98kY
//7j5Jg2UNcQo5kHxd91TPn74vEDGQLcwmQj6Wci+8yr/vsz9f+D3ATVj1FH8EQCP4uyfwb4eoCS
Ye1Zr0i6hbdlNIrwLZR+pHdqXYEHqWCBDjnFwFXyYVjRZQAPJPH9fOEF1jwl/2N1/QelgNUV3Bt2
ZO6jxPfvTfi/veSlplDcA9CaBqv5PKRjdl57TS4dGtAbEYJc5JQyWAIWGtt/fxj/0d//S3SAkuCH
oCWhG/z/H+03JDM0FPNdeax/LnUmcFyMsOaLMOjw1lWK9NP/oIH/uaaR4YxpiBwlkg/x/0Uy/v3n
2mBVKbDVujTcnYb0MDIDDuPzv/+wf33zfwcSYcikQYbAPLDUANGKf+yc2IJOH9JpKP0XuuOlO16H
pNzr/OeP5QSs/jPK/SdcGr4sEbEqsgMO/d1//wr4tH8qGoBivCTLEIkFhYkoyT++RN+hxUvrCdpz
I8+0n14bhvJL9OhMwnRiL2tjVclJfFqb/iqGGDQ6jt4hazVyj8LlKPPu93Iz5nLGMTelVJ/WtPmb
EHNkteF9McwdCqgp7J8C5ZrS17xDzdp8zCLtccxHYh8lcIJoUzid7DREg3ibXiYen9I2uYnOlomv
yoRMj7MKDjMHN5wQdZyQHshBrsOgA1Q2Lxnu6xAIYIcS8SFDqrVCEw/0b7A3E7JP5THkWocXTLD7
5cLhnC1ZAwiZPfLEfqh4PcX3IBvojw9m7Feg1y9vER8sDGDTjGeC07Xs5q5KBVrK1ZfHZSDAwQh9
rW1QDsgaeMzb9W2yn6L16PnySpcoPess+9UFZOdmxe+4hMidnlGG8O7Fb4ZHESW7rbVQ77PTEGZl
ArCTUu+HZfKlmZPvVrIH29eHzYbP7UQLs4BbBCn5NfgoDkP1gafyOi0GMIB3Dxz6+25rTwOJP1Gh
oWsG1DJs5RbgPyb1nCthPpYUzUqHoBr6sV0dkX3ckF897lfgkHB8xPIHPscrzmm4IrPb29aeGMLs
BXZnSSb2NmZ1mGdirlyji75Nn5sw+Iz7prBmeHd0Opkh4nni9V4uVr1LM1k0AolI1h8nFZSLoF/j
Gh9rh2Okk4/B1n3Yur3Xxod+QbiTLd8DHMkcadPnsLUvvGPIzoUASf0fJEkPmaaoX/FiF+6uWvPX
pvZPQyR5OS/IfEaLxfUAW2JXuxG9TDd+JS3EnLqD8oAk4lAgkfqCgvLNzlqWUORgaXhYRQkCVU+G
QFGw83UOx9fabHYnEYLOW8SPf41TiFig5z+wDv5LMJ6TwVSTZ0d8nDeUjLQPkUtPK4UPwwa8Y+QM
XCWhU7gm2xOFNM7Yz3vB3cMG2r4woX4iBtjLuBJUvnP3GGb6jEb4SqTGkt+GbEfASnWJOKM1PSE5
Y3Ozpd1O0Al5UBjDe6N4WJE6aA9I2oCCRXoJ0MmeMeMgUHQLArS2O/AFHabRKPpCtx0jRd4iqGPH
SBryBHHmb8cXVywz+Zj5/GOK5rQAL+QKbxjmo8Fuq9qp/Zrp/JoMbCjWLVlLjWfhpW6P82Autg38
RoNDYxymBzImxcz6K55rOU6TBu3p0yJxK+zvbULWaFqTooUXUXgByDC5qSri7QVe7oFPLnjfVni5
22ZeqcANJzdWDvEyfWTIfRQSMtuDspQVE8pEEGAzL/lssxAorTnrVf5lQXwaTS0hukxNJX3X56mK
LrShz1abD6LtM5KiRa0bV6Qs7Io0hEQmsNvRiEefkfLkCQz0AQF5Cy0COfGBXkS3VUjav3peWHEY
UWU6OYTH8e2TJb56yfIISPlL90FufLlXwXrwh3gvGCppHYucQWt00/bYGv/KaLwLsFLU1H5PYj5x
RaqAwBKDPkHkuhOZX4xbfzVb+3MY/aqZvEPLoxs8o0IBgtFbHSMEy3cw5/Yy87+M+/Yb/8M40Z1o
N0dqHw2cNB9aect+tqkGXIz2ACBtqUdDqskqIfCDa3y5VoLiont/SP4kxAIbj6jwdhxced7CVjvC
9gsRRDCCfKdjAGlO1bZI4Na98LSNn43tFCRhPHSKs7EOxNkny/gk51Y8goFf9xt1PWTh/h0RKI3F
v/XvNG0sAmXrWoxB0L36tJc3iMi/ZwLCeCEMMopfxpb8JQb8AMuWNUYMu53t0fWMVVbNt1RMWeGv
ofd3dRBJTkhxQeBkHPrbmnmXqUenkCHnPrXIbcT1kuUg3N1FtN5bHCz+s+d1mkHXTN9MS0zV6UgX
nNvgNnY+p0WAH3nOFBAmAC7zz7qP5KnrxAYp0ktbhPDAT40p3Ns6m6924+Necn1EWuM8LqDCyMzm
fMrubhZDd7XZ5NIuCzgOTh4ym91mCxiDoT0qgbDoomG432vTncYalBhqAR/qB0rbplfvsw4/5QrL
bEZ2K49THRQqkeQUZvJRr/ZpW+aHCDlfUHTpPP0Ktvl3OMx2j1iBXyySQAQeJIO65bds/qKArQp4
5Zz85E0E226boXnCsHT5NskvzwpxWgBS+HmToT1/HnzXQuoYANlDq4r++HAddtpHaLnqZIQcpU7G
GIpi30h33qK5C0vtNgCgWRby96BlV4WmAcwarGbEQwX1h1LzDDmyZWQruEsWIfLVRL+AJMKjpqn1
H2c6mN2aNSDqEYve1QSCRdktutG71ls18IZeNBfoJwlMSgf6tA2fNmEVEogMfZeyYtIV9nJbAaaE
dsqzYLpuTpvPWnL5OBi/ZqXMiC47DBGFVj5lP7UZ0qpfuHhexcCOdds9xAzFTOitj1mztOS4xOEi
C9Td9HlBffE6k1qdVMAdDMy5HZ56s2Ehdz7ie3NTZoL1D1iMcy7Uuot0c9uWNd1nBMgdBO01C0me
gSovA29sq27dwAluYp81QEGmltiPJkbGgRrA+hYHYLvY5AmJAF7oJaWfZG5CCFwti/6OYRi9ukFF
W7WFoF7W7joAVqddWkVAbirVgcuYZPYuJ+HnBMuxSNUogLCs3YEiKEigb078BaUI8DzpsmNjY/5M
h7F58zazba90iuolz5b6GKfeerknKj4wN0QWaETZLhiiuqJQuvZjR/syDpUtsoCtt8638b531B4i
avr5EEdbuEf7IDG+oVtwoPtR2+Yh9vNhoQCf2AyNdK2XhzFb7Sd8saRcnXkBju3OaiaQIDzGoI/0
NHvFuX9VqZUnzGURTT6hwCtUL220Q4nd7bMJel/onftYfOPRfK0NfexMsIP3dVRO7Dt3p5B0WsrU
djtpMAEBerpCBBju5h/wz+MDq92uS0cBVT321qMyiu0xt8Hcb8/FRbswWPh5DXCIjqQH+whH7AyP
SOaNZnhdiOuWEaCtIwaDPLE+0XjyPClkGovblG77jLX6aYxVZd3gH9KFIq7BxRGWiJfbiE9nYzHZ
ZMTLor5RFZEWkrbqv3H7A9P0bLU1Mtu1U/8913g5M+VxKQN704MoG0CVcARShOjMnzqJn5OAaLQu
6hSM3YMNrC2geN/6jP6SHXUl6QwAAMx2WOK5RsJCbbCW/EMnu1IBbSpIjwVIgJh7I0aTdJaeOiKQ
fmjmi8yyW92TonW6P0QLBdsKTnON2qVagRjk8DJwG7bqUN8hc2DM7i3z2VtUJ0EB287karSvnI2y
CuMJ9+7IgVb7YFgLH0oDwjgm+GFRhIFHQUUZ2s4dJpgw3rFrQVAICeALSGzc3oyF56pdyFENWGQc
4+ymOAsvqSHRniyx9wm5cj4xzTGpYkhzEQCumSXq1xz+JFpoycGDQB6WRepUnB7xFMacRnIr9Jge
LFj7ghvn/VKquQNk8I5+t53mewK54jqP4RNH6PqxH7PwxbMETNSa3YTmwy4eovFHYvVlWQeExmiz
tyFxT3JEpVrH/Zuk3TvYivt0ig5wmIuuKfNUMfpIOffhdqoV9N/aqh8AdjRGbswUVEaW6utktuXv
2EtR4mT56rolPXUZQlnaWz7HnqFZcH37MNTYR8yT2wGTUuROqg1QFOJiFXLQbakxi6KM2JTtBuTO
82GpbxujroAg9jh5E/+tEdx8CoI+LX0wcOG/1AY2HV0s9z3OPFTZsKGHeTd25N2N6dO0KDxusaup
KZDqBUc16qzorC+eWzB848wr7a3zkDMGEmQlJvt5HwwOFZMBnJruRUm9JceGL8h/x7j12oInUf0S
hgt/2aLYvifLPIp9DR3e3JZkmvpczCMp15mzyo0o580GrTCJcJl7JQ56+KS4LAPLHn3bVWahe9TX
AlB1+wT7Mm8mfU2cvK6qw2QB8YwBJTBkhmDvTXC2VApLRWn6V/WZMPk8zh+RJUth17SAjOed1crI
bvNbUXSTIBgCUHOg7yMrgkmMeeOCStR22NczaQ9J5wocLd+Lr7u894LLFERn3yCbwJdfsDKiCgdi
BQIzqrIE97WFOJknqUDOzkqXN6u6hUF4NhorYFq6Fz5ODyGcziELXE4n2+cqHotAwEdLa/UIpk/d
1oieMXmhf47ukbQA4JRiKT8u0t44ZjDk99ZLwooAW9qviC8K76PdZpySdXhcEb9ocgYWVgXBt8QE
gZiw+BnOOwqqaLZfqb8FeYpEJB5MX+MtDx9sCOLcbvPXRJosh0ERHdvWvZKNTk+0blDoR2FW2RjR
znkb2Q7b5xhrOhUtZufswg6SQMIaCe919UrojP5jisO96Jrm05tQLmLUCqyiuHsIN8DhJkaNbc0F
F1+QY00CMBhZcg6SJdwF8MKRlwieEKd8ZgSPXaZ/VeDrIu3oU7omddXKGLUQpqQUEUGLHo+PdNyC
Pc9gxXMPKbVxvjWOnuNkGgBSzqjHKBqiLqzdiYt2qzpgbifs3RFgw0z/hC25DajEjYtVEfvjd6iT
sxw6desnaANL+j7jCkZLER4BnrEj1+HJH2Ev+WGdYfOq9zuvnM/wbp4j8Kw9fKbLUg8ZRGQgjqE1
4G1NvK97pXILGfWOwbn0LK2C3t2I05bggow24XArbxjapUZ+qE2wHdhSv8DdIHdazDugCNlhUs9c
77yOPLUqPmJKzfBJY1TKSzctxUZC/N6RlaqBkylsm8/e8jIjvllktX7kXGevyPfAFO9djcTd0FaC
ez7uBofIbqTfV23Wg8lMcsL8D/RUehsPKl5iJA/ZIZjan5Eb19+TRZ7SjjE9rb376akgO9FpK3jT
fUkZQQZKxdcQqpvzxFjNdUKO6WB51dtGl0MvXkHd/GFt3+QOZ2yFMNB33PZjIbLZL1ZY47qxaZV1
Kyw95C2daE+NlkEerPWNt2NXZD1e00zIDinex3RbF5CHdhdEy0u2miueUAtGERztYg7awO9p4uQc
BhhREiMss8fUtArC87VbgB+DM6JXCLU/vM2p3EXZ22b8v/AbTU6m6egF0Q1DR6JD0LefHDrgHv0v
qVqjJNywZCxW0Ot7a/ltqzu4LtxlBzoAoBYtjNDQkz+Fhmo+zz3JUeo/6ii6QamWxSh6DBASQ95F
eP4xiX/GaYePSKPm6BJXIxwjnvslzAogQ7z0jXceh2Xfc4RHG1SAp8b642+OAO9+xl9BsvTTBNic
tU0fJmzVCxfrS99Aa8eUKYgxWjwGa4Rvcs+YIbz+JjFGbqPprR6Q3m8RSe+iYC1ZjPFpYRS8+nF7
NQIbmnj8Cbb3j3hGLUTj7izCdStsKLdcmfbsr/Ma5knPFTYMAPB49a+x6DGmCjunjQnmgIUCqwcl
4iA9wEdtCJF5oZizpu5tThaTYrNAaHEgV5vDjbIpClgWf5Zztj3oTbw1EhxlCjxCduRVLxwxleaA
pxjnXox/2PhtFeMnit8jlehw0XtATlRrX27AOLBG6FrK0AwIr8LQBj1fxVK8LFa98Q0yD9HyqWsx
fGMS6tzJ+hJ69mC6RR0YxxSXxjM3xvwzkoaXDAO6RkzCy5WO3yM9zIUizVB03vAxejGU1vtskOYt
jWBfiXbZRdN2XBn/jrL1reu8fUIBZbXh8Jko3r1jgCTy44u3a/BgHuAWaEh6A6bF4NbO67l7WM24
5T5kRrzxqDt6cfRLrhiihnT/LpzHW2tSfO7yGaNA1Ui54WbrvLzupyJABKggQQQNDYrSGu9hm1+T
GvyD0cBnauTTovV7UdNhIwsqj05MO8sRI9jIfaiD8F4W0bxj+MgfbO7oHE28K+FC8apmsur1xKCQ
ZU89X15SrFzqw2u2qb/ssmU++Ka7JisqShIrlscrQR8ITwH1F/x8NPY7xOluaAxbdEQuRMWS3bZo
kJCY+LSDY1oNc9J/0i6wuQRLWlocQdEGi5HPXVKFiO1XG8mwnMbum9f6AfDeskebuxNgjpHzshio
ty43iZhVzjVSUPWC4Hz8KSlYPkSjc+yuEuNsSpcMO75C35ta/MWOQqILshClc0IPEwdxYSOlfsSr
+sUbzIBDh+VwKq6Yu+dqSDI8DFhQIpE9nyyO4jIIV6TQlXfL0HrnIYvRtDF23WL+sHnLAyyvSy0h
TwGcRebKW7PnNN7eMDFGYQaj+Rp6BKczdFpewk5g+rrcc7gIJx8FPTNIZAxZ84hoHKIPJvnOjL/h
6sDHInvCqszYJ0zwCPI5BX0VczkX4BVOPbXv3lS/ThpNK8anPWDUZFu2Xv+K4WgMC2I8AEVWpekY
xkUAJHCBvdSefBQ2exQsPHsTCUtMieOA8pZfs8YR0Bj+0ozenkfwAd2SoWCSy9FG7iR7jRqqgQe8
MA3Uf9Jj6SbvfY5wqzdZgIo9aOfCbhJSOWbOLLZNc5L1pKwFOgpghiG64DpfodB4FOPYCFgTUCBP
gZvWisNBunjh+LJJiymBUZ0dah8NQdiCvPZccB/Kt2JP8Xvi9DtL4/nTkxDOomnAgRbeatpEmKIw
es86wk2HpEVLTtvKfi8K8EMg3fBzHXxySWfBC+PRyrfsDBIvhAA6bs8+QzRRUnOeFE2AO02iWLVH
zxhlFYJPJ6Kwqr3qzoM8xmLoji3OmS01r5g5gbXCDblPjfR3RJEC/q64sjshH7VJUm46XVByZiD6
dEPEO0hZ/ZqwSd8w9Y7dLPGnSoB6Xx9YAoTCR3YV0wgSY/N1TvvmXHu4LHFy7mcIoujLl11LMakL
MBab5E+M5gQrDr/vIWwo3akpxKAkFbuhTBelHjbVPLer5xAeiL55l22HxWXsgJIPbb73Oa7slyZT
cpRx/OYkgFPQWJh8kPHf/VC3RaMgOGEa5JfrQX64Jrn1q7eVfmDegTV8tDQB4Y8CIv+/LSNEW8Ey
+z3Uwq98I68iQTHiRV1wgCFf732ypuWsV0iBG7LHtU+wW/Hzk3k+2GZ9VqQNjx5MzioJgz+097sC
8xHQYTf8jEw/zu8M2JUHUgQ5AvmBYRgo+tKpwpTL8xYG7oShLW8RevgdkMNK9m5EnglAZ+SjYgfe
3u0xpBCIC3QxzQAgszREF0EuSHnZnUsWNKEL2BhO/ePQ4E31KQ5HDCytDBQdUHqo51TiZaXxInCD
afwTwefHKLJ1AUE2LcFMxcgKzeLiYUYmHsymch03eGb+SWSyeSSQwcqwVlC4w20BldmPfVCkscLd
ABgPM9FqTJrwhbxKO74hdmlx8HKOYUr4brzfKSc19NZaTkWStPB3MKIiGPbx0g5jpTBCpMZciLuR
lKAtx4g2DO046Tj1i9qX/4+980iuXNmy7FyqjzQH4FCN6lxcXEGtgxEdGMkIQmt3qMnUZGpgtcD3
zfK/+D8rLPvZes+C5BWAw/2IvddB9bVVsFNzIGMt2hM0txs4bjguYreJ1q5HvFfS91CufYc1A6CH
45zH2ju0wMJu7DFeD0HtQ2gcM6c62HCuWpOKymiS2nokhHttLJFVTRe0H7/BWnuH0cVy9ZoubJvg
2eoGllXwaFA9L5Nn6g+3ga7KmwWR7V4vQXdijy+QaMrTXONyWEF6AcSVzfZlihRv9koYmENnnVfD
QoPbnVXQUs2ovjtxcKQUTrnJKa9rfMtANzwszYY64xAnqolnBN/TsW+Cp94mTylW67sxYSic6uvR
JalwSZMoWCw6Dheul0IOlXyL0/EVSyJpHKX3ufLFwVyDZ3zJjxPr1mv1sqf0TvU2iOaapzMlnEyG
H1U6CtpcNa6Kyav3mzM7l/6C6Qwg2mRGaqzPSx5f61F8zLb10M/mVWvHFiWGId4Hi0rC0h5vavRF
gbfuJ2lHuu2bndMUD2U19FGhUFfyiT8Ry96IPB2OZTzeF9OE+94txH6t5pK3LKMOUh3A2ktcUN3O
yYnOimJ8sys4Kelo7m00s3EHG8ObKTy1452d/gBhk4bUZi6MOoh8o9zzyb7Rb36Kh1/TQsJLzpQa
YKn6jyRXnFqBtYRGlp4aT75OTfrQeB1Nt8TeczxfJhRPB2u4IKE86bn/gTk+wtATtStgt0HRdPUf
dJen+HbUdQFYePDS25nKAKvmTMpydNrsh7cO7c5CS3IuZ++kHBOV5nzGlXeuPJAuQeo9rjO6p8Fq
LlW81IcO+RXZ44osI8t/lXHy2TrVp9Gtd7Ejb4nHv8FZvTTbZCtj2y+JKNGVerFGRSaJ2lcD0YpX
mNMVqCLEuw7BnrSm57xa7om/AGSl5oFk4zKoyr3sqHIKr2ncQw6FlgtD1TcsxHpryUxfm2qhvFaN
4/fOckkItO4enKSNH9mj6E4XUwa9SJoXMJ3ozCvk1ZndVnuZG5T5Z78HHezpMioN5X4OpZU8B0mf
HIq1o0BnwYypNYa/cyzwfjuNHVlL/QwhZUUvayKTo93ba3QRk/DavV3l477GPLa3irQ+ji7u+C17
z/w0DuPY+4iTqXts6o1nqFMX8lzpTBScTE9H4+pE+Ab4unkLLDFdz6ofEXw7jpfVIeqYOfQSCjLl
1I5HW4ofFEp7nsb05HO23q6ezRbRCvNITPcxlF5w69vt6yrp5kD9ulEprjiO0QFpmp8fhNJRkkrx
kCWWs7cX92pFZoAKIlro+ijpobFu+/Yx61wcTWnFkyennSiQP9ut8dNqM39fuwjTAxyyu9lpm5u0
NV1CEfB3KKcBBY2RZ60pklrnoydZuhkT+eTF6X3sEcT16wdFTCcym86IVpl6fOOEwt+W/the8lMj
Y98bg5eclxRbQJ68eIs8l0ELt8O5mOBtwEfctklRvcG4DNdiuLTANRxL9qcdWnrMarJf90EZfBCb
YAAZMopFAqBVacTv+cpeHtRWd8DC6lOw7IwMKZ0L+GGxa2p9/nAvy4WPkKj6cirSUymMYk+j6grz
Q7dL0EMbDQrbHHL4KVU4TBqSwVDnPh5U43l121uxeFM446uu8f3SfHSd0Glmk4vlYcalASvzYNi1
U9HvHYsMYw3uiRL2dFb0Lkvtx6oMUEwDfEqM+ltSDx8dttbEbGgNeldghXdx4uBxK3hmpbrTjbYi
r/SMw1DqqFw51Sm8612SQzXwHVqdxKGXeYvLw04WL7T8iiNd9tDApyhd64Op4jlSFi3fdg3Ww9Dp
8+LbMKLldJEvXXfuGwrkeWzc9GN+YUgb0jdC0cEIxCEbkrvV1uO1seTf+0w9N5O3nNXgx9Qj8iRM
tbPsIFA+eEV9CMq0CcshnUNdFzwpAkRVW3hAFilmpIXkSI3RG+ix2wiQr2u+stR4GUCefL29D/44
nGS1gi3NPVDtoLN0DatpSeJH04engc/mFTGNDom57/LSPEyFG6PqkfNPoY1vy6D5xNpBQkqbZbfE
tkdumEH1IlXB9+vnr7MUv9LeVo9yrDEy1LBdjcKCyrWgDllmYvua6yva6tLJkTbblRGES7HeZWli
P1h4AECTDA6nDe3rsEezH859FgDAaF9Qnl856xaFYE22G/9lqIA2tz3pahEUdNE7TsaOCgY9J2yi
lDvPZZPCxKi7C9dY3fOSEaloXTx5k3UP3KbaZ0FpHbUCjK6mgkIJ2qJN767rkuR+wJ9L4bcVyOgM
UwL20xJ4VMp3Si6592twyFoPRbNv9oN3a6cdRpZpSZJ4N3XmAitZegnVVRjOziXsWKpdQhd6b6N4
B1dbVL11a5XCKWDwNLxVvc64ZoxEjiGuc5E9zRYFymgucJ9c0O0PvMh0akhcowhsHhqbHnmBHSrd
Ew4tb57lLU2kGrN1I9Mla4qcacxZDYuro9VPmuJ2LIzqFx5QC41Iy/bdKV70KnO8ZYDBRXCH0abg
gRwCwgzSqDz/5WZzXr/UsHSyXUUEL/bKzLT+VZUDh76JIuy0mHLtv/WUW0sagi8UR7n6iQaHuU8S
hfCyhhm2UH8Gi7SrO9OwT3MVGE1I7e+n1LZFFycnMgf/2uzjsYEdMKf+2F/QGOLGmMkSfE/6ms81
u+PKi6J1f+9MlS8fkzWO/seM+OQlnWKRRZIngY8Fxum0JgSpD+NkNnJvrVVxbZsjKFEzxyA6Y7VY
roUOSrmH36DrI8B8u4tQBNsIcpIOyYZPvgR+rC8L8eiYozpasaf7w6hTPz9xes5c91VM8aHo3cW7
C3wZBJcF9EH9nagva8IBfWezuW2Fv5sCfzJe8wGG9g7bELlrWihXUGxIKcIZwwqorF/pCe8zFPaR
RDdWoNhoY6Kz3l6PyVIi6Y+HyXySXhxkEQYPcz2OZW2oDuCpzq5b1zPSM1DZAe0QNsDqJzWZFLYN
tRlURrmrCXE387pNNbaox/iC1noBiqWccIU7+Kaqx8FwXYIr+sXzfVPRmb4YQA3V+7KTlrxIZJxZ
15OHT47aCA2PuM0pjBS9bYjQWAT29dmcxg+qWPVEyOVDDEpHj6geKltO3VoUlngw3cV5VUk/LZEN
ddBEAUgD+N7qjbJGTJdPBz9xexqi6WAip+hMa6837eiFgELVo4cpl5gUT7eN3vkg2z18HuQa1q2J
on18cAHoy9OQZNwZ2sWIXXXrN96VRzp3XlHj9iGX0iL1n9tl3Bso4Hx6XGVu3GY1sftVYXkur9V7
yyVe/tU6O4bbMFvALTlE2NYRRwcmMJATTDnko2IcKK4aKWoAzP8x2wcywvRRFitlGFG47XPdJ6lD
ywxgyHUnWv8yR9/zE9+/5tx0kuZEY2G6QrF/nVs0IAEQGKhORmNU91VbDWnYzHVLP9FZ1PNqNJJw
oUDQRqnPQNCfDECYTGrXF2NbjRjj4iQ/VENd0gbd2pb+DOonK6k87+ZU0ZtFH1ETEDlJjv19xmX+
jmIEf3jOwbKzxy85JrGVsZe2cuRL64yiP5CpBe21Bcp/xmwzlj1Sfa7OXcVWtpUh20+7Htb6WGfo
vMNJzEjVcgS99tkfXOub4eBkgJzn4fFIpxmhTjL4Oj+jKiWBz3Gqo+zL1eic8MnjbNCuMT84bvpU
ZICI9rM1Gcu0s+LJai9qt5o+E963uAH3gSa+TkH8Rr1sxpi0mHYV7kz5BLGx7VBqFY6KrHYxVswR
WU/lwpHphzfDRNjVOSeLhrf4VhVlezeDP7hzpEFVJ7VyunLUsKgxzcny7OUzj3IAg9O6nZlvMAFE
scuzk0+QA/Ncqo8GdjIzBWZdWtcjUr+TLCuMOgxz8DDAOZW6IGwo6MgMgs1TzElxodMeApjt2Qi4
CJ6NAfJhQP9VZhbXFwEJW6eJrgqfw5fq3c0Q4y+ViU5hqGN6H/0mal/iWe8pSnU3eJvZImmtPCvF
BEDkzYMbMXGh6E7ZAjUqhACQobX1lfHkYBpK9rlt26fYrhgVQdEXZgoWKAirsCFNRAjdQXmV+WQt
gR75sCLDpmKU5yGelkedNuYdJQ0K5m1HtTLsRV3tfbDSybkxITghr+yUpFJFme3o6pqdrauS8RZh
VvOK2JYthMrSUFC1kMNyssWaqv06JeyP5FFxC7dssX/hPgHzbPf4BFVWmOM+jxcjoESBnFtntPOo
+9T9oRVuc9VnwA52QbA058p0x1d39JGxA/jhHIKDO56apuHAbXzu09y40w8oqnkVurLyG7IRx4Ez
MZjDdbq4AnI8cQlWBMDqpkyTW/Q1/Jlkl8DtMosGMSbxcboDZiA+K3THIYg17LbxBG9s5+eZLxnG
Qk0zYnuZ+0NWYx/bLdgq883/N7pRWxONXAi/MpCQ8DTsinQw3so1H7/DQEPK608ALpCr+3si/fKF
lmG5RJMJa28nDOSi9HkTeVNolz3cFLOM9+3Q+J9iaNXNGGAZIwBu0UQNHJy2uagaU0Xlfx+Z1PGE
BEpfZx7e5b5jIYQ4FFhLlVViVs2SwX2EyoLgEwEgNj65+G/xmslXFHb8bm0RQdz55FvpntEDBZ2X
2Egfgr4FZuEMXvkUp8OVVCUEQnJxovVBzU+1WtLXYAA9RD5aSZQmRVrWbwMozvvZEOLdKVEdlKOu
3jPX7CjbOdi2jcIknVJrS/Wn1NUD3RPUdsJo7T3KJtEwCEiO50H37mfWtgRSiyAqwYFsHajClS9I
U4H5FU6acGdWpDmVGIW9n8zZedRlNxgnSavlhirMGFlT2/GN7HR6IN99UqVjsVnJCSGzcpb8aenj
+pceyzcNljlyqcSt0To+EPYndxan0b1P37C4zL0ecficBdi40wAjbu/2YUdnFIXJ5tT1uvSuSxt9
ZTdNsC9KL/cQUhnqZs1KhipNqZl+ZEkAK6+UQ/OclRkJ5oq2J6TVV2AAHnHYCnPt75FJ+D/52sm9
tGMERippjCunHcRzr73so0FxYmCr04F/GGkL0+ajKi33+Hv1OfMpmxMNGNkhTajtIicULO28lBxp
lr15cst+cStULCvYe9KKPlrRQc/HkvIGD9SXaWL19aiPtr0ElDAr885yV9Yl0R7r3pyX2kUgWuWh
7Ze0HJYhSKwLQ9XOJw1649ZkJBJFfcGck7/+bswCmrcYQro9agoojkEb/NCZMj/EiiVtT3mufUhT
DXPVVXZPEQXN0bkwBHtGNoPUx0lts4xjVKJHO7aR2wwegv4h34i4DSc0miOHXxPb88SIJzglpbU4
Z0vQ3Z+GkeIhekd0Vx3JTBLPBNzpkGhenVoBqveGEVVhDdDxvUdUA0E5dy5F57LrjrKEYsx4LIwX
nQEhXKHY+piX0R4OSjtlDeDZrn6RXsTXDc7jvZfNy0EkXrHPQTiAG8ppBXorJcfdLAofV44xb4k4
MXNHnbQGphJYIxgtzLl1hC+zfJ+2CRV7+gr4ipZ48A5mgxc9Cih6fyJUttydnZjuy8SDzFZmlt10
rE1PtiGJQjo/DpZn0cKz6x49aYdHBBjiaP1UXxdLqTVdX6imlC88wFAEW1KRZOeVaqb4GmPKqldT
c3YSP7u9X2NSLLkiyqS4xf/68TVacWMvJjjSdRDMd73IFrB96KJxIfDZwAwUVYOvrMqTOnh2/SQ5
4jKXj1ZD43TWs/OSgiPzdxVRl9jlZHSv0pxrjI3SR7nkqvQ+Heb1BoUVyKjVTfq9UPWmWMc9mt27
6GRjoNCik1FgMG1pB8uZwTs6MO0LW1XrQXd9+1rSM3pJAw9bQdY/9w0q5d7vip/m2iWcxqioqfC6
1/QAiNgzgWYV11hv8dcuVt0OP315qGEqUCsTI8ulXkqenzUmt9s1DR3BXbM2+gGST3/R9uCk6HJ+
mJA/dCgSaHdRMkLdeGmsYnEjTBvcUIinnCNFryx5EkFq9NFfp/+UabTWWDJ5tDIE7vtWLvPdCoWn
Df24Z4WP1FnGS5mwSnfB7JBRel++t2A7aq7rwRhspqLFQ7+DOECZ+esFqITzRDS4c5Ec5M0w37ld
QshlB1vm5mqHQ2qyGv6FGRs8+EURsC4xzpsQRd0mNVSILku8F9taQWWPxdERYjkod82ta9cLZHGt
vgjoK5z/S0erwMUqM3KBirjjRbB9ckBNjCkrTnZfdkEEQcRBlrFqMmNLTSMUs3Tm9//aBWjKxO6F
D0kgIUEqujlEw1rg9/zawLAZeItDJWrMfMZyTCjmdCpjSiSArnkzJLIIYpqGt3Q9p1gnHjpaODpk
ol0jxQkNJ3p69AqGQoQ2UVkrLlanIJcYkdcJHIluxSgb3L9U90P/KyAc2HzEc6XWAhCTlnZ1hz4t
yMEuoUgM8cdaBUhwTwanIHVVfzTdTQ858aAe17hm81pWnguUzmXxYlRZN4TUfl2auah7WNXoNH8F
PefpbkbLASFkVK4XakUgtVu6eBVhnZJXhZmbcScX0Zb1VbvMZn7SJe+9642iZqSJ0fTfWEMuhc1m
dpJoLmdNZSpmZs3OBissQ0sGyaMaepBdgVLJRZvVcMdNdxD4rLMCN0dnWQuDPJgd1ezWtXaMY2pm
eNF3CAMtBd+7ZZgZYREmQt25KKU8Ywvfc28sX/66hz2F+OFQDkmhT2NdCGfX8dtNSL4afNClHO0j
lSB6wsIeQNpkTqnZVXzlhyIVAhGLnjEGlWns+IfcDpz9JPCv35MvxN7RnTOBOWGqqg9GDlGlatJl
qUJrBWdI6U+Jp6TuZfc4o86JL8jsWX6yn+nDIIoqXgY7YMlnVF7gtXpFjGoon6xbdBYx0wPdFDAH
xcWSAURDgY8/0HMdnIbZtH8Q5fuvRRdHOUx3FGTYazY1r5EkD0bL2puS+iXJmIIIdfdmnCRGD5u0
h1LELliqhFEtdLFxminUSurT6oPv2AfZER2Hw/qgxPzty7b3Pxirp6X99b//19+mxv4dQ2rjA8XB
+F+jrK71//0/JVin/wRZBdY//ugvmBXjtoBPSYi122QGzzXxk/7FLrW8/+Ax4SeeIzk8sbn+J7vU
+w/+BAOwBSV8M8Lij0WA/o/ZndBObWwN0AJNNsT/Fg/8d+PpRpXiDLACE6smNcnf+FLESZYex2RA
1+LekEp/9pN+MKziDyAr83fXJ+/jCmF5vuWZ0LuC33zNdlWZbc6Q0LBiKsPWIQacvFK0mUlB9rYN
QlwslLDRBpyGYH1hzMTnP92Vf4PS+hdjNR+A6qKQJkwJy9sA6//ssLWN3qLJtRVzCLrBFZafeWed
pNF8QsWDWpD94f3+7Te2bOzLzMTBzS1/u7IjA5JclJAdp4dzcmnWREFu39U17SwqSR+TPX7H3IPq
3V4Obl/oP4w52ZbV323ynu3bX6x3PLae5f/mzzckkIxZIo+bl+qtr0Cf08R/z13E30UqXhTjOvZk
ZmjqyyWIFAHRaW2nIFoX9YDZFslKirirSAz6tzVALuSN3R+c1v/uI0pB8M4olm0F/vYRqVXYSan8
fsPhhmpGmEwn823rGqEe5qht2+UvDPN/OXXpi27/zxZo1iGQYNszAUBTwvj6+T/5yusJRqHO5z5s
s7SO2oJOG2mavGzHan6dDUkgunncm777KF3gMjHsnQrtkbNouOHes1XFt4nB3BHcvGTmFFCTKp/p
gg0MMS39P9zEf3eB+Ljbs+m7FnXEvy/amrlkhhzIB62keIO/u+xXX1LQb7cCUD3uB3c5//8fk+0V
/3595EbKw4tueWxK/m+rtpaJZasFWLyZFSjYNyxapstPJ5vqC+X71R/AA//6BZlKZAorIGWyUL/+
9nayVYMwXCIY9GvuMUZyHhVB2dFNxzNXoyndubZh/eFN/+U7+gG33wQqAFvAY1bD36+q7uLCWlY0
Z4Rw8E6s5aEysjdqvFerXMUf1vg26OlvFxS3vc2wIf7DuSB+fzO/gSukCqVDy6FI0/Yax80QDWpT
Pnr9Q0+at0sqRpr0y/yH1bNdvN/fGuU6e57YpnN+sQX/aa13HgQWyX4e9qNGg8A2VJTFp6vQ/UGI
HZhMCOMH7vEfvjFIxX+5woFnBjAGgBrw5a3gN4+/aAB15R7d7caVqNSls1+xdDE1MUsvS1XduJvI
i7pThUEI2ZDoVHenYveW2WRZOE3FYUhAkzpI4ELt4iLFa5BGcT/1x9GojmRYMdMKHa4gL/HGzQPr
5GPhSZjdNsZ+NNb+OcGFkTMqmG3nJHqsSEvBwwTwgP4QUJjJ92noY9oPYx4CfYOlHxeGavPbOJdy
pZfrOWlYzblEq4p8U9Fe8ARUM6uqmDyUrxkt3YUdokq2amid6Juk1dY5r/uBUpUu4iCiSwr4fxyF
dduSNbx3BWMRdjCyE/cYdO3SRlY6Z4cA9+dmj0zdMnRb08dv3QIULKSOy13POJEhjKXvDpeVsxk1
qlrXF95a6gU81NBbh4yeELoAOfrWBaqe6kg/OWh3GU2ie8CBGmljSiEcZkKCiJHG3qPygRTsEkSZ
P5fSzUg6lxjGgtu3fnGkjnYPONtz3pQ927+YzWo8dxUIPHoKM5JL23Xf464Rvxxbv+dBP7g7iHJq
gByXQUee7DaCxT2jlDEYbHNkCAOyyJEoB2VKQmOXqZLLGHY1PNsoZmKGvMqGiZvtAFfMk1iFeD+Y
OVjS7nFa8qG0zz9zRjZEkvpg0Laot+scAFZiPnXUhdET4FKj90YR3kTY5EzQhRWYQnLzz2KA9ZU0
zasxUj7xpu2fly5jtLeu7rPS7NOombeeIWjGC7dN3uygfp4IFE6D7TqnrmRyd6q2kYbU+naWzR1i
ZgPV8WU8V1D7ECOAT1/XY9ehj5t08EPUcYdMs0BJPNnNPhVdfoorQIl9g3koY8zhrlL6rd+GCLdm
ae6ommXHmkHQ4Vjicu0kqmc1zrQjljMw4Nu6bm4wPB/QMwAa0EYVLX7ykcb2zdAERuinK3/uLsc5
XjeT83J0Tf96HimOz1JKIMTGJeZDixLJRBOFGdCbMoKifgfReCqqp6B26K0M95X0vBBdehoGGxgK
Nd+bWTrf03h4QszzAomb9MgpLrpgXnc0j1wN/QAZeugHoJd8A8+Z4bRXWTmhWGiEH9qrpITpSRSU
jECrVRocvRnmRqbfUvp9dAGrc18QAooSP40cnMdAIUpsVsyHTV5Hk2gz+Pf5p27S4TS1LpJg/Ao7
205ZcRRgcep6lyqbHpgIf04tpCV5kHz6DXdqGQooA8Vn1dLAaUvaUYhjES/dNrn/UCzrPk51xHwT
b+fVnK5uXV6YAamgP04/R9fFC+N/tsuZ2QE2dTSJnrIfr2WsyG5xq20lOMS1OORoYBTzvkXPxFW1
iZ1KLl2ilkvCl3o/IGY8tPHcUJA3mS0hF4pjuDrsxPjhdeV1kamGahjoTkyauxRpRdhWwSsbzYPw
+yuvSZ4xb0BrSTgHu6kl+dsg9yuCRx69VGOkI5kcdokxnbZvnA29j7l7oQAeU5M2ctYt+qed9uF+
FiN1aWCLImxFb/5QS3+AnUOyLBAzYY439rkGYNpwCcBkbZ+5Gqlr6/d+iB8BH01R3aSf48gNGwnQ
LcWDWGxxoaTAsYdgFcIGSyJcoGBE7wG5IhQiC69Y53ls3U5x+mk760uxRZEMy/pJrWOIJpX/ULO0
cUFyQjEeAD6Ypj/N2PtHWJjBzkRlyFQZcasEwZURqCszLp+AVjBuLnNveom0uqvR0OFd/lxiolmM
pP5epDNOBCl+qpZHHrUUCpbUPsSiurPwr0WzHZzHFAPzFDNLznLT/cx6T2y+CW20h261GKfD82JP
y+WqMTevDLHOtMVQuax7NdpY7+acFCZtiFJl3TwwrWxC64liMSuYx+OoPeruN9aKQkncU+LuGjyb
XK1kLt9GW7xQCDs06fyD9jkk365iNfY3cWW8M3MMp+GAl2hqKVjVzJ/HM+vuZoqNxBCclow9YKmj
Og4ZJnmiGUj/qCCnMW0m3wmZ/WCTwXTjfre43mi7S1yzXN3GzC9R4VyBhEBr4913Q3Oh+g5cFuW+
ow4atLY+gwSBruJrtYeGCrd1x5ZJmy3rK16+AtzoPjAppghXeue7ni0w1CvCTcE+rYLthAvu66S4
7GrrlDuY4ycuyVeu1VdvfkZL1m4Ju9PY+CCUdFvAc7bfn5aM0bVDeujr6i3PWAQj6dgCc4DZdmDa
EV+VL71CM6uF2TDVgnMxbpkLO6f9RWN1l8os3nwJkXgWjzSAoMTr8c6L/Y+vMNJLeSgxholvUOYp
b43OvvU2JuZIy5Z27w2DDFh3argq+uk0uAF3Ke1+OXxDBPaIa3nPOYvrozCs/NK1kIMFrsAYEMhv
sOxlVGOKoNRNdM6dbfYYMrAIYxGiFE27GMsXgQbD0bPBw7DQcYS4qkX3DlbKLpq7LPYPvdQ1BeeB
W63f1wWrpPge+OND7QZMppF8okm79sXoOQwJyZnpQS0feU0+PhHfjFHuQTaccx6cPlgvUdq+xIWM
GXQHtcieALws2JeZVYZ5SFwhxCr2Q7aJ9O1N6uyzQ2QDLghOCQYp1M69v1iXsTNBfzE0zj8rvXY5
z4zJH6Ky6h8UfYSdUL2xSzNEk8IH1kmmi4Qd3MVeYGCnJk5VS3uf7QiKGgTIiga8pYZZu2W1r+HH
3JJodDcJ1gq22+RAHnMxBhyhiWYYGIMCXtljuJI6qC+KossOuk76K79Y3WfXzDnCep7U2CJzJG5j
Kt7KuztZ+yPATUBLhuaEYa4vgMXSq6GZs0taSeoYKEcg21uuEuT5oUVj/CQoqeFfcopHiFXfCTIC
1OhOe2ydmXmS3JSIPfI61svRXFR1JRIcsQDxzIOMeyu0lwkJ6LDFCAJpUb/8GB0knMhy/L3n6ewG
eCjSmVWKAz2qmH2sWshw2fRTV/bYiV1nrzyOKwM3YWQDijn1Aeo5nGZ7PKh7ZoANJ8APD1ZDNmSS
AuYrmwPqe3VDh+cbayJDeaCeTQOt3GDPV8a6TQGv4AzRN3kohuk74jMDMGL8CxTUtW4Y6aHoyeMU
YEcw11aewNDYNH6wPKSEnnlOlpB69IKgX8fR0HGGiFw6F187TLqFZzF262gsK/OGl0sOjFq/pF3C
69rOlhDzSay2PxHv1hTCMWBgtYWFOjre/ZQWnBQ23yVvuH/Cz/If3Uq8kGcV4wfoQNN1N8n6kZxq
qW76DoNpWXr93qPthCkCI18FatIKUjKLFrBJPyfP6ySQZHEs4QZwb1Hccc0AhR0yl2Ry4NGIjNGb
Ga1RVffIwe0zFijn5Lj1h4A+xlitpGEy2tCcvZodNlZ185g0eXYTD2176HWXEdyND44/g+3I8/XV
LXrcgKbtNJcxLxytuaYHIjkOoTNerCTsmwnIZ4RtdTt25Q8xrA+WcM6mY/yyeg021WZ8hmsT4mSx
M4ey0MklbNzkOm59RsbX5aU30XpTuYRaXjkM0ebcYDgBlNFleSB2qkIGJQjCrTrbxMX2TifcTY3s
fYcB36AjmnAB5/hzVMzkdIIPX+nj1KVIvTPr1BTxsTGLS9MZbmDE2/aA8mZa3OOq/3E8YwuorrUT
PC+tuIXclQHl4uv59XxZTIrZ8xaaug4oFVUzGCLwkkuGi/2Vsxuld4splEKecoHeuPVpQltNj3IC
R2J8guI9py5esLaeN7rwpVwYOAh0rLebb3ZJXO/LUV/1sgcHvpWAZKXYpF3ujAlRAAYYyJwl4Qdj
DzkbkXIAtXh6aMF9Ycekh5PllNxMWd87osNirWOcCuwAaVe/g0En3l7X5jmwptsJR+bF4OOOijkB
d2hjnhZcCCA13JDQY8ZUzjPrLsMlHmHEE8mI7i6NjxAa1kNhtvE3D+dlhJZFnmnuMNUCse9ZOzlc
HaSNDDtH5GIhKbLM4j3xoVIsZh8iiwGwZwBvGa1hm5djhbMkJAIT3+wLQSA5lTSSEAF+ZnHJCRTw
CAmTG+pUFCuMyb3RIIR36Gc79LNdx3AYTq/FNb6b7RcttXpDSIPhsUYzss4aU614SSYDtyUzeF/G
rQcSNyklLlW8KpuHq0PHjcJe/gKYzsWQ63jUtHApTGJNb6r2OUn1LS6hRy+t3r2EIba+mxJxyfSG
r4fkF6JgOApaPy79LdjlRGF9Zb4E7QrfzVkZiWOcLCXgdGWyIwGjDvJ1ym+h/iCI0L/qMNCkLIgI
K+sDel9gkPHndfHLk0/ZSn5Q0Kr1G9TBvqeAe8Ymd8xe9w2C0SvQV5+QuzL0hfAtgBgQuZmQ12xM
uvTTOKTiQN9mjTE80IB9tvLi3NWAtUXqAKpIRgQHiCp7R5eHtnB31qZswFBFUPa1WVFLOjTOCmXE
du9VTMGkcEoycQMIQbgEJqaKgdMwZ5puONpc6XrDP6N0ZAQw0DVZIqUrM9bQpmroga7pQRxnHZzJ
fBgEIPBLp3HwXoltDF3F4PlKETJi4Up29upBQ2YCxDaSC8Q8jfPJoYBeIao+qe3fLbf6TNbSBk5k
viSV7k9F6/5CycHa1fknyIaJnX1oD18BK3Hiewsy7f+xd2a5cSTplt5Ko99dcHM38wHo28CNOUgG
B3GQyBcHJZE+j+bzZnoLvYD7drv31Z9TyqoUszLzZj8nCpVAKYsiGRFu9g/nfGfTsPW7ecsoBAdC
LeQx7ZNd/ozbABLVKIChV9mzi9kYNUFTY3upgNstBqhGgkym77hpDXuP36a+CoL8XmqDRhhUYRQE
L8pR0wMre3Vrh3FID8p8WU5nJdnXaycv6+XX7T+XHPQ74TbZzkAxuAmJNEOG/WXG+rRqrZihgRU8
Kg/oTTNalwhoSd/MjLXvk3iVdP3HMaYe5xVBUtlEwGO8Wyec2fglPNLolhcbfZNdih4VlJ6gM6Ue
UTSokBXqbGyPlmX2+8SLuqNBeMUxD5ADs5PQAWtqi3oA6yJBFgX1u/EprOC3tQaj18j0PlMAm5DL
u2BrGsV8COB5bo2WvonEBgTLS8nqRTVcjRk23qTl4kXWn3plWDs/d0kGmxd+TnY9104IOM5ebOqv
hpc8oyQl5mhg5KQqMtX4xDOoxbjW5ilgOFzMg02Sj+j2FZACCIMYivsSkmCNpSAFDjEmj6UrIEta
+SXhwSdV549oHaGvmx8bBlVrXfOXJDbXZ+aa53XLuD/xGSkMM2YrW6Ty7K1Jcat8WcWW6YFwIzz4
ydgDlAJdUFgPbyVIbJl6FUzO19LN+ru5ICxcQcnDYPUcl1IeCp/PlMxjojbqe6KKGcxZPCYD23a+
M8dXrrLX0YHKkPU1ZUNO0A+wA25Ti9yRVaGtyxjqEq6ncqspljANRsNm0NW0WSpcyvuKWQrRoh0z
t5Xs1LOOWGK8jRM6Qyf7uQHIWCiOx6gFkdCQciC9mdwsvjuzPY7TJOA242g0w6V0KEaKDJ0/IDmA
lNW4d8v8I7OoqONm+lg2PNkkgG1yxEnxZIMET/WNG+ZbSbfoZuPHkfY7iBaySq1JZIJfXWAbKkV9
rdJSrlQ7neVEgY5BmXITi9cMmNCmEExiS3NS5zAyaX+XG62QhFNP5NPjqJ/OjTRGQNITMwC8vT7G
E+fKW8MnXM4KciOGlRp71sH8QrTKhMBO5b1MmmfsepAJ+mhk9ABb6m3n5Xmzv1Wqeq2sEqz7knDG
QRlP/bMKMJHxzDNyJ0wXPTnnp8+CuZqoPEyverTcNl23HjM2BPR6Xc/kDPqBz4sbbNo5gY8LcQBS
1z4GLdaaE/PTMMLAmd/mUX5gKw7nJQWmYE9YEb2p3MSYN5wG7kfLPASE+AMO8gmWWRivFFaqsQFT
wCaVnDPS0cY0BXIVSMLZggoxiYhVf3J8wh4IGfea69Gi8WmMfgfX51CZ9DOWVcIiI+G7XroftLs3
0kU1lfTeHuUnfg3GcEyv72MsLZzgdCwIdqzvey4UeziOtbVFDLJYj+erEeRZXKKrMYAA2NgkdYhn
Nq4Kxm/2MvqJ+2lT+yxlNL7qKW2L3expgt5iHjbVP0Ze9ui7YBiAHde73oeeZvaZy9i0JuGPGeVK
mgN92zDDAELYs+p73gEmacyM3FHs7NkszsASv7TEgtxmNDq7cZYsZubxBRtysvLTGMVFRYWY0Gdz
ZXOkpO2uI32FFnYJ2IuYflocjg0yiDGdbuJkHDhF7Je3R0aj8lmpJnroBrXDGnDrFxB0Jn+4zCVE
S4hhZE1MajdYxLd6jGXwNh6Bk+GwLXkknQwPhCrVHvkrEiAAjPhqGd1pe2WJ4pE389FCsPC9XBEj
aRGNEAnmcZXsQ8uFJcohAzbrnLUAAxyV17vJzZ5TvJibIk3dNbiAXSDTg79ciWUAoHpKR436V+yF
wfMCEAo0mfZ3QDeINkOMN0N8a8iMsyvTOqNcgVfBUbnplwOo7wX16YQXjAtbUnQxlEa286ke6C+s
urbWEUnce+3CU0T0+EjRMpAI4ql1V1LKYiq4MTO17SxukqFpjj74Fr9HGz+p6Ybr/zjPoMingI9A
UjI4GXp1iWjpxRzceaUF/+iSt1ksLeRsAKrC5Y+9wzWelvPIk+63xCtP5HfsuyK/eZvW4r7gbchY
UvXpt8TMxvWghi8ek4xiCpvnBNbDpu7Hc1vhWy4F1v+phMmykBBWTYS02NDmI7Y4snZR/JWZ9plo
m8hLlro1hDq0SYelKGs4wie4JQx0sC31J8T53IJd9EweF5NvnOu1N4ATQbJFncwp4JcepycL/01U
ByDvLRqRpJ2+mS3AMx4Lbz2RH7MLK169qEue837BGofoDdKE1bRsEUnjED7EzsSLMbR3TWp/qmYw
dQwNxI4LFCCKCTvRrTmKSCr3tyG72dUwMvWix4fv5WWvg7K+YduZVqw0e+yDpNYUI+AZsDeLOo0S
RnhqcRLdo5ZeUDXyIvPDy4n+lTH9MzrzHDuzVXPDWM7OzSh6Rrcvz6tEFmdlmpLB57BIuaQYIaym
XYbQeU+JT+py9H159rfS5k+VNoR9CfaEv6+0+fdvz8U7oc2Pr/kutLGdDxJxiWnyp7bHP1jFfhfa
2BIJjinRyyCaATkuWUP/EhLsfZASKZ1nW8hzbMvkR/in0EYBzFCLnscRvpDir6TGIap5t46l6kWt
wxDA5i8jMWHZhf9qHTvkVRBgwSE+ZsL/taJL7mhZrX7rhVa6iWygq6TL1DweS1dAsFJeD+qZP4Kz
zzpBnodkfZ7FiWpPU0I/Odk0Uq2ZZ/sUHT4JjLM8ib6VF3Xcss9QTbPjmPR3tWsb5yUyyJvYX5Il
kdwSWpN700teO/6aLnuBg9bRXtqhe4yoLM4Cd6ZoYNPIhL1LGM0gNG+7XO+nqQJzyLILwelMPFzH
xmdIh5NTxxJadtOdzT1VXR8N+YaFXrPpx4K5A1t4IMuyjM8CEEjMXOpLZQ4U7lk/rhJTjhdzkc53
ScWqMM3QWsIJAUmH+nIXuK0HVDyEM7T4hlVuffHHReQHFe8QaRCqHZ71Zmu6hvVkOYWOnyCsunAE
ndxx7wdEoOtOjP2xTfvyS2Hxt1MzVaTYInycTM4n8jyOlh0kwwXS4uA2xj8YHY3Q7919S3N/qTHC
ocCAgwGhhHPBP8goYTtXMwN8mqLFhzOIzr/JPdVeTW0J7WbIEp/TR2sKoQrZCMv3ouvPVV3oTcno
voGv6JKgjMVrvKf74KpAoykOQEvbDk5GSu2btiNO/bLShYdNeCK+nDzjDsNlkmBzK3uGzMrFyMSw
nAyslBVmvEtd+NarHKuTQks9GMEGRJkJZM7Wvb0uwA8dsBsO97VNGc8JXhe4TgAIjruUQcli6zCs
C+XPKrsPCYOi7tZxxkJHNNaqYgtFxjGZJp/TNOJzNFAkcAj6g7qunShvr8LJKpsNGQNcenNdJGed
wS9E05H73jpMRcY2H75qupGlxca7rAg7oeAlD2xTWb5DDOxgURPi55yJ6QR7/iUJTQu+l9OjBmAc
oZ8rBELfjKrLHovAKp8YFbgd5lcNU9TX2cfQglGyDYtRfxQJKQ27uanm6zGEKXYt2hTHnaPi/NJt
fOurCeHolf/6QDmZ+u2BjlDy4vq76Gx5dCpjgbUkhbw2ZDUeisG4HzxmlWZQho85g7RTaMzivOpw
wi+dJoSzMbL5vNfpVZyGMFPxFTqrKm1hkztQnhiLRlj3DPpV5LsEYPXKYhDGjNotnyDfmM0r2QT2
tTM0PDtT9SOv5e+b5c9vFlN6SCt//2ZZcSDG+mcNp/P9i75fLdL+gJ5FCBe43ZuIkLP7+9UixQfp
LwpK6aPu8d7uj1+uFv+DifIH+YirXNtC4vbPq8X9wBdYaDeXgBEWDH/lZrFN/qKfhD7KQ0Vnumyd
+H7Ob0Rt0o+LPGkDsYG0lJyypi2ISk+WB7xgRjEEkFExYZRf7cChXfZSOcU7m9l+iqkBCDOzBbuE
j18UAMedEnq07Mp5JJDdRgjuZ3u2ZcXeU2OIzLmv1oJB4X7MW/8sUDgWFDD845RWl1UOeEfWTOtC
HRdHimuqSAQ+24DhzUkw51wPdYqPoOuqfZZl/Y0b62jTiehLFMz2DcvpO/SwET46htrtYgIbqtdM
MTGFkk7U0kS9x9MIBdOTd3Y3AkiDCbe3EMVt0hqwRyuxPTnNgJGMKpmAprekg1Gf6qb8CLnrmKK5
3yIluGfNCxCirtm2Ic4YkvJ1ruv0xu/gvXRut2whgFOVQGoO/RR/wzwmkbKQJ28nuC08G15Kz/YX
0gvYc8al3XluoKkHeMDJEz/MqGrpugIL5cvwDeHJvFGqT67wPDcHMtFJpkQlTsAHssxetKA2GfGS
7Nx+rZjHoZGhIeuy9qG1EAgh2WFZ2jOQoou6TVzoe9IqvsgSIb2hgnHn1jDA7KGID9Ia1EaK+TLm
CriMVUTDW0MPs7FlYILiZ/WH4QrGV7gu+/Gh4zU2koRk6NF4ZLQV4W6MH3lDqm0apo9VxokJIveh
LDNzC37n2BQBMXbNSMYVdryDC9YP5Q4VfmM6uEYNnT6V4wQqb0CyYETYSBmGL3slWORr0df1gdiC
fI9p33iqJ7s8F24BBpQdzB7nHckXbSI+SnRONDDGtwgI/AVcB3udBcGAAJ8PAbOypSVhV2haA2lv
PcARM5m8y6EHgmoWCweP1dWXzGZ15XqU6Q1eAayOOYEY6HIIhM3CT2ZUJatxJFq0waV/mBpX7cah
vw877MCBRVKJOSImQsVwEQvvQWSev0PsK/ddaAA9KSBfIxybvCsocOPKBCm+sypjIM/TAzZZ4zgz
jExvSavtj41nxpvM7xgiZD7etcImUCosjD3yABYCOnwySlAgGRkjwLsQUVnIotjyATrsFsdBn/Nn
yDTCPen1l3ntXyJR3ejEqh4VSGUIpCxL0nh21oh14kPSEbgi+EXPfVM715WsBEs3/2mIwnFZjLMP
A6KG4HJ4mTr6OKbBX52RxPYmkOEuCSp9gVATOixOwm03EtzuBJL4CUKemEnwC4i0MrZGDk97KJ2t
VffeEZfcvGmn+qJTWHr3yjTMkOm9o7ehZM8F8ZcVQwtuIYLhUhCVlmd3cbZUvIMZEwaSljZb0Y5c
v/kwEa+TXw9hqsFfJFa7B9ZpQOvOeKtP/Hj9a6AxSa1NX9sd4TWFeBgI5sUexIbdYliBnpsIBru/
UM0cLmkhIr8qjSF8CJJ+rBgZVazaOqRIu3jkbLyykDeo0yRsmmUnMaOXwdDluZ/EQXKIwATVZHZG
8Us4CxhSxlAFPCUNAACgCGH7VXHuTvupzdjUk2RgXjTdxFJl1LjzzSrk858zIyK0z0yuxrah7PKa
ANt0LhTUs9Jm8bKWXSu3/ShTMIiJM0x7YEswWMYG0cot88+iPrmmGy3xDu6FE/ut+Lvr/O7H+PPa
APHqH/o7/r1In5v3bef3L/rRdtofGG4jJcbuxHT6zarxo+00P3j2IjJmMmLbxG5RhPyoDaT5gXbX
Mk08F4K+d/Fd/NJ2eh94vmgTlWMv6mTH+mvFwaK1/UkF7OPGsgU1Aj4S9HbvJNajLYPRMUhqMIoQ
ZTWgEXq7GbPGV9aa7maSndnvhiTDslb2Fqu7urNPU1O73xprcA5h7xvl1tczN5VPfjCO58pku+4Z
vbPzvAgFBAjB+SMyTN/d5YGTf4JI04lN1A0QxWVmeJ89pesrbHX6JrTjZB+PunnEu1AfpomFxJql
svlo42Z8Hh1Nz4PMq9H7OXHgKHdJTdE/lp+0M5igmYzuWphV/Qi8Tewiq1AYKbBeKkCK5za0/y86
02QGRHUyXxMlkN/BfbFb9jFJdY7SwT2L+0yR3L6ozIK0Cbfl6N1QG5lLAmnxEeSg2mRp5BE8Mwm9
MYaiuSqEM2wsp88TdC6ph2OiCEoDkV3hW/vEYEMTUvVnB48lZb3VtHAE3uKTx1Qq3IMVmv7DMLlt
dxEKRhEIgKu+vwBR5ugLjP+EzE4NahrOgiSGIeumDGzJhym2GdkEV56lokvZsjRAHQug3M+IDggH
e1+LhWQSTxo6HMZTPW0yQtHmTaRtaSHNczlNvJgD1RwJO8IsNnR7pFPDeZeQyaLxvL8MI8jdKact
KQ1Adyurm7r8MNHrEJxcMW64T4dyhrZIuFK3I/C3QF3Sx4xybaISih3SlhD9nU1mE8haA5SrxwWq
t2lO/g8u4XEQm7Zx7Y+jEs2LmiQ9axcmQJi01ENA70M1u+4akViHOEFntymLjJ9DRJ4bH1M9hw95
rqF5S5O6gHCRzCtoDxMQgjb45PMyjYR1TiaqlV3EkTeHLK59X5zH8F/SbeiimVuVaMprACOhAiY5
kaRQ7mLBsAieUkkt41DZJeuhQFj8SNGGGN+wlHMayBMBOAgqw8egbbvHjBpsxzJWHhxbV598+Kb+
xo0y82FMTCR8KNSN68APR00AbuoWiI2N/i4xvUzvKu5tNNaqq1AxtFHwiXlCfaD0ExcjZMcz8LPh
E936eD3FYbgxGETvYjvlY+20uIYDs8LS2OSfRE2mCTIYBq2WOT9G2J2vLVU1r41RF3dVEYgti5oF
NU9803keoLlGTul1T7UxJwCWpEWVnFT7PlH5hTv1weUwoW2OPLMbruPUkfsGzBElSZlQtEvimIDH
xd7XomnlA1sU+CnZYtBu2ml4ySk6mSqNxYkj0T0kLOcuclCvO9zDwYUtJr1huqPOMoITyZFYRk7l
wEpmH0ZGchl7s1cdIcD0ZCmVA8p/ObbGvodJd/72nbhEky+mVWGapqE4H0SF7kBTd1srMQo++MJi
aWChJL12XTlsh9pwwOBaoCRJqyG4ShXlTRC5Eepmj7NAN5IssQnHu32GRp4NOVNodn4uOgPKBQVa
ZSuF4SHlHjO2fU676OKMri1xSbEFTRCQkhCusijcYe/t+5s6TltIMWMdG6vMXkZieT8oKrGIT+96
GhkGwYYwz41QFwDzC3mKBV5sC5U3UvPSJ7A7XdKi4irHf504YQwjx+ibB4Tj9aHjqdjM/JDfutEZ
72mjBkqtbH4tWauzREP7U7E7RmK/ks7gfDIYchSgN2bcZB6kkwrahzdNmL84P1aoFeYTS17d7KoJ
TDRRYyGUK6rHyNlYXZr3J5PApAdy36hukqx292arYYFVknQyZm1+3uydsm+PTMt4jlguGIys+qG7
zgwX6p3RzggO0tqJH1Q7t8lGwQ0krQPpXL8dGHqovyuW/2LFYrNN+cM5+e1zrrvi52nGjy/6UbG4
H6hKlrHEd9up+etBuW8pl3/J2PvnaQaDDpd6xHbJibWkyUz8HxULxYxnWcp3lYn5w8Lf+VcqFst6
X7Ew9yI4U0mTeTkWIm/xkv5qUO70TUqwMRGcw6wMTPVZjlRKBgPzPVSjnygESjQtcE7PcX7nVwSg
i+Do90n12nH2MtzsSdBAOKFgY5CjmeymEUw3ubb9pTNElV55E48ITuqkAmobVte5EOqE2ioaED2J
6mMfE4eVuvEtmKwgvgFoEzi7aK7Y/nAT5d/gdk7OWWAr6ObGYPFAkD+iL4p8NJ8zD37iWosYyUEQ
lPmBM3txpdTtNhgRpWjeExyE2uF0d5Ug/s7Q90GReM9Jlz1QOaG30BD9zHl88JI6eOb+ROYUmOIk
02nPBEDcWZrlVG1ipd+g7Oa+rOPi2qvLZ60j976Myv4Qxi1SqFyXlr2BYEjLGRYOunEQwSi7Upbd
cx4vL4WFInHo3frwtmFzNGoEzUrgs+lXw8oTGqdjXLVHJ2LVNVSoVyz4Gi4GSeFdFEXiHoK6+tzm
Mv0iJ5JxUp3HVzUtnajJCyE8q1SIw+C5IMvNYP0uokyvQ+7DQAJGgnABu3bYf8L2WzMHyW6OXQT7
zWRc0HkigsKuekaiFWQePGUo5yKW7oUXv/p6Mr9kgo4VGcGgVtI2kCZO2K7QUAtjZwBZODp0eXSq
dUVbO8c3s8g9dxVErDrTdC6PTNKIMVlwD7wuhgHOOnX6Eu+Zqi+SxuuvrBaqZ56rO9QD/Y0cJ/ss
DnOQpLUgx1tTahh3Rley9AbdG8YQ7GAYrWRuJ3exFYV4pdLsJiAt6oFm3t8j3WQNCsPdOXPCHOOI
l9ow54y4C7epq90zC9Yt7E/vhlaa87432/E+7ri+Vk4jcGA0yBowqYXuXiVYzMhC0fw7osyCXdSW
7WVKyNc3o6CS11aEgsJisRyBoysImyKgbm/jUXnJu8DZq9ITm9rD+kEHXHyq+2k8h6L92RgATLCf
qaLPNfwbklLz8ZNy/Og0pk53HJQsSbXtmI0v5Vm2daLKOKQNMWaC1CEkjs2Qr2fckCBoF+VejY4i
sYr6yoUbDkY6zPRNREvxYGiPAnAMW8PZpP5c+ATzEqkHBi5OthFy5GPijMievAai0llWm945V3F9
9GCIrseectIB43ZTG3awL8LKP8vouNeguJLzxJYM0A1jOMfzPdz3SMTsTTUU1oAmL+IHtwrr0uia
atvXbvUtKOLJ3JvYXC6yuqeY9ns7e3KrOQKhLlw3+vY2Wv57Dv+nvTakA4er5vfn8Pv//I/8P//j
//6v6Ll4+fn++vGlP6bx5gdwCR53lJJM3rktfpnG294HLiHLRSRh+cSjvuu4FX/Kmar4MZZt7j86
bggNRNRTpoKL9t4G9f/zf/xkKdfv/vd/K7r8uoyLVv/bf8dP8q7jVhIhD6N9n6E8Xbf3ztaeKG9I
ccOgCZpMw1t7CBIYV+VFOZ0ybHDVauyh9WzSiX4G7v8IOxb83oDDMaptlCZspIA0fTMsgmsD1R5b
5PLBmo49TkAKOv0rtgtqs4yVgLeecX21O1Iz7Jsa82GItbj3zyLXi7/a3VAfbWbxF1M/OTdI6icA
6e3IA+PjcWfkLLGgVnab7MG5kZWmoAhd1WZPArKem2hv2XN4gzCaAObGH+avvZFoQu9n7o25S6fr
oh3UBa+o88yuOEMgOSW7ZnRvGj9DJq6RP+mF/FKTUYE6FmoN7U/HyLDza2wsSfwqA+slDTPYn51O
4fkT5zBQeGZEe7b+tZ2yds6KZoT6ztWLX1NdybrT7O8CJOW0cUcMov1WpXV67losaUe6vO4iMkjr
yPKJLKE5De9cUKoPCnjYzcziAzigzTLZcqvwrAxKRahdJGE0T515P0VAoYvamh+l1rSOhNLe2ZbC
UBx67SJ46l6g69f7sQqbrzn65mE1m+5HOUyvhRmn+5Zl94kcjmX3HcM8M4eWXV9bX6aVQHU68UbX
fVltdFdnu1iZ7nUV9+yzocEwezGyJxg0885RXnOT5ALPMSvTEmnpFB5t4I2XAx6sj6Vnl5dZwX1C
+iTiOrA07W1ptu3JxV/5GPZAl2TSd6Qh26AswTSzWXDCwROrzqm5+4j/ax7b2TZfCog9uM8LL91a
vfXS0uyvMz5J90jXTPwQHWFgPRrq4thPGYPt0XbTF4ZM1DNa+deqG+CXV5MPKdJDi4PCZ9B3M9IH
prWJCXFKVP1+GMWjV4/Gvuple874/DHo2+rcB4J91nhJBjraSi6dwHQulQXOCen2HHxmc6EJQoZB
bMbghNCRGrtu7DSsCIOJxbpmwAtn2wSwsSqmVoV7U9XVgeqNwNaRoBtZOVCaCl+Y49EgzDY6+/sY
L9q4nf70GOdzuZTsf3CMP8/xc9G+VD+f4T++7kcP4n2gjzEd/uPyHrAE/ccZ7nywPbajfOqlbfKP
f05Nbag4tqP4AoQ6cGF/puKw9BM27YtwTQ948l/qQezfnOEOXAqQMZ5JPW6ay/741z0Ix2xjt66Z
bOowmIk/1gVgOoZHt4on6ZSXcxPvc5XK815Ni96QdaZYe3ljGuvWHSvUsiM2th0Mlrpeo1HDejdU
RMel3jZaAqRJ2jA/NU54G8C0IzsC04AejoLiV+DoJSQYpS0zI8KlAUhsBFsvyK3FLvHVRdG2T9Ak
DzNKFjskh45MrhSXe7jrMUZ6FcZyDDidifqSHSiU7mbnZ2TzgrrGJoiMdm0GRI/k+bFkU0LbdLAG
D8PozDBigp398D2YOk2Rik4Ia+j4T0Kw/8w5T45T36GYRcyCwr26sLCEr4LBkfc4//f+BZnNlnNX
DdAPQ2YQprNysuKzb1qfFk8M7PjTkOefdZaykOu/edxLiHarbDN10CWHwoNPnwcPYkqe2Jb667GY
9CnjXT/w3aBnuu4LG/rqwEgdDTnLMqaBMWsRj5EpOGLnGI52eIE4KjpjSojgOMAgZggagE6Fn4cJ
LWk7K+rOxlGPuktwbLrTfV+RTZROg70TXgDlN21uFWqSs8gfrxKi0EIfl/1qtINpWxKze24YafOQ
NzM6WLaUWG7Dedtbo39srKK4ynSvbw0UZauR4dAlVwyZ8IRb0lCKq65jJVw53K26ArCZGWAIhDrv
yC65JTuBxLEq6rd5jQ930LSCjHxbzD3uiA+1d19t25k/Sp/7F3UQYQSTmRG6qt1kZzhC7qDY9hvh
8lbVuZvtLMMiUkzkHQhGae0a/BLrmBX5wQka59oOWe2xv7iulHjABTMevdyOrhAPFWQeGQKHuyqp
+afUDNQ5E8tg3BCbi0OBRemiw2UYC1ab7uK+CMuvoYMbFFuSSm1KBCs21wgnxy+FVxHRy9OUINBV
SNHTNNHXTowH9gKXAPbgzBzJx/CMxj+b4m5mflqMMSE5VqBwmGf4+faYWXiFOwmB2EgA1kPDRGit
Kzc51pEaiTKbSKsrFxu1YyQEd+QIBKFmDGYgIU0INdzm4ObxmESehbRJ+ZKuIZmFfap176PybrH2
E/lRK6xsaBTOIkIcApHjvXeRFic1m0rGaZ24JrQUXq9DWiJGBsN2MI+U463wgfAj0pPOY4ho91po
vztTiE1xeVq9f+GNqjkLDcn6dvbbr3PeZddsPMtP3RSr+07J9iYig0LeZOVSVORlFT5lLgG1u7bh
YdpaSZad/r6//mv3l5S+yXH++/fX//nfzD6any+vH1/0/fKyvA/qjR7ksJ8TNlOqXy4vy/mwMMY8
37VNz5Zohv6x8rP9D7YLTI72RFLC/aQ0dRmg8R1cC1bO97blXcPxRw3Ib+A7ju/QAfn2snREr7T8
+1+Nz3TXJPZcgnAae+drkBW31PPjARIhdwvP+fdB7E/tz0/tzntZq1y+3QI34ur1FK6pn7+dGTlg
9D241xigl9UD5o95jup1Zo97dxgP+K/lSnTR65yRleaLXZPgQ2CFI40ZPL376DnTk63xo6dZQbpC
PVUbY/Lmza/ewuvvC8+ffk7ek5/3oA5vykLRclx2oer9y+InZT1GSgNNJ7KCxqR6inF9afmplSZx
txht/AQZBmJFpgVI8lfaz3gq/z9+EN4UBGm+yWIEJfDy4fn1+xPFfmfXNjwxNJ1PpZHekwtwmuHn
O2n8GNdzvQvz8syb2c+p8Bb1PWFXDkLdP349fkveWn4KRZQg7SqT4HdvW2EpW6ekY+B1dS/YTr5E
ZUFANQ1LoS+tvPkhMfjdz8lvYFT81kyJTYfaTLio637+rfOicYrO4bcuVPZ1NPOTTPRjJMMt7HmM
A2Z33XmULH/8S9rvR8kSXYRpSykFiDHhLY/jr1/rQY85Kl/g74F2cCl54ZesiWg5CJBYwT7ENWNo
fx02453b4GMevJod2pg/WeOYQClk5jnXAl+9wPLvko8VJOMx0ONOxAOrlQ7u/Th97BF1b2bezHmW
LMowIibQoaKxrfG9GzcpRHUEUNBXvdpeXuITGtDXP/5FxW8+3csvCqTAFKa9zEXevZ01uTjmnMM0
g7NW7xADkse5POzkcoG2AVOcGMWtp/ITU7tH3ww/k/VAkravv/zxD/K+bn57wZEuLJMW3u73xDqq
wKiu4uXnKK171MnPULmunFje//G3+RefXhcSP8g4VhGIJd49Q4RTUKFNeB/Zvu9RTt97U3Y0o/Jc
2uNl0drfZ3a/++H9zZHKqwvDk0YAvBM7+uVj9qsjddC5MfULMc4IpxeRRfnGD6qz0WnJGf3TA+Jf
/27//GbvnpQEGE9XEN+DNGy6CpjI+Azha56aYGq3rmQP+sev5b/85Ryof4uADQXCu/tCuWUUzSlr
AS/xx7Una5xpHM0BDNJVO0Y/HC6/+1p6avks/qRIYXi3iGK4C6kvf6NIITdm1nHLq9mNhDFshjIL
wXhjFQOum4Vq73H8ghOofGmu2kj1jLp6Q3xJEiZWqyon770NOjDnIg/ErYeQk//DSLTKjgCDJGW2
HpcZBXmixRHCmygvyzC1F4Nk+LWwvdCEaG+1BEOy04LPtDCLkWGY3RohA4EbIYDibehbRo/NO/U/
N07qr300YRdtX8svGLYGfZQl6PlNCMOb/Ddv3JKd3pjbUJV+f0Rk2B+LHKTXimUG+VMSR2R8cAh0
+TTYefaYop28iTro2yC8J+tGO4S8Q+LTYwVUfckUyDOcwTppcRF45YT4PXTi0NsDr3Y/poPMX7BG
LCSQqmbKP4hshDNTSsBPphnGX8OeSCtmYsLZDG1nkZsEaWRnIA0wwdFI/9qNJH7OEfIZebyyIpCX
o6IICacwxG2YGPqsyXNSZmXSxXd+Mzv1Fj8n/Vxh5WG7cSpCUzbU2TrBr17RU3o+HBvclQSFIqXJ
gelY5YYIGbS5JeOlrZwceeeQfM2mpPGrRwKpXOQTYvSf63QhVbP0UEdC1ce9nIqs2vLmp/LRMhPm
QVbV9jCSZOMbG6ib4EgRAFonjJwlVGx2eOVeVmZ/KQXgk9OkqT3y0Ju/da4qT1ZYqDswOy94Rp1t
2pFxTxIQoT01VsE0LcIzbMrBBpEJpvHZ9jf+yMZMTCQlZwO/iG6mfTAR5q69hOSYHil1X6vbRMQb
LjsuLo+NkZDy66hSWuzWH3eW0Fel8h/57MHnIOViI/Ef0EIHHxPSAVYQLyGqIw2FspTyOR/xwLUR
2DeR1OZJ8nEjhKTpUCfyUZhQyBClqu8Ce7AvyjFiRthbl1kFyUiR+bgdDeO16vxrrD3A09zyPulg
/YnCPVvKC4m+AaMBQzKHYEQaZQcXrVm61vrN04y+tdqy1XsktYGPDNbJVVKNGGam7irKoiXIzroX
tUdSfGVFq97tTyULzCNTXLllnYW8J8CE//YbzQnMHMdOkWLLRq6ViU2zl/O4sY2cPLEkn1g+9lei
wxQYMqMMisKEeEUw8QAhHz0Hb/XsLLICQPtrNUAU+X/snUeW5Ea6pVeEPDCDtGG7A67CQ6vMnOBE
ZkZAa40NvGX0YroX1h+SSVYK8vFx0iNOWFWnGModbvaLe78LCcf1RaXtoX8FnpWhZOjRdPpWN75n
BJFsQtPITklhVFuOj8XLKgLIswpXztgkR9Ah7VlGi85UkMjELn3m8xwTXzWj5BkzgtfnpTjMePvv
GkygWDWI77KsBo9vPVmbxhGJX6zyXmPAmG0JenA9oy6ckL5jBEJZ7DREDRAEOJ/7BHIiIXXFRmcV
ul8m+duvNav0OdbVHU6g18aqH0gQ0SGwOO2DdEWwM5mEbEDUMC3RNIcot5gPORmEN3TD7HbNbleS
5XIY8vJDuW5rW8B6fozWn15zfCUPGLE64uY4hYsRsFVzSuOxd+b3ORJTdOVOuBmtfNgVfXrTOOzb
ONTu+mG8XnhbgzVNwRXaHc9qT+Ze16MnwQAwjQ5vyVdug5A3eiTEhnjd9Bjny16EpLnGHQeuW2jg
G8MGb3sZ8Y85+jIKntwF+A9uWE4aJ6me+8RiKZe4ymPSjAwIZAHUJNMGhlPiyA9gTVgo2PiWtnEb
qIojhpX5epyTIzOGifBZ2NVPZqDdVVr7JUb5tYNJL5FHJ/XN3Lo1imJwB8Ly4ii/zEcJmK3GTYWW
9hqW0k2TEbFHNPFT3IpqE83EwkgOUV9kKamSoyCb3Uli6HnqmWF29JqnIQMgs3cvmjomor0cM/LL
kxEBVv1h7kAfasw+jklgvgc0KTZSaZVnQ7PexqWLZYeUu8Jv56E5ioTYFmTJ5zqqGw+pz00ToeGb
eCuFRd5B02Yj3K3ulbmgZxRxw8R6BVAEsKkgAaA/WMyJBCZX3qpQ1eeR8EcC6MbuKGVqbrWebJio
j4Zzbg88tpFdPtaAJdh5y88VKQhnhaj74JjVZxMbHNnOCKTXiA3FUgLJUIeRFd3l6gkDGJ8bN02X
HvUWgRL4gHWLg/5YG8QtpigvtIebAU0RL20HPAYdYRcqVhcBdmaF6T8UVyNlJ8RHRl3AefjOFEgl
D15KSi2YMoptgpJIHwA9lMcL8qOlhgZRyo8LKwXOcxIQU4Bd0bicnSa9RWYGiIk7MQ+Kb+dBHqWF
h1wQfihQvStOADI9axQOpQE5QreHC/5CrnBi9jZ6mLMK0mooB0sUnZc6uI9SYUCF1E9zGVC0dwzr
oNZgDFZQf7ACtCXQkKTMTiOWDJ7J7Isb56eCeDZqIfTtmf1+DDKkGVlmw3U1JpAeZE6m5fPg5qEX
DYN1UTSIJ2sbBdoSiStYOoYXZuLNIhoPN/ooXd81OMZcmyhRQ8O8IrTJxMlPQuhgpKHX8PyE6WBc
dMyVNzbnML+xfWWYMa+hcOfdSDHma1nT+G3jpEjUgJdZhqpv13KtpADybD1ZiRB6wIvujB9CgY6k
EU8oD1+wuJzHNDD8sgyT1VH/KAI5erBFHoqiOOu4SxpTj07NpItTEuJZRPQZ+5qNusWeFGKBKj5k
Vk1WVL18CeqFYGFt2JPF8CmIdOE7YMS3rFcJQFMVckA+OIQA8qsZBgxfLBYp4mN3LG57Zndo8pjm
ZtbHACfsVoP8orpQ7EskkCgriXIWGW3WcleKLEvQ6ZLPUHHKQBL0GxgSHnrC0ANo6vg1L8Ix61Ju
orVUhXwon3WrmJG1muNFVrm3PQfeIXaNS+YCnxqbwF9eruoSfYBDvAdxP/i0zAuieDKvQAwIPo3V
XaUrXjpXkCcD+IFWNd5pIEyAfk4vzeDgfq8oSAsZ7EmMTpiUkkGXhNBvZlhIJtGNXjviobdi86VY
uMmoc2FgxFXgLQ1PWgf2luvCjHx89+u6rvjMxiPdaiayjyqtXvAKw5ETB22JfTGOtS8LlmrsRtlc
Dsk2DwjJZgXtgb6Y/DEMAQI3XEdkrAbKTvdi1bz2hfXJWsgcQ7f+iOybhPd8XVWY4yGJ+jcDohDi
FndL2uY+d9ZbK+ogiCWTeZcHvJTgmOa82gjQljsmXvF2XWgsbXfdtm1zrCrxflg/OlGegpCSnqv6
yyDO7wsZ3Uy8xZVet8d2xNTTh7IFSbtsqlh7KYvyUSHI4nQBctGuD8PAX7shDg7YN1pJpkfU/QEW
o4Bl6d6OCuJTkIkcLFYPfqzrKIuHjhKifQuU9uKkxhHTJY9ruRzSgtg+xvEZhtvQBAPS7JmSjfve
zPjUu3tGDZf92GwhwnlTw+Q4D6lhSDC85OU9NlX9icGP56C9jkUAviEZb4SdQ1IELlNF9TM0En+y
Ri+2erUFz7ytTDPFGQ3OQdZQZctQHeN0uJ6jedrHaJThV4jHKs+uw7Etdp2bVeR7diz9EcswkTbA
HLgGmVshINvyyowgLOgcV2Epd/U6gzKTqMAOB0lnVNrVFLb3RTGewzR9AjdCsQESjPxVBnsCsRv0
5rMyupfcHj+rvr4HKU0V4t5alNQIYBD02+ZHcuU+VYN126Rk0hnVmscnZxt5grzhw/sBrHbq2djV
ROQ8A169p/HN18GFwbAgsTe1HC6GaiREh3oY7RSxJKPCqjKYBoWRdUfBZ1ESKLFPm+BBm8rXIuGd
0ELItUCfruYlvU1UwyJcM86tpjV7dwYPXiv9Bo3CM6Aec092Ur3LoQteshZ4tdrpNXV404LUWT9p
YI5jI4TuZDY3XVdfFOWSbWcy1IaGbwuEjc6JxcLOopTse8PygIZNZ1pc8r2bQge81nCoLn18ACKs
oTiSMx9F+Edfh35LBJazs9X7kWimrS2b1l9ftUolMOuoDvbaijWGGQ5iBQz0Zua83KpM0+4BaliX
BEBSzJPdte06jnMNNeCWX+RhNOF1SjRfIHOmhxJc+C6PhH2IKqi+RqWBtIAKbNwqEEmPtp1PAMhQ
8Hl9WZUHl0jmR50KfJP3+uUS83ZNaYjxO2HIy+Ld9Uj5avFeCVKQaiijXa1SRLtgJGNFUGCNLpu7
pycMayVaauML1qkTQkhscZp+l6qhRxZcPlC3A63CHLZKgomb6ULtUNhTeVk0OmHlNfOALImzXS/w
jFrRel2Z02uNzvSRQmY59aHZPs94STeVMLPn1ijdfWar8u7rvOJfAdXfbt7xBVlMuv56c/G/iu4l
m19+XF18+6pve3eJuwgUBp5l/vGbjPdbGo16JymgWCWj8bWMrwPy353MzjvyWtlPMCk0XDoTfonf
3Uo2e/x146ErCP4GKqp/snf/ZfS1rkB0ZVtfdyjGz14li4DCYKwISxgkCqLUKWmmi6ugsLk7qFhZ
Jbz/7uX5k63AOkv7YRTFToCxtM7i1GSup/jDvh/suU5Kt26RX67xuXwv03iAJFbt//sf8suAjR9i
rGsSnewR9VXq8P0PQREbFnNPdZohBUIFhGU6jj9aa7XMivK3vd5fjtd+/WFE7OBFsyQmNZRwP9m9
8HBD1WVViZ6guZN1dOn27rVTR+81VTz907+LZ8G2TBoIh0XYz/EtZg3fbC4JvZzHCjZzHl8uHTGU
9DE+Fq2/mfj+2d+Fl57nksePOvKnv8tuHQdDAmO8pCoNmvx210hUFQQL7DP976bYYt0L/PhcMJnU
UcmzPxOrFP7H56LoYPsMbTlspwSM/6YYnC8QWWZfX2b7mkvqZNUXLeESH4tgyY/kPISfIHc9/OPX
d5W7oIRxmTybP2/WCJjvCKwM2DQ0ne7FWfLoTuWpdYifLczsNz3TXz43vwzuQTgRGEQaz6qE/OWj
R9esCOOF+GlNXXDoFZL7cCBPMWyN8W+eG3yHP728GAWUibyGrpDloSnXneJ383QyD/IKMSZQvWmx
PeQQoW8q7Hn+1FOaIeWoHXaGiyZwMutAkEm0SN7PaijkPeh9oS5YMwYfDWdyUY1QR6e3YVBR9ZlC
H+yTiYD9QqfoWfaESmmPbS9QEnM9T8nObBpn9vIygoXnkpXs7EtcjwSuMjYhyjZSsTjlbO2GDzIY
gF9FusneVJUY8DZ5OgQVaXZO8mZORbysUrQQX7wgBZ16PwCI18eu+BSmkdT3kF65cd2l6z6Tq0cP
kJJDL65sMwe6IisFCHxVGRJYuhh3di5qWOq5DhbOmvL+rdEjDZI3IMRxonfwkxSf0GWEEDtGB4XT
Hn7A9TjiJMOjJyu5R0ldVYc4FLXh2VHSLMjs6Q0/6rUNtDo0FxUe9G4ekmfSRZd1u1kr6ZeOseIU
tGQuTxNjYkIsv8afZG6CayHHndZflWRPQ6lFJLTyb3I93NcFUSbXqduMWx3+iTy02RKHnm4bjC1x
HQmas2oGeApNMXvp6tjwzKJq9nVl9eSWhwTlSViMkT34bRnXNwvyxH2fh/XODcibMFEXHiojZ4pt
9BQoAGaTK+jUDob8sL4lPj3dgrar+CgIAHoVU5mlCKGSRungIUhnqKQF9d7oxhca8wegNkAUc/xJ
w8SEZUknENuMNOec3OqsSK6yHhnXTNItORhEOeXxgXFw56HBfW/U8FdnZOFwH8A/1q1+p4XTtclc
wZOMCQDd4JS5t6u23xEt7lyzdIj3vJ44M2NBN9bruVfOiS8S46FJFhIxwmTYkvnMbFUA2dVzt7+Y
jMy8DsyWTPOqXZfR6r0qo/edKQWQseZE7uTktyMEn8FRlxrtz641QyyMdYRAfrkMWG1AbwNXyO4j
8gKREaqJ4jEM2oMwRARgoeet7p1dXFePkUanVZLqvCHhnqGOghyaRtVFL42CdEVFqsVixZ4Q0zM7
R2D3mvaU4pi5B4sQ3GlWI57jPAZKRHi5VwPG3jZ1CyujHwXUhqi5VhaTq1jAZOdxsaHIO5+ZEUJV
lmENA5hfLOeZAFEC4JTId7+WbXoWBcaDFf5Ms5EXvr2iIlyt23Wte6RDse6tOUctrQGvJ5kZzGDQ
+rM+vGIzkz4lQ0W47ALcaraAnxu6zrmQtN40Z3urxnkQiOMEZOjSjKrxbJdGdV6gbWzzphMfhGzt
8zgz1UzSfOGgZeIKz5j80OwuG4z2sqR9Pzo6pT38DsIcsDHyaPfPpLaaXk+ttWmWYhsx93PxSCeR
5rcWS9C9JYL8Fhpz+UpOL+shLTfZYAwXk4w/oT+GKzvgMw4WWPZWVz6HMde2jHNFAAV8V+xI5H1q
41VR9mqDSdaExlwQmmJXw5EjLT+kJbo9O3aSbdpLguaq4CICXOtH+R2o9hAlFY6fGPw1MAcGJkjW
qm2SZzuC7TkwEkfuMTgU20QyGxVz6Fxi/oAR0QXpLtY7PDrsey4ap1I7A9usPlR3pM6rbWXLaod/
dGJ1R4sRA4WHUdb4SoYlDLO2q667zFTbYQ7boyYISQ6CR7Ou57eFR/dCRcvHAQr0zu5oYWWTswJ0
55d4Kpwv3KkXGjEwHhs5k8GzpjPwykmpz7v7kVnXHoqKecT9GGy7vh7ZkZikTSACP+R2Mk4bfFnA
WWcElnoT0MQXTbjlqL1lrMv8pM8ibdMTbeHz/HLURQQFtBouYJFqhldiqcHJVeAZLxxnZ1qgFJei
OmDWuihhil1btYtkxHYal8MhyfAKk8uUPqxyY1Beel0cFiSt5UaoqH1KpBGBDCEbJ6nqrAeZ2Q8f
CitwiZyvZnZSUfuhLtmzWBOstNBFGJoTWKKlab8ZtNC6dm33DT+RgpXKlqhr+oIcjkKutOMVEmLl
bnSueQDBwjPW2+tGcq36AN91acFYVExSLupYttt2wFre9PqZ0p7MVpdTpgpLRtVxNuDR1q0TlBV5
q81a49lwwtHZA4wZ88y9TVlQ7YbUfOOG63sobtr0RbVO9aI7nSE3fZVEYGs1njTDjibyWYf5tWRk
MV2EjpXAGKlK+kgzwma+d0o5YSBqVfU4VvBTNnkd2fV2rmvnDEqyuyop+wgwwmHdU7D7hOB+anIj
249Nf04nvMvlMI8PeZKsl4khj30YBn6EU/BWCojQjkQzWwbjPYkKpMGW05uVurr3tSL7t/X829bT
WtNLvytfvZfu5Vvm6dVLTobq//kv6IwpUOTXH7vPb1/4TTjnvANBgfCbRogPHJOBP4Rz1jt7VdPp
SODw4Rg0Yt+hMuhKvxfH/dF8KvpSKknkdqZNG8q3+we6uVVy/mPRbzhKJxSEbwcw4xdAYxGNaeY6
dg9jaCqvpigId7NtdaQgWuwnUWGs4gMTdGKbg+HWwqpBcZ1qr0ajDBBCjMLKNUQqbfDD6cv4pkX9
AOkHS0gubynd022ecom3Qcn+LCE+sqwlB3th4IHUrc/DpIW4+0ME3cyUuX8HsQ0CwEuNzaFhdXnn
IewLN4rtN8j8Tu40ndNm1mDpVECmAzWyM8SJfWdrRXFVQGGATJcVyiPCLL7M6no8MA9mR2mkem75
yzAv722S5PacMi2rjTY6h27o5Kw0qxZKeTR4jipH7Jywk797Nv6k7xbuL7JBtHi4uvjDVg+Xu6I/
v28B6i4eGqxTA5Ba4AS64tfUgk4xfk/zLT7C8AhSd9mWusYtGEUXphsOd12ruR81s3kdIueiClCJ
SHuQ10KP6utUmvMWAiUgxrp/jsqUmxxUItKJbDyDCHc3ZJCZ2ypJhl1tOlddoV1PvH3e3CG5nWEK
7kZAyic8J4NnGzZ4iojrM+0X+5SbqB8xzTfhKWUJgfVqREHftwLah8HOuU2daNdTY2+ZGgqvaVmF
ty6bMCuzc/DuK4sqpxm/SAMtIbAiiPeTBnwKCEjFMs55TCGI+K4c186gKpE2s8EYZlrrSlCSaiVb
J+JI2N5J6ECESQFDG7T2MoAgjYi8KS/HyLKuxl6y36xWjw9Q7pXJ4Ejf1I30jvY525dTV1zG9ZBq
u7auEnTTaU+yW9LpAxP8ReztjA1YalYG+w1dYKI2F5slTA6yeqerxrkrSQajvO1KNtZJaN00Ft1D
NKTXsLwEu8upYieZqiNScKqTwAzOqpgCzyFBFTm4GRyIwXG83kHsQRne+42IOt/NiqdYBsUhZUhy
mQJR8boQZgtbd7VLGjZRoczgShjVTd4t0tOada89mlxtRuHs6hJZu42wxxujOTn3LbkwvS7mF3Tr
5Q6pzcRD4hBZn6N2Wd1R2UZadY0izq6AhIDyLLZi7LtTO1YGVNVBNx71vk5eVG9WHtqa2E+jmKNg
5LeDm3MUc+67hcgvkhlmZbtopNEP63g4iR4DMNlcPoN1/PrfmJ7Ko1EvxV6YGv7gekzOjSrynZ4i
Up+7A4xt5siMtqLGvZYhylPAZLCIGTHroGAtoOwHWFXILBAKDLA/D30i9ZOWRhCSacJuI335opfF
Ja0gwDnJsKAYJZXPaKgjwqrhENlNdjATQqZmk9T1DQ1JfhpkDPnGUfmxKK3kJMHf4QEP9xkeCMZS
zoHdRe0ZMQWfFf6dEveXIR+ffAszECZJlNimsR7D3zX/7WKTWlmRoslD2vDgmldzWBMqksoRDbF+
R6n1jRbxl8MN489+JnYjEE1IoynCfvqZI3mJKK9cRGBpYO2UGJ1Nq5nvg7LZhSUJlsQZPYEIY4EX
OS9JhTQyEvPGRne7jU0dQVGk7XWscMzcNQRQ2jh7YU76Rm719X4Ubw0Bn+dsDgZOE7HRrbHfVAju
4OJbMEbB7g0EUG9TrG7eBDSXQsXZOtBh/D5DlhQXNLhOHHAuIQ0KCL75m+MWasIvdxu8B8dBK6nQ
an8VwH//oqdBbJb4Hnu0rtTAiTHgP+XEPDsIcHZdtN5DogHN7ZQLv06mb3XbRKEhU1hEPGP48vXp
Kqgd1zPzpvrgYiUC85M65wBNkq+W8XnoOJ5wG/nFPH4xZdjuA0l0qy6hgYgAuUXp4F+tsg76yygt
jtygo0HTOD4rfYKeZAwEgNaWAY3R/Fz1Ve5DBsbaqum7oinbfZXlHYMPk7MT0OR1ulBYY/CDIX4a
VvA82nr3wS1Ya3qViZ7Pz6p+uR+zIfyi4M7aXrREn61sMaw1fE3cQI9yX/vejCmmSUogzQ+JC31v
lnU0EpUaKl+LlFkTygrdaU17wcpSLhYKuLg1wss004fbIJYo/MbawedK6+ZqO11HL7KNOXgaNmLC
uChak51SLfBhxXHDMMYuAmQ+gcCWjj+elNAe2zwdZRNGT/PcVSCV8AxfGbho1+V3urA5nPTkTeFO
H7bFRAbuRnUZWXQlV0JQkuKBSuwlRoG3tYm27kmd2dTZ/Ekh+N0ScZBcde5wguKcPgNhSOAAWCWJ
vGl+DJaMIVdAbNfJGvN5y1hB97nzV0tyMhzmKgq2UWzfsUeCRliND04i77SU1VpUFQvtaRRvI1ob
7ukw9lUk71gvQ2uvOPBNK2w22B1AX1aTfolL39yHJeDEJo3uuHnwQCVDe5yZsVDxOEdO0ysX7C8S
lvJOTlFIGhr7UsSN1V42RJ3FQwLF0HivsUNAt9V+yTXFuawRhdLpHFfKgdbQOZqnybk9BKCid4SY
GLtI9TriOvQ2Y8aQwajc7pz0IrjGyJy/9WbIWtHReQNoywZNcl8Mo9outgqfh8V5ECiyjpoO6wLz
UgGuv+JdCN1B87rRyDaznBNYTF3lW2bKwrUpCERrG9ioo7tL9WwhY7BRB6GKdGfaI03WLF9DrWd8
WBkv0KY0Ujr3NVoDj2z49jCREhUOyH+thkgx5V70oSIVZtCbvc6IbJsXiADojPIN4SDEOq5dVA2y
bDsnmkTBzojN7MrIJ/AQMJirThQ1GjVrc7ce/dQzHFBcMCenZdYCvOOgMZsgV7k9uUMeswXNAUdg
hrac/nkuy2TX2rl87mIVPk1RnV4KQk49VoDYC91VkKtFhNx0ICFHQjD3lZYiZyRGTpKHkNS2twRE
EizhaG6T0WQaVSGDtxLKkPG6t8v3ws1oU9HZgz+6hDtGI9c2qF4H7bpY5v6JZDLdM1JODgcV1KbC
e7fpBFmwBWrSI0cYJ7WFdqUDMJ4lrc6COgoYsvTqaYAZ5S91pj11iWz9KauUlyADvOys2nm0wHTs
0mzMSEFws88hTfoldIt9tTjgS+fsUysChgXI77xUqDeWKjOGMkVqdFq+GcGqWIjS95J1+TaIHarp
Cn5T7SwnbPqaV0viV0kGhSFdl4SXpYn6Lcn+31b071tRygb2MX+9BUUE2v60A8XRt37Nty5UvVNg
IPCh43yRDh3kH12o+04A1YMpobPXWpnj37ehFhUEX2TRtvy4A1XvWO2twQOm/g0t8Q/a0JVe8WMb
amEOZf2k1rbIYpr/Y33kwLBXaSPlltTNAZvlwGVssjR0emvYOXblouorABFnMmZFalY78lMin5oa
OzBjbCb7SG1XgAKcmvyRbLX6ZMRoyLLB7FFazsfvXts/aeWk+KW4WrGSNn8+hGy68ZWn+X1tYQO9
QXYSCOLSFUT3ME9srrdYGpxV4+Js6rYBhJ/PFdlarZaFB9Bp8AlcJypdZnLaYG1sknM+tByvKee9
beT7TvaXk8ZOzM+7pI0OBWKrSyAAEOWkrakb6Qw0Ue5UTA8oDPrnHEIgrFcsq0SMwXF7iMu8r71e
i8Wxntedq640FB1tHEPrg12dPobUe3hBA664sI9HKFGa+4gz6CHreuueiDfUqLYVtwismoor17Z7
7ViHNhrESdoJwhlNpiN/DJFo5obkkJswYyS2naXbE5i5VPapt0b5hDcV5n3e2y1CQalfiUXSQkLW
wV7aJ1WY3qRJwxE/mHlwzmedrPp+IWWo0pFs6TQUmz7Ir+Igne6tDsawpjdg9139oXNayZpJjRhs
URPamXkftfKMWtj264SZGDZYmskwsQA4mC2ZkuHiXKV22V+QrzQcxbKydgw6OnzIV00o5w0Eu8Gz
SlNBA+5o1CYA0ClEUNjbzkH0TLrDpR08WS1kbirnPHbxnZiF8JHGTLukbkwy7c3LOot8PcPs5OJA
L9lMPZqkS+5JrXX9yVj3BHbn25CP+OVokOuZNB/dYJ3kVjaICDZ5Wp2f+spmqIzaiHrLIf0uqQZP
yyCO9kPcfWAAihY20ANEWIvuzeFnO7abHZl67j7UyRAaoFdfRxUT07nJmm0O0/GEdBZOf/hSsIC5
MExkRKLP904IVzGo9ZqGlwtoblDi4UH2+3A1/05o3Qs13tg21ka5cg7dkfzIrHGusiA+VoZxWKVg
Tt09ZdS/u5Co+1lE9TE1kugDIktUP0ahWR1CMQRp5Gs0n/SkYd2Yl6X1Cm8tug5wA59wtlgUTOzS
3TJbdk3AnZYMJSvZaJhPNOfySxtOL0jXyXTOMpd71iCXumA/9dg5OZ96Gpf4te5UWHhNauTpvjAI
rpMqCWmJ2/pTZbvIEPIpBqC2LgFOVo/IcGrw3XiGG9vkoXeT/TGPajjF7ELJu7caMOb7YajqGDon
UeT0ydHyQatttgR6BxjLi7V0aFDg5xAI8XTMYgMIPN7lagxeRAKfmVA5jfihvv/g8Gp+xH7WPUHd
wlw3NctHhidURQ5WUElcVsBEYUhnHTDNFCPai81l+HeK+z9lBwpsxt8d779Mce9foB3/LCBC1bN+
1TcBkXiHcZS6kzOfj7hYwwj+EBApIIBIMwSyEFuuoorfZ7jinWCoy3jVcvmPryTkbwIi4IHGal8F
2gG6g1HYP0vZWaN8fro9V0+giWLCQsfwi5uNoxI+TNc6eIAW8Yq5QDyFjp6d2cHYt8oSz2QMh7u6
jbAJxQmSvbbNqqPLmbzJyDGzrnSVtITdSzU+uGxsodElbXlp6crrpewecX8i+ZRN55Zk6FjiNa9S
7dkl+fTNrDLpjxiC3tfxFB67gpMS8msAQ8Gp6FgwNj2lIo9PbUmPyU9flnRXIVAqtvBt3IuAz9S+
xSV7I9uxv8+tNpZ+axcYqhikKm80LSTrKVQpn+kXqyvdWL6M7L0uSxhAmM34iAaNPvtkiSRUD3l+
TfzLwIUsQIsG9JVjEgRMhGxydskH7mx4Hak6AwKckTyXQ41jDacA6REFze+ExugZSfh1XGjC8JMq
dYGjJUseMAfHSNO3MJRl2UV3QPBpR2I9P8hSDGgI65TgiEkz2k/Eq1hPIrWNO6aUfXKgiedKcbMB
LSmjOvwYJlJ1Fte4KXxWp+h483zwDNlM+4zYjhutj+Vt2dbaFTFj0dZIypuuITkt7tO30SDeIi7O
BewhEvcGBMblzTAwFkZFjtpcENcWOTn5xYtzrEeCuh1Ba+zUYKy6npMxKpyHRU+NDf5jotIXG3uQ
TdxS6GbnJHJrEqxnHd22qfgb2Iq1iD9uh7J/rCe91D3JBK7euuFEak3dddCNqWzS1rPWSmEkUyjf
dG6KSl0wXt1XhuY8dPCmNwt5M1eSf/VCl6N6bZrK3bvkJFxIUm1eLXyGROSVrk2EK2Ct1ziNewbU
PBK9Zcj0YKWtepodmJBexxDzAwCP/gs4m6LafP3s/3/rMdYf9JkEwCYOow6EwbcfvJ46P/wP/yu4
4bZ/bea715Zci9/L5/Xf/J/+n9+2UX/bPkhHmJxZf90+PLymcfPl5f/+7x8XWd++7lsLQaPA2UL8
qg7/DanSf05B+x3mZwiq/9lJfXcKWpyQrmLFtc4+JV/0n1NwlV3q2LdXHRbtxT/ZZPH9fj4FDaVD
fV8ja4S1ot9/LMljy8J6ZRgzQbmrfg2p3LIzOiIoAb99XnR8T+HAgrZpSgRC+cescclpqrIrlbvH
LOvLxwBGwbZR0uWjUfvdUmI97mXsx2kFw6UbjlaEPLmo+JYFCLBLNce3mtPEL+DPmITI7Eu/NNmp
74DAWQOOLD0t672J5/U80K5HWBHOcyx8A6l3MtYXTby80WG9WsS/qCJkveAiuyIqGiBLeIEQDXey
wEGikIn4wpJwwIccHU5+liYUGDNDrL1wJE8FcAf0TxVSEUP5kWatMhKElt14hRXghH0rOYFJDvdk
dtQH1aKF0cPszWlquc4gNoKjtsOpVkyPRjXW+9aMPzsjgbrEN43PUYyMPLIj/CpJuOtRi/tlKqPT
Ipr6c2HZ7PDbxltS3KRBA+8umHwMi+oWRT3JwCO8pZoXadOnJBwSJh5t25CxlDkTODLAng7UTOmr
5cuHvh3gjPa1ukgtt9pjUp7fyirobycn2Fszr5JJ0/KB5GQ8XG0+etSDxaVCjY5MrY22qQZhsJms
j2KckaDX+D3KRWIo4kyauauIRV526HHmPc8x74epfZjy7LM7xfDUVlciiSjLxo2zt24k9DnELWci
PWrfmC1yU6bGrVjJuIO00Hs293YErjpRzvWQdOz9O9veYfRF6Bb02fiEPo3/mvKZeDBl117H+Fuf
A7okr9cRt7EIMNNTOgItPEo9ZpXpIlC0mBOCC9w4KMrJCIAM/nFsMuB/2JtGFmEEBTDx7TaoCaor
3bWqdfC5WFB3UyDAvWUj/QhbobJDmKnWp/EjacPGPXYz9m171yaR5edBqF7LtlrENkZz4RxUWaQt
JgISyHaLVi03skjSj4GD+OfWKczoDnbeeA2HjHcnhyp86ZrtMm1Ga2IUjOvSN2OVwUjMB7pVwqFv
amxGn3MTXhACetLbt7rKlpuoQLFRgeVlzSoL5B2YoqxjjAaj9hqjHg6qi7hml7qXVxhm+AkTxybY
2gzzbIle7bw4ZhYfm8Ytr1KQK1dAZsNx2+T9dKb6WnK8Po72oVIom7CTOdcsTpc7waQs8tJyEi1A
Ryt8dPqw+iR1C3I8RcHCCu/rrs8ccv0OUxfj5+TrNtBaF4Oz04h9kA/U470Wiie3aOLJI8870Xb/
3juS2ZDimP7re+fiZW5fm/jHW+fbV32rve13iik2u+b/XCC/1d4kXALFoypHTIuPjQvpj9ob7hDs
E+bsfAYw96Od/uPWgafn2Hw7anJTsjOCifP7zftt8PPfcYe4qn66dZgDGZYOJBzwKknZ+k+DoJYL
wiiBpXkjLOs7rCwUdtgGnOyxmSrjrGeCUNpQ9WRbkq/HkTDbkkZTl874iF9LInIMJV4VzIihhr8P
Mqqnj7jAAXQl2RqEJTK1cTBXwSboVCK2dV6TtY25hklS2mUEv5LYRXii+TVIsUWDcggUc5LN0CZl
c1nBYCvu/x9757UcyZFl2y8KWmjxch9SS4iExksYUEB5aC39r+Yf7ofdFVlFsoBqFofXxsZmzPqh
ad0NIjMREel+/Jy91xatCVgUoUUQXoagkpJVPvT4EfXwPnGbfrwXRm3fF0LEyQF6zIi/zeLjHYQe
Wv6h7MxsPHI414aLKjAzfZWieDKWdRu36JmMqDgSx+zpO6h01QDJtHKTlxyFJKmNIy5NxklWejOG
Khkevoz1Z4KpRsAMEV3uV5ScFRzBEj3hRrqNK1a1XkaX0YTAPvq62ZNp1U3y4BZg7Eyx9fpEIV+n
76aoWJIiponpIgg6lvRRUYNTlxF1YDF7vEIQlr8ZbIXtGuIAWHURizpd+VEaDmusPQQgBpPpPEti
X17XrpduciK2CW/D0XuMcsveqimgAfAJBPDu7cRTL0bTSdrrvIu5rRWDDG9Xetar13hkU6t2AovO
ShvYsVIBl2OpjWogBQjyi0gzW3HoMpqEs9CtjXqZG/UUE5poI5zDMO2vhOkOw6GwA2TOxhQx2Z3T
Jpmq8TvcmaZdtudYyv/elefHgvf/rN/zSRtVn+veP+rgb5XvH//zf0pZTNLttGj8YnnKs58aA99+
5/viZP4GIYcvvQ2C6Jxq+HtjwNBYgdRp8GzRH9bsqWXwu7MIKJqOuotuAlYVVqgfFif7N3oJjudA
CDVhN/0zcZfu8iYfGwPA2Ojf433SbBMU1KfFyUetjcs+mdzI1G67Xq8K9QSoxs73wm1Tcwu0rUsX
DK6n6X/tQ4+VMhHkzFUGXe1Whh5JAmyzx5EYV3woKMpV9mWTwVnOAgZDIILamXQSxTeO1gKLpMjz
LTFCBl3sUZnQ4qEbGgfM+p1HmLoTDvMkiGP1tYDg4G+VAfDPUjPH5pJ0e6W6VJpUYYDLl4UuehG4
CCjbQMOeTHg2YycmsM6zPg5tuu3hBPBVraw8hUKjB7e9S3xqiJryLRVqJC4IPlHJSxmpGiiTPCOd
u2ozugTGFGQjIKMMLfQebnpN5Il6XXVNmm0bdyS5PTQQwtqWdPDGZ1qzkPSmbwchCEU3I4e0EI5/
3dqViacwTpTV7cjuFR66cgyNNfo4XVsWWjV4O33I+lubBrvLFJ0G/KImUmZTlB0KcojyetvOVay0
xUPouaN2gKA/fi2tzG1WI2wm8aj7NCSIVQU8P9ObGOc2HQfTXIV5ROJdgi/GuPU1sJhkseFHL40G
o6XrA3Eospuk8RtoWGrLdK+KBXGX5Cz5Xz3CAky6vrlzU/pjLXFK4UQlKgjlEFHl4cwvCKCqmi4h
q9l3BOcY5v1L1K3kAqemfQOqR1xXkS1JZ9aMhU4cw7sJsOalSEcBziFFyTYbk6ZeGu0Us2KdI1fM
c/xKeY5iAZ3QVOwhqTyO4xTWwvyE4BY36U20YX6jjyuBQCYjcsG3H/Jz5IvQiGicmTVZ0JxsNK6T
muD4yKnZupntDaakCi5bwmWskZ6yz2liRxijOBJTU25FQCKN2ptyb1stKTW4YBysBVN4TQB1gHo8
xH1CfjGuzqV9DrtpHFtZRqTt7H27pywUHTR+eu4FITkh/RjCmXie5do+B+m4UGcIbwjPETtlp4zH
NKWlC1HT0p69PCl3vaiiF7fRSf2rI4IsEcERiEzjRBYHIANcPt8ttFVRkkc5i/ua9AVLVu00ZkBW
gV9AezeciPzLcgy6LyIao51DT+2rGecKE7AKitfCRw0NrYSO242ByhtHO/qOZKbadXAhQLXIdSiH
x0A6AoY5ycotXOmDq3FZnCHUUZ3hpVtp0kK/jsH8yVa4MtLvM7p/KZ4h/mKyE+bQHGIsF0rrPDt+
NYRzTcnSC0Rs9ckjlwOODC9jn0B+ZPopGTp2Wwv6DPMo0rC8JcUzXS34AQj+bYbw+E+SbLzxqz6e
E2ZCLz2rwWPH1eivmLePDHKo55eJQqDrMmLouROGDJ4GPyrBIHj04pSgmodBbHJW9mRwciV072qA
P7kkHZmQI0EPC/VGGe00Pc62PubzF1tL8CH7qlP2664o0nWExWILJTZZWIoZ7PXYFUtWA5pfg0Z4
QhKPK7V3OpRqirPs/KG+y4simxfMVUF0dXl8W+gJVVKS1Ffo10dKE6WyrWUBlfeBACIeON/Oqyt/
lKq5CLXCrvfOZJVqzq4pJZocVM1kpqrOvipkkAh47FoLVBJmgwhRBVOar8nZkeWe3VkCqRlG+LNr
i+Q0HFzB2c1VnJ1d2dnl5ZwdX8nZ/WVUkxOsO7vCqrNDTE5mMXn2jRmThezfpcV/DrjKuUJjt/3r
0oIeSJh9efmUWfT9175VF1NgooEj0KES+NZy+6O6cKkuLIb4rkV3bfIg/1Fd8Euqg9SQccB5Yo8o
7nu/jUMRr0JKg23hN8aZ+88ii37SF1o20EWbsEeQqzhGzyejHzSNdl5GvWJ5kEmID1h2NiLToN4k
+cFTWsZ5ttgqfY8EuIgXkXDGeVY4z+4gm5XSB5dWTUZP3l6iV/UWNrXtHBGstnY1GsBRkN6z2t81
FmtNyUxjLgTz0zj2mLW11Xvv1eGlAPc1r9Mo38lmuCk89QAcrd2gimYRYVXCydS4h7TWWfLMwHgl
Mzc6OpVlrPK2KK5z/MnvAxCgRdY7xMenuvUcgiDa+J3WnfrUtK4gFsdPAVjLGzByAtTVSGNkhqwr
fQ4SxxRfLA54xzKziI5gc0dR6RPFDKrNbLSNCfBqScuoLmBBmShnxrLO7lPVCh7HWPogYdLQ2nVA
PLeosM2ZdHLi0mPNyE4SJvhzO10gOHHDlFZp9xvHI5tvSFh+et/uDg1NRtpfvXIhkix7l+GQruou
HR49nCB7phRyx4kl2/SdKO7CMM5OWAk2caSPS+TH+d3Yk2kjQ9ctFvokjrT7Fu6UTOKnQRBt1mYj
KtDJRb6BJA40zjSbI1aG7qD7ObztmDC0TdLqijovij4X23B0CfoTNnmWDZ8yYqaS2ie1JNpPNQaG
tC2AiCXerfhgD6UyU3D9n2xcYk95Zhpw9WR1bZSl2KsqUJCZqginWsW2M67MXLdfS5IVlg01zWqw
nJLWUeSg27SwpKFDyB8RPIQIarFLz5y+xVaVG+kJd7rJLIIo0KXiOf6lpaTepjOi8jZQZPYEuClc
wFysDlnblkA0GN3etd3YHorA4y0sh4UX1J3GwMdLiAS671w3T3EmRYW6tqrED1Y+E2LxhpVu8hdR
O2GU7dqUxvA5/WQscD5xTaYcBuAg6rC1zvkM5hTVQDZRcHRkW2xgHZLkoKlTqkMVTAkP8pz2gGqb
5Ae71JEuo+O7o9XCcKsLxnRHu9lGdNcP8SIX9M8QuFk9cgujtJ21oo3jtQWFUgdEiNR0HjQdLwrh
PX7mZBnSyYRvdNN7QXCrOgNuyIRkFZC40kDs7mAeJADPIqvTRz9NtAhpLpkHnw0EeuU8psnUhIwp
tIhiKhJ1Y0sBQChLdTK5BscIjtOh4cEMOCoTGUJrspNRTCpRtJWqoi9YG45qajQmQo2By9MgWmUm
TgRwcKEWSffG6GoiXrpxcQGbw31T3cz4Wg/ypW6IYSTcRNvaPTZX8Cq6u9PaQD+ypzMz01pzNlSV
v0fToeLvNUNapD60Kd/tzZXCHaB9jupQ6rLfdS77siyutEwZMYL6Ofe4kKuEpu83GfJ/2zzpf+/p
Widl+Jdb4G0evzQfW3/ff+f76drBH+VBPMXtZJ4nRH/sfxYmqIkWC2GCKTob4I/7H3PhP6kdH/Y/
BkT8DAUOERvMiv5R528aoH04XAN/YJykTfYtcAmYpD7Om+I8LpOpEb8IzSIMF7DGMwvUjZtvYP9H
xByB4EwOWRkpaCplMqXdwhDtFylJ17s8xVVKOh7RXgvReGp8CqqsWSQDy9gOupClXGqRa7/BZ8Vm
a9PiAhFkdBkYLMl2wckuwQetmP4X9ipCKRoCRTGvpwxyCeRW5kZjZOsaIehTo5FPwAuHD0bRukeg
Vo4xNwcX9WwTOcUWG2u5Dgqohg1maOJyPbEMbLhvsgcZMFHMl0Vry4Dzat4tCy7wFzPnC1ZWGLXW
g0pO4LqRtnMi9Sd8rIoKRmUgG7ZYjin6ekioErDhOP5TZprho1p2/iFADBDMO9+1i33aMARZGEWq
fhXBoF6zMMmvGIcG4kcTFXWtW6NWan3SkFBlyVtEdvp16PXhwZRjfxfnnGuYXrTaGxDr8k6YWnFK
XZPJQAbm4tgSExhg0jWXGOBJQMRghBWNOqC9UK04u/ct5rgET3jV0S909ykbhBevw4goNStkaAhB
0IVSFhJGOK4F/ZI3Fz38fiCd6TqSFR1OAUwSA6qP415N6RMvRS9zhUFWlpxqM+K06hn0MH2tF8Ms
rMIk4JTY1yj3iHN8cDkk7UxEVxd5UpXBTBksy9wBdzOxtEXxpa1yIkVcZFT7XNYJogaPih5kJNDY
dW8U+Al8G7fcBRbYSi4qe8yZXek8QZjmSrnlKBS9WeRz3ea1mr43Uec8DYE7slGEIM/mMSJvdV42
BlN9AhQRNcUNcKvUTyp1kRhupZHi0pOeBwtEm4ZUKcmncurEFmNhG5jyIsIaiiKk6fnvw8N/5vCg
0AJk4GHgF/3VAWLRyi/vP66eH37v+wpKgCnlOW78iXLNqYBX/D48UX9zNZUZnkrA6Tl/4c8VFOGS
BiWf/1unSjgfLv4c2dscIYhYoF5Bc4Q99h8MT3T3p5G9ja6KKEVezjRYTqef/3CEaAHbNZXwvDlK
3vGhE4Z95aS+Vy9gdFgz6YbxZQxWZ5xRwltXjIn0euH2wfOgZdFc0BB7y4nTeWgdkAu+wekYeIZn
OsuYwG19Tr3hHnmaQYfCvZcMPac4RzD/i7A0CRcKcfHVM1ul3yitVJvXVtmfDGaiK1xx68ApDGYT
CSEJem6XlwLQ5EKrU7DSumb6O9yT2mbEmgFw/2g0HnzjVpv4KNl9N1oHvRvGgy9UdeP7ujhIvsu3
VWd2tyVmsNewdODrqlDhTkXW2PMKsdjS6XLCU4QeVwEeyHLsFrlajDMZKAeEXLetJ/0HBg3XFkGr
h07izPGd7jJrw/KG6YCYwULrniB/4GPRL3xmBqazNtpoP32ps7YCcGu3C9XsX8sYTmM3jo8y7DZJ
rO8j3zkGebjy04YLKeU6SItLxYc/aCSgMEebiYhO0Z7s8XaYbDMxcTRtNs+l+tip5hbH4M5UmldL
Gy+U0HsBtLzIrZdMxHOuyWLIxcKJgrVbl3NpdBusEgAwGHswtGFsopiYMmQxa5LHLrVXhV1c2maz
yHNw4zEOxXkO/maWFtWRoToej+S9DZKDhF2LzNq9DGxnmTpvibNyKnGr5VwDol4j1rMgdQ68wIsr
K9LuVHCBHXgLcmsOQym/QC+cGz49stBMvhTaeF9RwrpnzoVedTsGjHS24ysJ/mjdly3ZQDWRCUK9
0EeGa/6EhoODjr85lbuCRv9p1Ox5WXpfvCy/V9zGWY04cue9rC8x7/RzLw9p0GFSnOkR9iZaQ+xw
JGfPE7SnyLgYSGd9jcoCR0oZmBNXWAkWneA6aX71ELHxrVRGVwtw7q9dSYCrrom9aHx3CVuMQWu2
roiCLVt554Y1RjIgfWP+mrqMD1MiXunnmUVJ6BXlxmGEK4Zyi/3E8xhw9THFNQPFO/xGaFuRRxuF
fNWdfptF1aK1kfP2XlRh4yUHl4MAdN8y30cFBI5CxUealdo+63k0IXNb+niVuNbjIOunWhjaXPGp
iOiYYSw2AFnKfoM9GgygdirDkY46ayFAd3mdaukth45rPGfY08z01Hv9BmbQFT3VleqQu5s2X0uX
i8j7CyvEGh1fpop5Rw+PxEXbQL9LDMIgjEfWPcIr9Jc+DCafDGJtHqZjbofswJ1+Z3mcMRoJE3sc
+hl5JDAFFfuSQ+kr3TVlVpdgWsZhirPs0jch1EvRhNXSkvy9VVG+IR6G7F3QlOjb7E1P+je9U/y5
F78OqERn9NcXDpZ3qDQEDaCxHIxdFA1ZNmfNdRZhDrzUi2I9IuyL5UJWEvLKoMO7gBKssUbFjXn1
X7WZ/s8UrBHN8EvhwPPEi0zeXuIfd0A0At9+7/vup/8G22tKWyC9gqaXgSLs++6n8ROsJphePDwn
Z33An7Jd6GMq7TXAWVhRJo7X77sfMmB+AMmBBhpm3n8mWIPh9ukAYZKIRIOPcwzHHv7J5vzj7heH
JbThoFbm4eCl5bOlOAluiaFHGCT9EuE9mhWkAmDJZQqKdXS6ddYJzgCM19L+VmToCSAWB820IicO
FjYE8TgSRAD8J9S7Ag5QaPKoAS9/qnTTUGajWdZXKrOfCIN9rF8lhSip5BRdEfj/pxY9fgJ7E1Pl
I7qtXHTyNgHQAIc3SlLLK5Gqe2PUnltPfRrsLNvoYTGvyjhdtvoI/7aMMISVBrqyNsBvnJb9W1zn
j07RJ1cxmZsAoCZkbAKxWoOqv8CfNsxo7gFfUUp9Xik6XKsouW5VwpTKPF1pGaCCEu4P8ps9PdfL
yMrfmAqtDYcpjp5el3p13xaPoo0QVqn72uiuaAQtIIDR2mMrnYWxdahaGk1RYTAnSq8hGN2l1A74
iipjjYRoRzDRS4m3eabo0TqIdfobDh1C0qTiCmVUUy70UWduYbTgsPJHOTRrOnczQo0OFrwCr0hO
ZaXeZ1351SaBgfuZvid5l5yaDPAxs5+cujyGMJ8o7qxKNHEFJHbY4VcxFyYJDjT2C/vGRP62Syvj
GrRzshV5xrpnP8qsvQ1p6eyHfiJDIWJAnYQuKz30SXsk0vrGVSKYXp27x9qhzGhbXYMNXFaMQEgu
pcN5IQR472YiM0TNqYryvewN3tx+LrAFIe7aExOPCDAqFmTLf41SA1ew8pK0XxynudfLcMcdvRl7
4EFJfcOQB3+I6z6QDbjQOtqulnOJADFc1LbN6orRdNZrgJxQMJvtDlrvTSZJl0uGUltYbnBsYCzn
pLjble5AdMi6194dFlUrnT2kq4tm8I/EFV23rrNtRjw3qlJVT9S2mjMX/WA/eG2d3BpgfgSXskEm
9l+1UH7oxBzDL/iv86/N/wqhA8aEqfb+62nE7CX5v/8Rv9dh9XE9/f6L39ZTnQECiirWP1tjqEX3
//f1lAg4uiFT8poHRZHoD37y+3qqTpAblf60zsDCOY8JfhhI2FOTiB9OwwR8Df/gNPHTWYIEVU9j
A+VwqxpQXT+upqFlcnAQMEoY3n2lx7/XCLf3m4eSoYRjmosfLs93IdiP0WqfZV+4QQyMH1gWdduD
9/NJbBz1CJVk0qj0UMJ11pd3nemeRoojkMioEwFnAQ7nj86+PZ48W+I9/xfve37hD5RO3piLzOQF
t4flOtMH++HIVGSVB4I8Vufj2O3yASC1YI48q0gx3Vdn426/gpMGbQegzrwSI/J+aGNkagTLKewS
hL5/+etr4Uzcmp8+E+ZRFx2cipn0k8wEgXNZujaezdTSumVXUNhyMIIJw1I39wEz4gqeTCXkw950
evmEsuzIpbkx28kGqVJUdUnzUjSjQaOIMWtoEPTg0tTFngYNUPNeEf6u6Cc9Wpn2lkR+CzJHroVZ
5YCwsgA7dERCSkXAD8187GfYuRHrXXRsczBnvnY5wu7R8u+Dzts7bnapk2o7h1NBOozTOsvB0o+G
4OZJMcDgFJE7x771XFV9ByegjVd9U5VzPff3cT+QlAOScIHVb12WmroA4E+Salzta3rnm07q1SId
0k3lYcwmd/2tdJKS4Bc5pXcnxcIlFRAyATVmI/cKQyLX9EG7NBTCatKMM1dyNgtaDOS/vklnvuin
m4RHiDM/XCJEI+ez+A8PjkZ13Xm5UOdKDaofUxxwIERKqw4R3RqUDSE9w8CJKK24KrTCDsCfmLyZ
yjIJarTWJhD6CD73zFSidklZjus1azJCmDwqcpliYNdaiGVathUa8pmSBbqsLGimvTy6bgNZLuht
iA84blw8qv8fXwzC3y3qvclLQJLyxy9G0yhB2aJvmicVURxJpl0Qn/KixgNDoJTBXWVraDSTRzCh
zcqMkHs7xODZClDbzo6WiBX/jkAyveNPV9xD6jX1iFWazh8/UQoNvhBhqs7jwtoVgzaJ3sebgEj7
mS7it1/f32mJ/end0MG6GKlhE2MD+/huiLhzG3Q7K5KXEAA70MBV811fJo+1Yz0gxMGBaoTXrQJA
oc88YnZc8TBG8JyQJrRzM46v+0ZTYGeMWxHSXyHrnS02IkKJlsxMFualpmurMHKPURI9VeMmE8GW
Tiff7qBniuLxlBjjbT307tyTyMvLEGl3MkCqF3m1N0PthTHqLcFkARITlZFbifcoC4jkJd632Rt2
dgwYWG6LXlz8+uL8i2sz+ewYlqPTo/L7dG3smAj73KMs8fPmukCWQfaPcYym7sqv32ia8X++C7wT
OxHnA1z2k+zvx+UZug/LQdhqc3XwMDw3+OaySRLrj/T/yxjmj2XE14lvvMV0UuiOJNrq1x/hX/yt
PHH4+E26eD8vxlqHpa21WIxHugxLZP1vaqmepnf89fv8i6cbJ5DL6gtdiEjNT4t+bjamRX52N+dg
uw6G8EKLhyuGx3PNrP6G03wGo334JsGnm7xFOtGznOg+bzBt6yUj5Uc7rz36bDDSbhllkCLFOzcl
jfoq2uSiW3VTYyStcbuZQIC9epUI5Zui5a/3358ObRMfW+UeT7R4OqGf9l+4wCRZwUyfFy0HHgXD
46z1CsJOvF2a0OYfII2lhJx4goCNLl7V2d/Azieb1cdH7OMncD9deEdapefW1PReSFzQUA4bmoUL
I2dObTS7FDG0Yo0r2NbIJqqngXwDP3z69b3Xpy/MxxsyXQXXPuOsJq3qx8ecNEiES3EMEC5wcFT4
t50WPiBkfMqLLlgV5DvNjDR8ZOC1STvtC9iGVd/rD0IOx6bqbwQOVcOod+TkPZModw9Y9Now+JOy
Sh6gke1oTB2CrvibQuWnom26ctRN7IK0rml9f/zUmXDZ12zCjgYtWCidf1UXFjodd1XoHvF17tGq
3+qmfPj1xfp5Tfj0tp9Wn6gpR0F0SzdP8eqDWADVDDhpVGC1aiS/hMtSzVZF360Tt/qb9ehnBtb0
3s7ENmdHpOP/6UbhRFVtqXGj+tB/RFdJUJWWndqa/Iwhv7czKpww9K5xep6Ksnlu3fy9hcfdApjD
iqZsBIvkPO5T1vjwaEXZNir1u1QCf7XtV5OhYiTxhGVinirJq9sOpKqB44hpcxL2ka+FUW6IoH8x
rYyZ0pCnoPqCFRTtB6LOOZDGyE0tbJ5z1xWnInQu4Ui0X+2q2Adqdzd9vyPRHnIXiYoo60PFEOoi
I0/ZUztiy+sKaSMoSDebGsoDUSSRiPaJ07MROQGpdWH+2qTOnUkslZKDqcBUekWT/woD0rKvk6fa
ZitSswWM2dWAn8FW63WlEXlaN89x2mxhIEP0UqsZ889lxumCyL7hNJTgKjKwXQs+BZSBInhA1CIB
UdNOrQN2l18/QD+h45lyTwUEBhiM0QaTnI/PreNwOwIVkhviROCXIRgLs3+D6vVSOuK28JBgp9mT
qdzTa/4CzfpKSSGZF3RO0lhfjHGGNSoHRpQMl06dbh0xCb+tcpbIKbda0kXo64WWNig/+rtff/bJ
AP95peBwZwKWmciXpvOpydX2AZriYGS1Kpy3oRmhatDS8oM9WME50aHLCBgHf9OyB/aEI/pvrh1N
3c8fAAvQhH/j2XfZOs4f8Ie6F1wDQRhezhvDpQQcbLfjA//VuCS4KFljn8NBaWTAzValj8gWwRkS
pJmdQ79ZlanuUFA63aRUBY51pes9mNJeZDEkewc0xJYRFlIpnKHFM+cCThQ6ibL2PIcNw6vYmCGB
cqnhPC0HTOC6H49f6MKrj22p4J1WOWiv3LJoQCsNnrUHHCf2pUkUWHymQrhnQgQWgg6+7wSOCCeE
hD/BJNwJKyFq0T6pYa886RN0AmSH/0KWabhyz0wK01dBS9h1zfRHHT1YIqKaGBaM3OVTcSZb9GiY
QpoxE/EiPNMvgFnSdXQnKIZ55mOMZ1YGdk6MRRNAg1A4WBrlmavRqSA2jAm2ERWpnGemnzE9j0mw
WpQTmIPRHIwOpzK6u3Z0n5tUU/Z5tck1M6fV6MZobat44wvLe+gaDh2lakbLFLbXSyWYz2gT3oro
zndJ631rh2FJxTl2SJjSZO7ZDUbaNPZXIUcog9MNwV2qj1Mza1fI5KKVMcKe7XtQ9mglZ1qIJScY
M/D5sLTt3NXXVdO/yZgvOEicrSIieSLjNlsErSG38L+/yjp47fRhzZDy1BPpDOFQPrmRfcirPiQr
oGqWql45a1sL9I3RlhMGTV1BsTFWoZmtYbjsKHe9VYoveaZ1xWsI2WwmElD8mpFcV6OpLMy2j1f0
M8p57OuPSoVztyxjm3Sw2J/3ZoiDNWG8VTNcrGEFZGk+N1SxU108Af04vFoAbOfd6HHohtQCozQn
xzUgW1Fhe8kI/eoU4tZygJud7iyhv9LwdTgVma2UKwD2D04X0Q7WpbpOiIhkFKM/Znb25lvm2gvQ
m5t6cueXnGI7UzfWIvV2dlRhCY7YzkQPpozzNm6zQAzzxqzvCHilDUmCWZgFL/Bm6FRE8U3geu9S
DTY28QhrZstPSVPcOoEnAfzqDxY2idHCBheNjIcitYxW5dB22wg25c7yBDIMt4WCpo/BXBdOvEKB
aM00GuhzMx3UBxUUgTNjdA1VtOn9nTFF+GWs+XzjmFy2iVcyDGuiVdoFyANbfRkInlkAaPkW/vZ1
Z/nWPh4HsYqxYx2NAQUg3DSMqZq2YWI7XCiGUy69uBHLnlTsPSD2gOyNWop7Qq04zoetRf6vSkyX
sQht3V2XiDLCWTEhENMzDbGfwIjBmZFIW4NHUTuzE7vyzFFEIeuwQqvddTk24piHrlIvaIWjuUFR
z3JeSfTtTBvdtljqZ14j7l7YjfaZ46i3AUzHcMI7mjGgR/vMfAyhP/pnDqTwFeULETzyJm6NjL9E
03rCTMPBvXUq2v6yyDFIxEAnacY05p7xS73hLsPHr7DJxOfGDkMRKP/AUYFr4Fj3mrlnwgFRpbdx
8kR9BD28M/zuiyXloiQpfeanEeL+3nlIY+1GK/qlSnGx1K1h6+p1t3TvOIJTJzhMozvvYiy0djEC
VFwUiYHyiAkzzPlArOxMI2HMSbEEhxH5Y2l3mVrufYHnfOkQ2LHw0AYu4auiAIztI86VZwd7zwwW
H825MN2bCb1/02PYb+lr7vltTid55vmkCtt4e04QNbtlEkYHEkbA6dGdbmJKWE32Ky7rxg6T10q3
L4IafEapEkVWhRs0l09D9IA0eqr++W5m1j1tpQrVErJl100u097cO7WxZIW7H4W2Qwa0Gn2xQTR2
EekJ9sSMx1WQqVlfFuRxeKW44ykgxsE0t0pqrE3bP7q5eReN5he3UztIBoSVGwUf3WjWfjasyBRI
ZnYRri2gyrrvPkO83tgtUuwJaumk2kZ4NWkBwrMWHQl2rNEvxN3dShblHl3m2A9HJ3VXoh12gUuM
42htShuA1QRMHrN+GXrdF/ZCVqTqpFrhLFGRWvQ1tga3MK7cUg1WrOnrOh7DdWsqpOsW+REhL2uN
ePPTEkfYEDHKV5GVsnUM2niZt80N6Y8EL2SUS0X6AJXzyvfEzah3KEFKFiP4xje2V4hZnJZ7r4oB
qZj2qh7BMebDfTi8Dd6pManD2BvaYs0kbZhV6RgDUjTfMzvc+gFTCmuAo5hGxnPWjuuwkNclWrNF
V7OkOZV+0qCpkiyjvavSIveByXgiVIucFucp8nH0547flMecTJwL5L9Wvpbn9O3BT0r9KF2U3qlZ
+cpCK6asbu2c2w0TJzOfbLJmWi8ub1WYs5cp9LEvbmCj1g1HUASOlgPdpWVePIxG00U3XjnQB9Uy
td9RajiM1YXx1INifEpz0fIswUZhcfO9BHt8T88BUK9DpYESvVRv2XwLhfkPIeSrzPBk+q2C+reA
9e+pKRTcHBH/emryhMz9pfk4MdG//dL3CbT9m64hN1XpX6DgYcz7+8QE8zqdWM6gnL/oSmH5/HFi
omOrwKFu6daZafLHBNpwf5uOcT++3j+YmNCG/FQbIyVkzm7jREUCRmbe5+LciyMbOBPyUCuETqzY
lZNSj3jYqrsR9hpQ08IaTwLd1QmvN6I/teF8ljrkI2HCq/Rj4UIb3dalFl0a5gCaFi28mpFMEtcM
ARvqvJkTV+kDjGanhuja6C924Ss+mxrxtwvE/SgoCzNJx21pWHR4nBZy0t7KO7hMeq+cZFdUV5pV
cABr6au9u5UCbzn1B3Dsrlk1ER7FsNxRjWL6C4VTggBMG5PUzrM8UajTp3bbkrXGPksYxYCaMT0L
G0ESlYgcJ71jcJY+jh50+Xmso0qH0jfJI8ezVLKdVJOmF2Xv9qSkVCdNJSR+ueXYg9CyPosuS/JM
0mVcc7pfqCM8WoQ6xFhSqkT2e6KMRo27zMjfVJvsVNpHVvJQFkP0xcZbm8355AlJ29ymJ9mFhTWj
k1LEO5+a1Jm3ucv3PVR86wXVE7w+0RckzqWuSi/d7axh0/fkxCGMARfCFtrU4Ffbgn/RGMhCll2t
OqvGaNpDzwrvzMpAEiIfVoUJgd/vnVOrihg/CGfAeQDCY6bzXN5HoqTBNL3klYJOYq9Qf9MRxo92
inUKn7ILoCp6xa3R09fM0ZdCrSVySrOy8t5p3DetdsKNFkpr6xluuksMjh5SJdkrqO3sOYh8Y+Uh
fpmq17xesGAOEqygX9/1Tet8dU0SvaeZSDfHPBL3K8vMlHfb7d29ireCzg2pzhetKxp77RCrg+bL
L11/Vhn+4C4Tp3SjOSNob28qZdUtolEb0O3WKYprBmRg/owcTxApYxmeYNJw6DFEReW+G9gllvCB
zXuyC4n+cTy5qWyRk3bH0Mnl8aHxqFvvwwQbOC8f/15r/36tBSbH6vTXa+39Z6uc/u03vi20JkZ8
ho8gJiZe7eSI+32hNXXCPyH00fS3vyV5/rHQYogzwMPryHwmEgC83D8XWighmAsgu36fZ/8joatj
fG6WW/C3+I9BwxgUIH78jx2cdui7IGiIqcN61NJQ89zihIBiLFb9GOn3YJamVOmYc+ksUEf5otc+
lCnZtc9ylHTNBLokexY7El5n28R4fP8fe2eSHDeWbum91BxhwEU/qIk74D2dzlYUJzCKDfruosdi
qnZRGyh7+3ofGIqXkvJlRsbsDdIsB2kWokjR3S/uf/5zvqPb6PvnKrTGftXYKWMyGWhATTRXug8z
STUMPHPlPpnRpJarXlWSSyxbsrmRS/XuqjZGBdpdMUUr3B+EYMounZotDmKISdJ+Dyf0yknR9zr0
HVH0H5lh3cgouGkqBt9W7e/KgqAY3LmDEzbnOp7P1Dhtbe0yNl+WYH3RNBvN7e9dlwdBbybxugWc
yoAuLrWe+uDX9TX5IewsRbHhOXyTmyXkzIyLtaZmR5F9bdnKTioJ+Rh+GMSlFPYmS+5MiOxmxjS6
KQdEhBZ0qJUMxV6U4evMJHZf8d1RwClW0KlRG4lZ5EMcHkKSyatQqh9Al8DVBfapAledJ9W7tCvf
Msu9xhb30cyfA7IFVQ7+TjqPQ5e84CW6MQlVWQZ08qrtdqG4igKksyo+RA1eJzGGF3zCVMyn9Gwr
BixYk2J6wzoHzeM4U2IjjP4uMovjPLIZdYPiOPbdLm6cr1YHq920WN3rxKNN4uBBnW4bxVwXcbNJ
Rty2DYVWcRog6In5GndtA1ghqjx8b1eioFddB61Och5DV7l3CuVg1I+6qpxixaKbMZuJQ6bkMujG
Wtf0iK50XJDcQRMaZ2LtrUgFkIESgaKgucEUWF2xak0Mx15HYVwvtFfwlrs5pFCAQW3Fnf2AG/Vl
aIyXqtHEutYTXusECHvtYZveT4Vybgzjoprs3IsqvW5q8hnlrMvV3OIPNb9FNbH6EW+yWjpILaaY
yb5EGcX06TUkHR7iLYmNdC9d66h16hE+0zbNIoyrckwOVHukr6NW+RlWLjoIPtjlXzUVS8aBGtY5
v87Y9mMps0+loTtXPbalru3YKSbxihDFKnPpqXALOiZLead2cgNY2lwrlnPQM4LgbcDj0750MVDm
BPJkYNwkhhi9VOKec21yg0l33Uyo2bPbXJmUoNuOfDBbq4H6kxwrwo6873CsU7ewUYuvQWSHB0gQ
pHnMIx/ZyFfa8JDV2dlKMzwDc6Ty4da80Z6/FNwQzKyKsThDYU61o5l2O8UoCZ/QvAhyYGW2tVy1
sd5Tmdd+RAEGD13cS7zJFAOZm5Zrjt+SdZR2kG3ycCPodbT4gLjuFn3ES5JtX9/npeOzCuE0CfeA
uHyrWno+qxQmcaLcS9de0T+4LlKS++qXSQEC0abvBFdxAJ5s/ksHxt/MFWtFhOGqVV9hiQHrwSUP
Vr5HEF+J2ki8StivbV/dlbWmraNqumAuPGkKsysOdFxvreKbdXXXD/LBsJtboZG/4e2gMk3bnWmu
m8S6buiLqni/roa5vSaq9zXqjNs6xz+slsdcUBVfxzt4fYSaYAIh7poyepGJfYyrN07NN7KF10o5
bluOBjGqFydzX8Youw6m/A7o0GqeWj5VcU/IdNpXM/2VCb5v7ck0mg3RrG2IXTgJNC9UYFOMOSxR
y5yolx8tbPT4fDOmxHRe+lgxiGxCFfWtrfJyZYkUlEKbnPQGpofRn0FX5CtQmBFXRfbeSorZwzRe
G814D5xoFyFMUbVw7OZgPUftMXFDr3CnA01K/B6Qmsk58zZJy7WorXLdOUe0P4ohKwp1sDXHQb+x
RP9kIOqVdvikRfI9Eu5G5RNEXyb4piK6UZzyqR+IPk1KRZNFPL3XheW1cqbh4BmVkYVdRFw7UsJv
EToTpyxx1XIDdfBIGErD9A3itUO2HNIDY7SPmr0Lcvrysv6OyME3hXrnrsuBeoiPLMn4wFlfnL4F
oJ1cF6X6WnARozARMuKobEKFo3cuUz4mbOW3kYwveTLEjO/pPgq1s1O4OyyjvjKbXgXCQ/aRT+qT
p5brh0WorVpO9FU4dX4xj8mTmwj0aPRaYmRgVXlkRCOJAUYF3RfYLqzWUNGH5+OkGccwzU/4QV7y
ART0aFPxgdUQk2aMQ35OVoC7LyDcI4/OkUtt1cRlG/Nshv3tgKcdPPd2yieY2tbexODCbXWjoVAp
etTtRju+zaKwos0TDuGgHiqdw5c/ATHi2FTKmR8W+Y2mzzKjbyjkJYQ5Ea8GtecnpgHS5yXemVOw
DTprO1bOUxgZCH8NPZ9g9Hai3ZikzJMKS8ZUqxeIjmOLMkO6HDltuG/ARb0k1pUFMc8zWhCWhXKX
287s0SUFXbI2NqPRLi1n6a1O3iVM8K6O9SWvzpOZnWgWPfUDfZX5NqxVAPqSelrWEs6tbU4PjvIB
eM/YtXF43VojwxduLc2Fl1ikl3ysqjV38FMLvRx7FkWvVDWe46g+2KPgpzNvJLUjpIZJoYzx+xRM
VyJwOQaGk2mZXytgWYwNVM417l3V1F81Qo8Bgi+43GIlU2efusNj000HA8kNZNaDO09bJyTvowI2
j5sncpPIv/XJLru7ANo5CUkeeDRqXsukAFs/t55C/5RoH0PpLoMS9TSjK7eRi2mhr3m7Oucq0I9B
Qu1XnzJytdgGaUXtxtJFVVQPmtU7azNVrx2W2WU4dxubAitQnPU876zCGaVXa1UcbSgMq8drde41
QEgspJ7iSh+GbarMtcLkgnTDRqasjFMNGNhL2uacatLqeecFhPAFI+OZWIJSH4zAwT9Yttgazv0Y
IWa7RjOVCPSwjDzKOXK/iMDVGNQFhX5rOlm8nQrmPSuEI+RpShRR480/2+vg9N5RBkLtUZIaA4fa
rH7jQaiJVabl7kkNwslPJZ9/UNJ4g4MpuItsoX5ThmA69UHdaVfklEjF14rzAU0FDGr2aVynh0f2
OntP6pH1VStLBFfTRESOjI4msXBInmszedFE7W5xyyGEJjqMoNHR2cPIadA2Y8InVK2Gol1LNIF1
0dLOU8XkweehxHRdhpxNdFzp2Ke4Rj3lstfOGWUSB6A2gG8UpTMg0LCuE5yIYU6CiooaDtgui89O
vaQ9G5XbnTFmH5aSsqzrk4zKz6S30kcTjxQYYyWs/WyKg+eEcvd9ocXTbRNHBmJ2qqyNNszXWDv5
sZlxy6MNEP7aSBz67drOXS4Pg9rOWwluwDd7s7grEX2+uYFaHKj7jMZtIOmCIhOr80vN3OX/5p2G
0dkp9/boFncK+Psd2TR9xjRhNp7sx9ILcdf7pcQ1JAI7961AzT/iERiRWPbflmxKr++4xImEV22m
/qhbZ0tCoAFB6Nsiic8YK/leAR10e73kgJxb1XgZSxmfqwl2fzy5mHVUo6RKqiv0VY7x0EcPWnzV
lQ7L2ogncHQYiOZyreU6+Ki2jgZzLWQG75AHQscDCYskO5jJEdYNlV82im2VlkgATtqPG703spHs
3YLcqtPHpBT0mhd9OzgYPCoaW6vJZO1Fz1Nb/IlP51cXFJZcXA+ORsTCVBnjfjHJMOwXwaQFlueY
XekhQdg35kzBXtfLyfthDr387nr50Qr899+K2AlFYwYhE2DvS+b9R8tXg1O31erG9ISVvmjmfAyy
+MMIo49//m2WJf+Plhv+JcLEaaWxr16sXb9odVAardbRO8MrLRz0JsjGrvx35nb6VxHZBucu1oF/
LEAcX2Tzs9T7/Uu+KxD6b+SM0FINrBq/03W+h41QIGD4oPACG/09T/SHNX6pFVjeOwZOQf6yRQP+
mzXeRZFwCBktkSNqRf6KNR6L069vHt42Fio0hi0QCHwaf36PWo0roiicyMUYlfYIgWbs2Jp0VJEx
cYHEzGezCjaBkrZ+XDVNcEeNU1wdainAnKROSQtk1PUYk+F4Qc7IlR7ycCfdbWX22GSsSRySWp3u
hD1W9zR8OJwkqkCK1PXhInGNPxP7YAVHSQBYQTd/Vlj4rbOw38b6pqDDK7a/1JxRk8FVZ7xVl0Wu
JNmHY3VdLfFKv3fepbNlJqMUS7nEcPlp/kh8KwxeUFFXaaEBiFmsVRxTMoK2V1AwztzHnNla+qV3
rE0Wl6fEvaKwbiURAXtQZyJhPv9gGnN0yleg5ak1BIKiP8wMREidFKJL83lOq5A9YtJtlF75phY9
iP3svWWYZtH7mkyvLji15Ya6t8S2d3CWpk9KchfTfqaYj2oevMFHeKVyazll6XfVhi25J38UqTf3
41ZEjgdbhkXaQ2ASHRWQmVOV1Gcb7bUi3hezQe60uJTs22UDspvr98QLkI/XCvDEyE6uQ0Iz7nGo
Ojacw7U0+2E3WVPi2an+MQ3yq1uyI4eXIqS7V1xjZ9DrujI7fi0s7kW6LnXlncJPXr8A/Zx88P0c
W8Zb2rebLF1XwX5OCEHNrPrnft1LpFxjwz59b5bRewi1wK4oG1W1hyaG5OqeW8FgND4U4mKAe46U
h3KJLQfuNmrMr6ra3YfHcrhP2CcWSb4apw+9Ste923+d7WwDcYiZf4AVztKfppZsxNIFA1aSEGYT
qaTmFZlXb9bEPqQJR+pFTLlC+JKABQ+tmbUuClZ91Rdw3FNr2+P99dn90nFfXll9X/hBotFgwAeZ
h+NNHNFjbukwblg7qovZ4Ng69wH1gZRh2g3jfA5obkvFcLRlm7MyBr/L2Oz1vC00ZuMU0rzrqfW4
7q3XcbxT9G5rDao3Is5z2xr8isG7EVu189CRbifcckRC67j8Gja3Yf8297vOiu+6SmHh7fqAxVmH
vBXBdi73LbO/Nt9JfpuQRp4rNKDCDahj0/fuuI37osNKcqdExRd1NFBh4m1qTTs9GLDYELBbSgLn
iZZL4Vk6lDfZeVmtHqYkuCrbjs74mPdogiu+BxiJ4KbF4qS0+odZUFw53TjjHqTfVR6FvoZRm24r
IO5WuxGtdaQnZV/hSAL5VV2PIwrfGG4tfdyUWktdMO/dWfUdMulMsn000NWoKF4F4ap0TzoVSKXq
q3O6A7EeoBUECydxJqTS8Y42knPoOjlOO+sSVm9wew5zcqaD48RegdfJSlWvd7NvfPTwjamsX2og
ftxZwvfJRjgh/IgWkeuP3fJvx1Saed3QwQ0I3K9qwaIY7b4Ezcdw4ZATkPZKgUlYNfZbOlHDk9ib
qrfYsCKMtttMW5mxfolABBjydYyLh0k8p8XF1akymRDsjn10BNr8aDKXY93qjIM5WdTOHl0cDJRp
R7iQjLE/t4G9n8OAPqSlydB271m9eArk0zdAgKdwQvAQDS/NPUh7f3JNlu/2btRuZcY4l60aKupV
LjOcbE3TbkCb3c5Dg7LH5hkz/26QXIQBKoeHON06vJTNEbSB+QVvDNWbj4r+QDSwSO47uUtrlzij
zWzEuH2NbdElU6+4nhKxYMG6q2/smYkzartgS/LjFieM+MReMbWwZrsiD7XSW197Lnum93vQNRhG
1gribETJLL/MTc/wHAJdXE/W0XL9DGSi8thRbUnZFgwFmg8QQbRg48yl3+eIQ95AZ2daHit3D9XU
Jr5QfSBxZ8JT30dnayRbMdDlZr4ljEB4TWNr1TD+KbwvidAH8jTPjxUf97B23/g8Tm62j6qD7j5M
bPMQZQqumqUFehuEmph9BcGG1oSYSE4WfDWDaztg7xgeKWIzCUK8JF8AZZLaPk2LAWjYkaOq6WR1
1iPxLiSfOqFH1m8Kj7MtprKNnA8nlmU/R0/S3Er0TBaKjrapI7yviA9kJl5DYkZ16muZV2HAWc2w
N6O086h2LjnMWd1ZPJSmXaK/BMWdw5xmbSNjT1uAM9HStVExbznZLjOe6/qU0a1LtXdPqL2hwROv
ADEcLX/KHVQQqb+y41szgx5kdkrhdmkjPxC4GU1ract2YzomxqrdaO34pkwgFpIigLs20WbTA5Mk
DrQyyuyLLqNvXUR+M167uYm3I33AJoG1z173aBZC8s9fhvbcPSY52njFmM8rRFEbLyAJUd3X42Lv
5pmnuhW+/RS5PqBdjar1vB8a1x8VLHx9j1aQ1UiywLAPqar4eccUYvOYZw++Hkf2dug2LSOsc3LY
W7QUV6ywQGr2V8uu2TbXq3Z6tvM3w2UkgbRkULgnYpXYqOEP4UFhHe1jS81onjc0vpBWSndpQjUQ
RISGsCdEEnybQa3GqxSYHrIxOa8ujOuzA0/26OTkhmbTnO+MMtLO4FHUvd6NmkHJpUsGTUk1Hgh6
fgvEARVatwf9SxPVuT/rcaduJJbU+7guuhen7hOe+1VHZrlBMtW0Lrur4YBQt1zZ1nUOGzzxahbd
fFItCt1yq6JRp9ISib1mmPpdo9TEe9SmlFD8ABDdax2rbJmznKcHd+HWWoPMdzo+Zcp8p9Bsr3Q5
Iw6TC++owGg198KeUzU3vEfNfQ9flM4nblK8BVKc0uyaqViUpeyO2GnjXSiDAjm9t8a1AkOu37Ad
39qzi7BPwZN5UzsTc+Psat3282L97zXon65BdZN68H82hVy9ZC/t3zHJf/+q754T9zfQ0JjFGTo+
4QZMNd+pB/Zv2JWXDSkJiGUq/hs1lFUo20kbfBPXHl0H+vO3UcT+jZQp8wvDNMUJGGX/yigiFrr5
z3OsRQCREQnryUI11fnxfhyXaYt09dGJSm+C9AcUebbeJXMwEVa4oLB14rL56AabvQimBIs2yIxd
KMuFgnKQOHTMmyEX4WZmOUOWASf0aXF4fKQ4Dx6cPBrOE/Av05s0uCzXw2wa0jfwdR4cV6n7LcnL
YDHBhzzQi1F1OQtB9SKKZwb7nS4pIrLCcpFx9XA8aE6R3Zc5yvOxGxO1PKEOhldhMNyo6PxYfK1U
Jv6oDvd0qigPGA4+hXN2XsPM9V4NBfuLTieWGvWTAa1H3bW56t7gY4jvQlrTvlZ0tbHEce1y1ZQt
tx57SokgBL39EZkEybxYp66rA+OgQqsu5fU0KcmWJSKxCbQwNCgU5pzfTCL4/o1LEgsaz2w96VGU
bVK1A95tuFxkuS3htlfTm6LIR99RRsptJlpuCm0AZJA5N1iBeh5ChUb/lo3QhzwDECkr1ongxO0M
x++UpnqQbrJ31GTeTharHJCuH4MePsGU84KGHQV9RS/EPFmG2RX1YfKaO+BllKnpxbFNV0/m3tDT
rJ/yhExvCqA7NPI9lttnLojh2qgRRKUj4bGmmD2dpjxndfQlcZR7Ssm/jLZxjmNBYWivmRsWGoKB
0ml8lHpzXdY8oKWCvE3PKtcBc3E4utMV/Rj9F2fC1xxYY3SI8DuxJWiSba41Az1OcbrRhuFtkLHl
pWzlrQhmDFeIJDmrVqMzEIadV8i+uSm4CfpugqakK/AwbDNzuaQHod/rzbLCaE9AqkK/njL9iXSP
cdEMPIWhnSxr5qqiInoGNLGdqEb1Dep/Tixsu03Ws3RaBZPVP6QgOK/Kqov7lShswhtdmr6DyRBr
R2g2G1Uu8pRsTs7eGvhgxEQKLqDZhwNOoWIbVhAu4XUbG22hXtoL/zL6RGFOv1Mx4WNWAqtl1eja
VRgxDfKsAqSJsVjbtwtdEyvQixPo4qOpHPutnazy7HziOLWFzJkO8guWe8g3JbmuVVtXSbQxKLXi
xqUlHc3aBu0ZxdqsqvaxTgHmkfVw07ewKlmOIVQ/lnlc3hRTc4pdW7mlSC55jpowyU5lqST0CU6h
s67oZL1v2tJ5Hhz9yejJICMg8i4fU4AeU+JkfjF1AhwwmHh6PSVlS6vU6IeDbAYhoX1Ofbwb6Cvj
phUU0b2ZNOkbv5fcz8qZ3UqUlGgasNE3egPScNMoDklNTRkou3YL1Z2PvRpooTdJMztmjapTRG5K
tSSz0A17mr4jXo+GhBLLZjqHcZuzCGwmlGiWx+x2zKQk6DFFrqh2DQz98kzLkH1d8mbaR7aWkWwC
e6+prXrSQ8gXCu+He/Ad/AwDBbfx7CSUGnejuqEgNY/8uVDV72Hwfz9g//QBK3BU8tj7xzLfw3/8
37+DCv3+Nd8fr/C1WSnjJ0KOVYGJ/pelUzjguun5ROhTCWrhLvib0wjfpg7oggwXPkd4DDwU/1D6
HGpCSRFgP9J0JD9MSH/B0vnrwxVMKhKkBe/IIJ1J3v/nh2tZmHLWUzGtlT7ZCWXWsXuIG+4CW60g
EguPlD3cSe/03Q+/o/9GA//V3/T5fSGxUnaiY6f6zKz+ELLSShC8JR+vtV1qr+7cMfvZ6pVVaRjR
je5P0tzun303Lis/XiEUCCUROyru7vQwbjQD80E9xG8QkvbgTWH52s0TY6q5HlRDP6i9tdWq6I3n
Z898H+KjCmH05EEB8cBF2KBVs2YrvUqKNt9C5suOg76US6dtPV6NMSqGFRC/WS09EddzbFfGTsNa
H2CrIMjBClLk7w4hr8XanVqX0YqbdNUofXOpFfIa/JQYam8F3A6LM6cmA1c0Rnt2g1grvXYyc2PT
2W5+53STsZ4qpmmeBlzYjS5Vb9VM4eOfkk06Dmab3apVATBosHORbSY1s9Kjg3CnLLb2YF73oq3r
FwN/IxXFlezOLcN86RMZXq43Om5Qj1mIJgK2tqQTAupf4Bc27aueQslaVaVDBLMZ7HQbkovloY7Q
+05irgfQVOVxts8rwfEUqAPOibCbee5yzTOvrIJl0coBQ9VBW+itm1gtbAr9cptHSyfyKxnq4aMR
sTEiO4TYgHB5WMDb5FdiOthYdBvXnQaSme4HI88PuRKLu1bp7VcYlTAKisAgOKurmbHWdEmqXg11
4/d48L9PxX/hVOTy/8Mnfukg/b44Wdqc/vf/+o//81JkcSc/Xn5egQh4G3zh9xWI+pvAZcmIoLGg
0nQmhb9NHly6sZpz/C1wNZ1z6fsSBEv7ZzAT/rzDRvnTufnH0UitKLZtlmqcjibu9L80eYAB+nXy
YH0mLLHEPV1KYz95bD8cUpOYWgudo/QoXGx1WsomVoNNpc+0JWoNDqvgWouKBsW5MiifhdOB7lPy
WamsiWo0mxWro/aYwvH+KDyXk5lPbx37fRGMHCNqGKHLGPZcgZkvQM+g1b9khX5jI977jTrD8h+w
dDWbvJ0zJnuM/rgfRbnTmqI46ClVvKuRYzNNdXiJlQ2mJZ4IZZthDn0ZrL5fExmgywdB+AOdEPuD
sMJ2F88xUcDSJnKzUqOhPNYSWuLOyLrsQutbjQVvyXZZhc3yMEk6seGqPsAFi3IjQXdUdJohm+qj
NKuk2BhS1tmx6zqLjQYdqcO6ngSldM5QjO4qDiak5nTUcvYPZe0+WpCHnBW9DiCP8yx1Ws8gAV2C
hSwhnNKQxOW4ZrgU624Iuy+kHt17RNkRt0zu0jlvqM19XSnB6IkEkrA30SaxkbF4t90UVZhH7YUa
TNfTaVwjBI6T9LFFnNjP9iCPswjCxyZRTCpHFYH9bLIezX66grOhXhkaBXioo03xWtfBw1hWOq6Y
KqIGKrewr42OVhJX5wZ9NeoGgUPJY9LJneoUB8uWI0Jopp0584ROfmimNOrsgjm4CYwlRswI/hZm
trJu7CI4sGepZqKXrfDnbHCQlaPs0axwXWC5ZQbDRLLBJdocobqmh1E6DcSEMnpzlcS6m3SFsXUh
7bRtI/fNGOAH0q3YviXVR5q01UHjjUNmPUZAajYOFRXHmPrQm3LQFL+OQncr2ZIctE7GN7XhTFeJ
iL/1ERBWN+BnJRlr3o0lLVBqVz+liu18rdzkS4PixBcy4/R0d/FKWM2mi51ba0w+MnZn7xGG5HU+
MRgUrkPAKlCcLdEC9ZspqidWivqeX6N24s2GS8XJojfLkgnoAH6UHi/UWnOXQs+J5lUM28WWulLV
U8IooaoHUtwM/PZYMJq8KGEh923p3rdTUm16BD/maw1cQtQEB6NjBZgbhbvVAx3jWslfUtTxtzkT
2q3tTr3hNX3l0pHFj2KrFaFJ3BD+HJbiVlp2SlaySw+1moAcHFvWXQmhZvyeGDbHhrquNdHdDNeN
hmMy0YmJELAzHWOrDEV3Y4tMXNJGT1+DumCBoVb2oW50e0O1ERtKGy1tO9lu4JUIqVuV7O9d4GAA
C8No+NBlj0sK3EEuRPEmZTjua1N7NIrqOosdu/KK2S2fa0PNgD9UxtYc696bQeLi3NSSjVlxmfDs
TJE3PVWpL3GVcUcBhYtx1iyaU6nSr4D7tNJWjKjTM+9NPntx3WxzmRiP5EQDdOrW7TQ2MGI8WDgh
N5apdBHYBSenOLwPgnULx2UrZoHoGPOzHtQWs6rXyHx8M+kHLlcDcYg1ZKv6HBTKvB1kmd62JdRe
ViCKmr5WXbod2+FBDiyKLcC7nQu+p85aDgWrRC/QZpZk09dAU3ua3+ZsjbmMng43ZJVntn7RJ5cI
33Xb6E9E5DM8RCkB6KxijI2+OqzH7HEadqOQu0BzjtCFbiYMWFMwBx5gNkw4Vi/cV1GaTzq+RPQP
qh30WMu+xCpOzm56d+uExLilUlXGVQOa4YSgUY9yMWzFht5fcTxdnKi+GdUxf5palc3PTFp6Kuuv
KjmbQwXJSawiG++9M+O9NbAZ2b7sBiNby6j6UJXuOq3heCxNWeaVPZXdu5ZG7SY1AhHABmucs9ux
GV/JMKNqxCBIU+6VvmzWPzyT/4Vb+NLGY3z2/pB0YJb4RVpDWJlUK64rT0pnjyWItQkCLeCMJ5lb
9//8e32yuX/yo1i6DUXMcU2LqQbIws+XcHPQZ653NKJod+4m8+b9dW5522b17bk/FJvyCZDaDekC
0DQEFtfOTqzqzeeP8Jfua/+Qw/gTrRGRjv/9imr86Y/8w79o+XH+xzVXLrREfEj/eIylYCf8//8v
+/m29v2rvt/WYOAKjfsY96o/Ll7fdWL3t2WK/QeRGUCPDpYVsVB0UIR/HGQBABKoAQglrE+jy18Z
ZBc7009vLyZrbC88RlUSlMav7+UgtMuyHMzBs82RAQnYVJutWd1mF5qSWM7aNqiMtSsmSM002bLl
Cdn7VbuhjbKc9rqq+6Ka1vzWuWV+bjnWiPe2ufXCFVCpVqMhidLpjcuI44adgw1FbWI02LzdNCDj
7G1oOm6PwSDNs7MgfVBhuWiH/ZBIvC6u1WEqLXSD/VuumzWm9h4mPbe5QXWO3KpMw7dKSXFbJzuU
IRwqUEbqoJn0DQ6c3TgEaevZgqecn2JmoEVOA/SAjlopk1/W5PJZ15SOs5qov8G/po1uQ+ukQ8lS
GyZFuDelE6jrxpDhDpk1E1vyAgofsUgv1S3nYoYP1x6ayDeihFsuDVuTusFfPhytXolSTzMDKBx5
ca9yuSJpnsVmxV6Vg3jWwvB+oq+TEtsebvgYO1JD8iu6j9Yum+ag20jVnCotMUQuNs52atQh2PCw
xxmsOPl1jlb3EFLhxOa4JBbtZ0aP54FaDMvXRBxe0aZS1n5RF1QTcokUX5RR1TFShyQcT7gQEERT
gBN4iyettL20SDGgx/QkK1s7qW519vwnulAoAkSEocejl0P47+a693+lfAKEtkVXxD87Wu674vU9
i38+Wr5/1X8NgobG3wIolnnns2P7j0Fw0cgs1lJsmVSbZSmPqD8GQfc3NkOMZdT9sL4yBP/pj0GQ
r2IwNOG6gpyDla39FY3sV/VoQc3a9OGaiyVuSf79/OCqGhRiimXY7ROM3rGL3piKxIzQ9luD0NoP
v5r/5pG8PAV/OsaWb8aOV4c+qAk6Ln7+Zm6np5ACdb6Zbe7kZD7NRvYndLy/Oyn5FhR8IDOhaQl+
Sz9/i0ZUytz0/HsaUd6wccNdI8ZXTCnbAfNxmkh2xlXyJ/7aP/mmvzYLW+GsdIiarYdM6rCHi28n
GgtofjtY9ghopG1XJN//RPjTPyG+P/06AVuCGUYxWEb4T8fkj8ofpBVKVrMlzdv34jLTMrobSivC
FeQ0nu7iZZ7FQIFnoOJQGbNpN+ah6bedNm6NYVaPkVKXN7wEGFCaziDPxrTRfymTGE8Lnv4P2eYV
NzurX6tpVJ701lhAH9rgEbrATyMtWsloW0qj4iTyIKWdIRwerSGzz1SqD/gzoskkZBiHz6JV8o1R
hdGhCZc9o5rWuoFb2xUXivrKDS8lJ6y6HLY12YHHsrc4gVXQ5vq24lwWywFtf57VuVmMR/PzBNc/
T3N2k23km1mQS58ygVrFllGHZBNHNRfMSSUVfVhV+1Nm0NsXChr8JG7wXf9Z6zdLQ7L0oevPJgHg
i8YNSAkEDCR1EQc+lXblQxMNBAJGsUuW7sCxp0WwWvoEKW+fD/xReWyXtkE1pncwWhoIYR8q566j
lXBc+gkhFvVrPTUyvw4B+tTCGGwqIwpWOKlpP9O2VNziDse9hFUQREA7aPt+aUTk76ccsSBu9jRV
Sv6oGRHxFtMhsLEeosDywWpqhOKWokVCHcRh5GcBI92x+pXWsRp+dcHFPy+ry2TF9ZR1aRsKTPZV
mH41SMldGJT622jpesyW1kcJxQPPINgeYxjy95AyuBtl4kE9h0lyNdmT+Eb8f94iqZD2GCmLnJeO
SWAg3Y6NKiah8Q7ppjiUTgyivI7j6y7v7qLCzLYyjhwaTwjfKHHg+rPVkoIg4OGJXH3NMqziNiEX
ZZStV3fxlZSw3t2AwFIoGWLGhLvOYuk3h3uzyB2vdUTG1Dq3WM6ajbCNXcl0dmW50cuoTo9tVy3c
hvF1yPIXrgwXzujEGwHXdPqQrpyga3yCoq+FkV3pOn+W35+PovA4TARbuSLR4Dd2DjBf9aKnEwvI
XIdHNd6bk/EUNvZTPKaoT5n5ZIXjfZZZiWem/W0hJ16m8RG/Lg95l7tBjicemAQqeKWmzk0AQj7t
p0stG1IpBuGGwBFPLM6YBf+TvTPLbSRJt/SKvODz8NJAcx5EiqKmkF4cGiLcfHY3H803c9fQe7i9
r/5cGVWVkY0qVKKBi9tAPWUmkJRIijT7h3O+I/prOPYWKLq8KfgwyEuR+t+0sd249nhJsH/KUf+I
APUhxpwucHtPhoWGGPuAu3BHzzpkibPjM7QDpnMc9GELWAhpHxJlJnJ0P+HE05xSsqSBKJ14YrSJ
CXmM6sNs8lPpjSF42/Q01LnaDTOlOpJo6dK4XWfF9BT4/TVhnrDAhXdAwfMgIIxva6E+Bke/+IUJ
8gf7it9nP2I288xboh9uw8K4yt8k6M8RrS28KCSmihGicOhhsUxJDgN6zOHJSfpw0XcKXL/WP2Tz
21uzwl6PFN6LMWQ94GnqgruEZ4RLd6uwLuVkPEM9tKtlZFUsHWOzPFq5/mQqFIdFz9DNhJFwZzbT
kyV4kwZpFgdUCGINIYawYHvGNmlGsGaTeymHrl7UhXeW3thvRiRp2LjGB3jazMQ8bV/o/YNW9Zu0
yuVO8e5W7HGZ8I8PQzxcMfFOC8yaOzg1WGTyKSDWx3IXPa5pBm+1YBNjlVwE41GYJB95FNcxYOLe
666AoM6GN7SLqZt4mVPDt1xhbOi18UPzefnsBT7yUQZr9CrenSvUtZLqXdNxcROT82jnRUS867QM
LNAeaTf7sYPxw/SwGPIHtVG3muGy06YLC6sPF4rFqlOgohozYGQwqnuVZ+qElTPae8GwjZpMoZBr
5C4OHNQGKMXUWF2Txt3hZTmQrbyMSTGYMnQpqCo2MgAxYpVheRzJkScoAsK8zr6ZFAQCo8ige+9m
u+cQdtNDl+DRzY0nr8YuHEbGJext/qO9Zz93rS13l8x/+BzLOg2Iu2vmt3jCs37TCIXecwaNaYE0
UdFGuh8tSoTkL3WcPwtjxJweF91ByGyPRldfYpDyX8xIY/UeKrEtUGr8dgf/qab7/6Wd/n03/T+2
38t5v9D8sTP/b9lzo5nyqUn/cc99fGvat5xG6NfS+Ofjfq6P7b+4ZK9+Fbpgd76q3J9dt4mBxHU8
tifAN+cF8t9KYxwkJCv4Hnhzn6Z1rn//WhoT9zw7nNiq2NRTjCb/VKhz8FW3/VJgmVSIPkEqpMUj
FvvjIleL+Y4MeZCtwt5nCRI1jdqTl0NyCjIJZp3TM8YQ91zo2bjNGOKty94Q9rLXp7WTsyVMdGTv
Zt6TPiiImcy1T2iMO9eN7jK9O9hmfCsw/e1AeOx9WJUDAiaWB3xlUoUbopdjTeRLi8xmIMCpoNnM
i0e4Y7CNveo+MlnTpJweKOCtbMPcF1e1WTx3ng82I4Fk7iY4E+3m7NQtKSw+1069hc/6rYgA1nno
hXrz2dDrvR5C8AeL6JnGVnOzz84on0dX7P2xuaimVCiiu03v1zcjUDHF18myxIFdaIFyN9y3vfGG
hXCEHhH7S/wM8SqfUL5o/M8yye5jgUYrYhKY6Q9VYYLCHNRLPwzH3NJ5JWX0buDmEzK6ZXbfEvWS
HdHSxI+tViLTZXO6ErpWQpOACylQYDkNG+Cq3OpyqNexB5BMErm9h5/zGrT8+LEqH0mqQwCdRvVm
IAqYuoyxSLAzQgB8g4u4BCvPC9wli4lvd5wqv1w34OgGO3IWBa3PBs4epMce/VcEaOxbS6DZN4K4
0byjBw5snNqxPa7aBNV+KvD0lqXxXKjeOKDrwiNtlR9tYz7gXTHOciwf4JQOzNsN9jyDnq0FLE36
I3Irw6hD3dVsXFcFK8+Nx43qrPy+8PWPpholiTCwVoukqhmgdNlmpBdY9n4g91Glnw2wfNgegyPN
xi62aoayYj+WUbgsrExsB74hq0i49To0x3clhHOwjERD7Z3fJ1ymLnmpKHQxmTcqpYawQkRtstwS
KbMKMPDFJA4dm2646IonFzr9xGjdsg6q92f25vBGlYyyGN/tlFQ/fOTF7FFQzZHSvW4ZDC2tKhzE
EmN4C2mepAWr77ZQMoqNMxBxFNfqg9fzKGTwMDVeA0fW74gCqB/iSH9rreweIEpB7HYwIINisYE+
y13whd1avrWmiSAHUbqrErmWPzrfitjAJO11exMunBcN+xLh38aO23qJQOS+j6jExDwqcyS1+IRh
vrWS9QCgceEY+CCKznmso/4mcvrbJuXqTWEh0jtam8iP34wR220oqvzggkNfhgURZW6HZM+w+Ema
zv40jajYIuRXY4BrqfLDZV+OWJRg/OUG6U9mTQXQpiS66ymOAlejdq48ZwM0BgfMYL1H2Y8gmDLA
XvpnJKqHacgOTiEkKdG+OeMlgAAQp5F5FV8GqbQtSOMlXnG5sSdnJFFVVBhhnLOFXnxRmCZ1vI4H
ZUrz6uggFdhMo+FuuiEuz+Ng2ivhyWAZkI4bOtj4A/zMthgp+4DJru04YKLHkmIRDAFwCbWSQY0f
xx4fxqE94qg9YdM+ZSWox1mYR1gqboW2O5mDTXCVbNn3EJ6gJrxhCih8n6fTdioc7PayfQzb8FQj
+FyqwiX6TtACpB3r2iR3xqWhMZGkStH26WDuEG6fCc9ClThhz0UzXzBXG0LrGrUwwGqWPsu+wpwW
1oBckZbsAMztCw/+ThUc+5xiTBcfigUygY6YfqdpH4bDRfIiF6UJ+TPCr6bXJuCdzC7YGsUXPsh7
xPorer16bedYNwJYan5InHFfcJggwRt9fDJgvqEqZt304nSs80zvlvylR7+H5mNaT6EMHxszvLdb
a0dEU/Pa1k31oln8oRdJlp9zjaDy2tbwyabjPoBww2yV0geXSSFuxmm8Dfom+lEHHBeeIkAhDh5d
gvMys74zWvue0PNlPNWbKSexygkLH1MTOHOWwePKmExnowca+9oWuHu1soES+FP84UTeNvbtYNMY
MXTl3hxuC8tKtpKdYJ7nJOWm1LVOutXD5gG462dqs9IV5WizV81XDVcdccubiNUXww3arPlj5Ceh
tgkpb4GE8BJUVblsugfsjlHW8kmUNXGOnVqQuXEv6w4ExrSe7C8/Yv6sPKAmuWB1h2633kA9glwJ
Ctsf+ERLg40b9ONVM46LaNTkMupMKB04Rmx66zWK3XXq9hvUhku4M4vU0cInzYVKGgHbUfwaxZOO
5C0GKXIJpgDWsC4xH+ktFrW0Y/3cfq/s8rs0mYoUtBZGucEQtEDx85rLAT96/RC08UUvx9OkDZc+
Fz2pYOOSK+jREsa1yIk3tIItv32fdgqIp3bLMvOCTPKljMNN0xXaPoNluXaUiWbYBVbSGWzS7Tpp
X5zUfMzydsf0vYc9ojH2ZlneoZjoUCoz6e74bOe3aEJSQPm8qfaUrWSF97AqyJ0ElSB6awv8Izl5
Luh1ZdT4ntIp3acujgzGF+O6t0sax8ZobnSuzZhQyFYUm8Rs7wTUvnzqI/6A44Pbjicj7N4oxeRC
R667rNwyPdgkvzE6O0Zxf0mksa7mrmpovatV0n/3yVaV4EBL/4yb8VjW9QnQyNbQsnU+sf8cp2oV
jMryFoki2XsBXktbddj2dwkJKJb8UXZ8aUqxZyO8qrWxO6IT3dVOXy19XHe0EfUFDXHwOIbaQ1G1
ZxH0C69Kd9yYBRggp17oaAnBojL7j/XbrOkh9WrvWJtXRdjwLXcAZfFuVtptYSBQh3c/TGSBatZN
GuDkrAfZLcsqOqWTd9I9yf/NLlbk3Ox68hJ7zcIO6w/6uqfGksNByyRxo7pXvrpJNN6YXvWJexZ+
WQY5NeiurWXXnK+uvxnw1eyyuI74XfiEbT85diXIBjOQKzfBWGWLpyYF5pFC5LYZ2C9l59GpNVF9
04t63JiZmphKpKcw6axl6dvzIp/U1qIjQrV190FYTk+hkXOHmCWFpnQEGxGd66/U9Bs7JiqQNisi
NWo1hMWGdx6dDnGoLcUjHIrcI+navjqjpPuLnGhDZ5ptJuFN4DSYU9BdMbngOOxWggvLdNsb5IAH
W0cSCGuAqAJtPIaAYqq0L1ZD412INhjXhHwiUlEE5cRh4y80ETgGKFiX78Kk4y0wEDTrUJWSLKQj
TutHX+jpvp20nRcDVPAN6FkDhAsQFQqrmEfsLdm26YqIeP8mmiFLRsKyJ0ovskhe5cR8wkoiLMCI
GhemHd0abElUUOyLDipOCpqR6FjqKmrxrVdG10ijKhR++gRn4hQSvOMPTIc42LM8ZuSTpU8QKU5G
ZHDcSAs7QNGSuKqOlqNtc01CjCqfDZ+NeI1SctsK695gFuRO9bXXy70lih5Gj7kLhUvGO3nInQ+W
0ioDbm/hEaFqznOnyfBXNYMwVAuXCZDk0oPF5HbGx1hMH5DKb9G7oCyytNsEFWA6NNvWkGc1hOg0
2nGd5zQi3YycV06990tMoJAQbi2sfFtXU69hqXEIj6Km9vnKgSgQK3Wjyz2MiEQRu36P05VvvUHt
RPbPnJce7qQHV2kYCMASynL2HFQAhiNOXBFTeyQuaJRYlJu4BL0Nvz9aiCb/lpmFWFhw9papFT+Y
A3aoKr92abPqMJwvYg9bS++Gj6Lsro1LSIZK6jODihpEHTT64MkP7ec4iKy1mMLvSY2X1085Drm9
eE/zBcFoYg9Maj8W41MYjjfB5IHDz0wKIb6bjot5Xq/uwBoP/LxYam9VoPhr93eTwc1nO9lr07PT
bMwUDH7jvwfaPIcNu0MggxsD8JO0aHQaynkdI2NW4T/IjpIhB9PlSxck2FAUuDliNMS2C8IX1Xrp
7KK+mJgxMO92ydUe+nstDOJNhF/Rz4gxmWpKAChE3lqXjvGs5XZzGWIOX5z6RJ8Fje8QxRwfa0/c
6Qn14tBEx6AbnG0juwshNVBjHRVz0LNF1LUDjQZ2x8w/4S+ed6qedVfaLgSlF2cyDkrSb5CWjBm5
wPA4NV15DFWN7xYKB591U6yYaLvH1iL0uQ9ZMVpmfdNZGOopEY81mcoMvKhxGCQFcbxX+jguR/Qv
HutPHLU1xlMZbVUXsRMaPwK8gqu+7ezlqLnvmjNU+9GkwhhEa69aw30bmL/B+bfXBnM/RzdCMnHU
Eo3/Wndqsco7U+xcfbhniP89lP3NhOtwOdrxHMuT7GB5bEyeykEGnjgwtCO0J3nJMgsd0oxfQhn3
IEznEQOGtcZd4+9JPXF3pYT5OoPwCd+ytGtS6Y9M5rDfu1v8EOE9Kp7vQsthFDn2ox6oJ2VV515F
K1MrvjHrO37VLDnFHSuruzotnnk/iLTI+0ctsRxkjMa2dm3IVXG1bXJVnM0SeJ4r7E2TZddGm+f1
+L5vUID4m8ChbB61BExerPTl4A/1IZwIwXMnmnY3g4EtTe2SGZw5Th/LVeE3zQqx2Nmg6eY2UUvZ
RPbDrG1e92nSskyuk0U0OdCvQkvcpmn6ytJw3Ik4bGHx0WpUlrFTaKeXUsd+Tup7Cck2frU1/5Az
8t3gf/KJOBPbMhxM0prC0doGoebsqtZhBKv4qN4Odp4tviY+/2Xjsf+Wky+WuwFbxX88+XqQb+9T
Wfw69/r5qL+thGf6ia2bZFb6QEiYpP1NbYLAQ3c9HBUGez2dfe3fASkGW2KAJZbOHtF0/642Ye7F
1AvYNqUNa1rWzH9mJWx+AVh/mXvZNDUIk+ep18zj5un9frE4ThoFCL9w5bWyuWFFbM5oS3/23XsU
Gq1e0dKHNhswV9I7DYbj3U56IzF5D+lr1/C5YwnpatcWnManbufp6+j7IN+nsRbX1gdmN6rav3XG
LOb4sqz2GUDgbRQDRqaA8DvuDYjTMOtia2XlYjyMzLU3ui3BJ4KJ50GJdMtVFvR4BubaN25R1sHH
7LcE0JjnTCcupS2qS+QnamW2eO17IzkQQRguulpbtY5K1qYqfmhwWp+CqvrMHNzztuzqA5nFchPP
wSC239RrkqGSZcec4ETUEDitKM2Odpf8GGPvOxLqJxx6LLS6+GqyENrYJCffiQDaFToY6zBghMEh
zr7FE5X50oaiuAaWiJeh3vdbX47WLgBKwuCtP2GvObfQZhaaWb1zMj2j6Wb20lQbQh4LbNz9zhXJ
kxv6b1733Y6MazfTTcz2CvF3X9MFL7Us3I82Y8jM38lQAAplOcSiZodSadMG7vcQ0LVnDd8qP5K7
wIZDIhJl7qdGBWvlSKSG5dAfGjeMsHs2ZDBQePpWcle79LoeQvHVgEmbO3AgnkhXpylHAdywaBgH
XI5u8DxJZ47lOMqimm6pes5NGdBVhLcIMJldzBOgMTjGpQVwh02ckdnbuJ3UOp7Az8Hb3cDhoj4o
amSgBvoYlgvEoyW7HkDhEhQYrX4UjKW77Fz+dZCNBtWMNW+CEGhDZkO/Qc5pv7nz8iQLWSQ0CQSw
2OuvDpgf8heD/ADlI33KgQ1Bp8saN6e5DrWP3CbiZVH7g/jOBZXfmL5QcPPAt3slfW1a9MG28K3y
3Bv428nSLs+sxok8yjhsYzJA2PE7vrwjknvaFL2W4eKkFSjj3nwXqB4ufLYwqUxttXJU5gAuNJwl
/1mfa32gWknibsWAI1+NchQnqVfp1q6NH6DWrhnhk9QJVSQ/nDatt0lR9t+7yG/pnIALRTprFSzx
0Gx1qe3MgdVg2Hr6o1LAlpZDBzihQ5h+MKUVYcazqS7sKEvuNMg4T25pa/dpjmEl4lvPFM4hY8w1
a7qhtE6PZdD26yE2jL2FGXQRmcyTRWZwXWAgpA9Q485OUdGylQsuo95S6Giar3ZV15BLYzfDbrCc
706SxD9Mlcqt3nbuOqY7n5aV11aLxgTTnHdhQFFIZJKt5GejqWST5kUGlsZ039CxOjcKIPMFMEZN
I68lzbIOhumjLvG9LAxriu7kJMV26orxU29y2LD/tffY/79rHj6is3HlH192//M//0P+5//69a77
+aCfd539F9vHfo+imEuNxQz+tN/uOhY5LFVY1gD3sokqmy+0v951+AoNvDP072CEfoWR4x40Ar6d
/O0DnUiBP3XXWdb/5YOxoI5ZzIx9l50Sm6Zf7zpfJIlXGy2pPuxkytXQ+/20JBWHgYupqeyhZXDC
ulxn1hSS/0BnCNpwVUcqE4sOrQA9ZmUyF8KoHOEnszuUj/oXsTIk/PRaEBWI6B1TR0ywWneuZsyl
80W8rPw6nstFlHxrUc1UzHEGZE7TzMq0k6EZb2NSmsSGyk5JBCMtMg+8h1SkGkflDWNfOpZmNbb6
E40K9Cx/ieLgNExVvQkTB1n5eMzLcJPGOoaeIGNbOrz3qj7pBAB1lr0LBsnc+IDfBGFGqT91irkO
e7WNMUvJNb+HBmmR4hmzHyAzaxlnAb679N3IuQTixLwaZn8tQ7mPy+CAJ2XTKn8xOPOuC+joSGIX
uaO7LqbwL/IHrUxWCqS0IcoD++B4VQelfdItoq892zkz4blvquk49RWCI+emljR1/rSo7Oo16aHD
mrDWJ52NM/PNdYvLAWXn2h+fCvvse/ZbIEK0a9+lcQxr65oSRWOlFzf1w60VtAtQXmClQcKwE7I8
Z+u6d72C8GI4n6ByOW6IV+vIzPAR3VvAtQBAfPaahKjV27c4iuxl2zo7jQgfG7RQ6Rhgq0FruyZj
6aa46bXE3EBKva+H6o1+g419cj9PGfxvYXwgmWJvDM91OIdsvaaVv9JK7dat2oPu33moBFjSc/m4
TgcHuPsRm/Enrv5pFSZw24uV1m3xGLJM117Td5wGPi6ksy43ENXGB5JOpcdaHpu0vJPJRVWEFqMD
WJlP7kzZWYjgPWBrZK+L9jjIp9RmMoeHZd8w6SMVXG08fwPpxN/q2Zl3vtE2PJ/aeRHRVkOt+g1k
aMoeTdDO4RM9CueK5XTl4ubn8kZLsqAEiNcNhBlqB3LCYGqBye4BF+c9uOi2wPoqbx09TfnWTCs9
6tBE1GW1RLW7hL2yigqX1CLVHAe/ObiRumXcsBoyZ5MJ40Gq8C4wqrvc3UnO9aoyt1Fh7Pnn5wwE
ozFF12+T/Z7i8GXOWvSfw5jcYzJd2a6oFrTPD577YygiRqyVt2xF/lJ29c4S2v1YAFVm7oovs7oN
TQY7Q1MK9hBmaCBPmjbUm/qKhc+T39ugkWe+S9j+yJQ8mLzHnaDKs8Cq8mPjTq0QYmwEPZWXXKc4
MNbUjN9lwW1nRtsyofqRiGPaRuxdT0Vy7TcJFjToscGnifeTT0w9krU+4ATyoAeFTb+N/Gme9liM
zpakHOIypV6Ha6sz4QYXF0pdZcu8ce2HvGmRj+kemo2NG2uEaiNKtzHDwEbtGPbpfE4bP24QhsuQ
GhMRN/qUbGYZYqDD/m/3KZSomhCl8J6iGCvKFwTRbm2Zb1ILHc7e7UETbbHk60/xCFZ5wV4Z4IMw
qjE780fxv9V1PRTMkQrCtTSP9Txoey3ZI5In8w7Mh35lkmcQ8F7LqjzaTkNuCb6mEldwO0Y6khuh
96uy70C6N1N832S9vo8EHrzF2FOMbi3yVpw7axzZmXYNMYNrFD/+k9dRFGygV2jT7t83/7+ofPYD
65+aKu7j/q359eKnYZ0f81PcgU6Z5hEBM1Z4BMuzeuJnk+sg00D6wCVuzPGuf7/0HTpih1Anwyd7
btZ8/F3zTFeLZ5YHzQBQ908JOwwPV+6vQmR+ie/T33KZ0eP+ER9rtVFXEBBfroK4AfUWRWEUHVqS
Qz7bMKnFQ1QJC9+QmOyXprcHriuRA9YQBa7X8gu4UX7BN6yZw2EpMV3kDOnwRwDnhF7OFI+4btNX
1qjRPdD1L+r/DP7wmuwzJtLUmDcT7RPDYZQSYe72MzAE7WW5qIqWyTTJiN0b0gLrwgLcE2eWwhTZ
QcXcaR0wTpt57vTGrltMZ3BdsPrQtPb35fBG/dE+Kc8SpzI3w5qsWyIQGMvJfO/bKi/XCTGFxdKN
Opp011eat6rgijBKl2a2RaLjeFdnKpql4SG8o+A3g29aLp1znM99d5lKpk9ZzoB3KtopxhmKjWxe
cbTecspDdZczxfC2/lTQ79tjGklGjigMVrQvRbxjg8RPmYKEySIhFcYpjkvtJkhTvVmUcMNhBRDE
AjlPqRwpbBB70ZLAVIClDirXAwmatbUdqq+xgx9Gt2wC/Wo56blOdpVMOASpXWKG/lNX7aToxKl1
0D+ikgOoAvyIGfRaCkkuwURk5xa0S44BJgeWzhlXsEj22/Y2B2CkNrpVW3PCIJKyDgf+D0S9atgX
TQ3Vz5j858DqdAt6kAfapGE9nZWqYNkL0dzxQoZ1QxOH1Y1vV+GHk1gpumzmr/YiqrD7L5WMIntV
GY37qeMuZn3AKra/5YXFe5y0Kr0ST80tnriT/73wS688m1pFnpckDQc6HjTrG9W4CRuNcPJKAlas
VlBSVZi5ia/BPLzuBszfRCp6PMpwM/9qQjP7dPGiLBopwcVmX7lhlV1jkEv6Er57babadRC5ik6s
cQggq/lTqz3JbwSTqUoQUgYal8AyzQuNt2hqy2GHrLf63vIC4/dMlaCrgik1X8dYH6ytA3mIJUnZ
RMuibvgZDOTD7A2LZjOyYSfBiMlOUp0aj1Ay5paJslg12wRQ16FrjNQjhPKcAH9b5DaEY2jdcNDz
WQLUHwPKGQDKYrIe1JM/iieniwpygvzGjD0mAF3QreuAUNR/N4P/qhmGtotD/B83g0B8y+oPV8Jv
j/l5JTjMKR0bSAUJULof+JzwP68E+y+MLxH8IQY0jN/O/r9eC+j9UKO5HpS236alf7sWbOMvCH5o
IFEB/nkrjOmhHPz1WjB1y/YcdniQoXV7fnq/n3umfGvtQjjlqqwyhPiR3SAaKRvpfza9P2yqzCfb
1m+65sRFhSqkzTP9hcmetkszh5mmQFO0Lxu/CteBJJic1X98KrtpfK5EPz73jN2+hSxkiYdw028V
6vRjTzLDs9uyMghHx1hlXehu2S4E391+Krec1PUSIIJEjMeOF9xzijUsGybiXNqyPaP3CDdtE6XT
wubGSNdEFXtbbBzpxpOGNayTzk8IRtbb8bFTNbheiq07K0YHk3mNd0g1IpjXpF2HG2KJs5H+rPAO
5HGwpLKcMKXd7MXSKDWkfE6xCeAtRCRtbY0Z44bUsTyK1sUqWFuR/JFBmtjqyOQuoe6CFCWRYAlm
VyxDK6qIk1c1SapxD502YTuZluQwp8Q4wCD4YOJ4Jrr6E5VOuo5sHdEWlvr1ULdy55P3vkqN8hjZ
aIRIKeUsm3VGLfjfKLuEzYwn0MpXm/4XedDocy6EzvLr15tmqu+shFDG1BbYF7LmSkj0POvEf90h
JV22FqnrQxFXlOtOv5TafBkxVapbdc3ngjsdu2WLxjKoyHDOOQDrvF0TUPQqYp5mXhe3BBrYyyYk
KzeeVfyiasKbwSivZuE/pOx8N16VMBoHeKHnIICajs26RoRPh/4wqC3SLBLJpwR52WJSjvMN3mq7
wpIIKYK7k97KQjGKCL+6tABleuZnU2vRbgioxEX0Tfnje5fad+Zo22zbMt6XCQg04zl94UQksdAv
v2dDsJsMkh1tot2jYiCuRk2EtVaPvimNhedWt/kUffR28oOf0ELm1M5MkadrIhoKdqOQvPchq4l9
0uq2WDOiOAHq7DehUb8oXEhoGU2ejn60VbGPPe1GQweynFqD9X0KwWwBdC5YCxfUSO1m0WqIzWkf
KIhgi2lE9Q2G+lhzua8TNziVJNGszcoEJlYk3VYTno49pd7OORiF054lhh0EMhFOhGx47Zz8KXCz
YziAPNdzB70rTTMTxlXu1085frRF2JnnyVUHktCS5Zx/44AUWtotRGPd7kkTGqOPpoYri0WebXBV
HDW7Dw/hPAUSY7A1SXvK+nZVepQpIjizOrhAc70wbMfU4+ZnFTbxyir08JDp7cEsNHkPJLRelVH2
ylAWkRP0ECI/zcl9LwAxEi8WAwICj6av+0Rpi2oYi3VEWUF0G9QCqeXTpRFj0621sGBq22Zt9iCT
YE70cEPnIa/QrBhuMBgUEQNshQmWIhNxW4oHdIcz47E1jXE9sPtAdUD45oW+SlvBR+2J08wbshzT
dnwjSo3WkAAdKls9768I1MgSTeoWzxqxeTzWS43okZWQ/2NCxfwiVQU/4d9d1r/WZVkOTcg/u1JP
bwT2vP16p/580G93qhn8BbjZrDq3samzYmCK+tudanp/mX2ngQ9LbRbXG4w+f96pc9hjwJLR46oj
6oE+7G936owggkOKhF73GKDNd/SfcK5zR//hTmUgCfQKyqk1U05N+w93qgvnTfEVHBBsuUh0bT9z
q3U59jBHc1KoqoXq3TJERRrXL6C7krUQ6F68mYNVfiGxoqgvDt7MyXJmYlYzs7O6maKVj9QSBOVC
P+5mypbfOpyPcWayy7CjKXROQ2aT0BIKEsC7uEobtndILvZcRKyroFLK7wPCaxQiY6irfWwD2ACN
XXG4dG1F8rbeRDFle8HYlCZsmXpmRb6kQqZ16DI9cHe1DpV1qZyEG2MQJgdL7s2SbZX6qBjjsjP1
TT0lRD266Be5TouG89dE/4N+RDPot6reusWZrp7tNINOw80/zUxolFQbInbJslZfudYxf0XmOwO+
V17QnH3tT3htFzA2gHyS4qu9EMtgvfDrPUJx9OEQ1oBAAX1UbXKPaK16BvBD0nYyh24HIGfSVRjL
8kP3U/PW7O3qIcZ3QA5RVqH+TcdtTcruvko5IxdU4sEbpGg3oMUKEJ4wdiJCTDF34mcW/trxknKb
1HjZwMPw/N3QdKtT7qnygmzdXgDip91QGOozQo7zqF1FVmfTd2EQrdcDI/KHvhpCD20h3HcaDOMe
8mURMWGsqKUG9FpkaBoRRUfL6voSeq3DEJbN7wYxilniOkhQhmodnrtJj+IPQC6c473Bvo9FG+JV
MiRYnS0SRA4ojUbvqjngc1GFKc45mbQEhE55xjWLWkOs/LIZ4Ya4xA8uhoGLLe50LV3rzNjuBgCU
L05jZs9lpE3xTnioB+eUZfQpQxr2ezIKYSUgNZP6Wmb+iCasDz7o9KGLhy2fvH3T1/Z7pSHK1NiV
gY82Mfn5JiR2TWQEiliQo5Zt5U7hYiwFGwaDnfX7v4/cf/HIZYbxT/Fup+5//8cfDtzfHvJzoYU1
CSsQEGgXhuXvmZe0I4YBMpovnuVZhB7+cuA6BkZt3dU5jWey5e8PXE5uvEzsoKyvmdifOXADGrJf
exjPY1uCA960PXKpPa6D3/cwsT8MwjAjfeXmIu7Ww5Rob22vfLWY6qFcc0qh0NKT+Lvrz2o+Y4ql
cxIwOJrboBsDsXHZp57wn7JIKMGBPLlFBPg8b8TsxokGUEsdXwtYkoSvDBrxp9SFhfGUmrWNH3OI
9HKpOU7/wyFbG12sE5cGVbvZbnvY0vF6DIs8v/hfE1uKQP8pF8A+1vbXTJeBO/Nd9TXrjXQb6Xjj
5SDm52FwNY+FEbIyIba+psXEvTE5blwYXpcwlFG+wfyNXFXlVHxBp7u3WTUYCXbIyZu2DMlm502m
vdo9hFrcHEVaXVunLqct6eOcva2nlf3FxafzXeXOzE6OpuSNUspglcOCR+1yp4JfohoUCIeY61Vf
xXo+Wpvqi2jSftFNnC/SSfZFPbG+CCh4GQjhCJOUGT+CCSgpIg3yAiOOQ+oiJ+6wN6OorTgoZr6K
I6MrWz87RHkheUsrq4v26ErKHYuN4LU2A23pNbYw1iOUvDOlJqOvZnCJbBmzwXyOUY/tg/7/sHde
S3Jj6XZ+FYXuwYDbMBe6SSB9ZlWWY5kbBE0V7Ib3L3NeRnovfSiyp0mOuuO0FOqYiTgX091BTpZN
7P2btb4Vth//68T4z5wYbKCXhfafVmn78Gtc/3hm/P6i74eG+YEMNuYbpDu9z8IZe3/fghsf0IY5
gHBdjQk3M/F/VGnIurTFHElZR/H2bUH+20AcPggFGqtxGFd/eQtumsup8JPiy2AuAyEfHMkybNGW
gfkPNEipJVGVLbZoLX5I8gc96PbxqEKb1sLdknQBLehYpeiXzZ65xyLXKPP8RuaOjX8tPsv2wQ0j
7OzqkzoTWEl8IamWni0wMqSzK/02oG6xh32cJJfZIOQ0C48DsTmO9WhpkOWKFztVzmXTPcyIkKlO
n1JreHbIwwui0B/hmY21tYnLzisdgcg3JRg3Vc+YERkNkJ/SXVz7nvkNoYEFBvUico8YrbdWBNjO
nQ9mDpBxDm4KFmkmiEOl7i2ORnHlpi67alI67CtdNFtTjl7QDz67KjKLkIBXLppYlLhTZyIQR/lU
faJ7XYzdulcCcEjcwfSsSn1xxLzty49u3PtSOLsGUS3H7b4oN0B6GImS4Y3JbCjeErrCOh2+JMX1
2CnXZoviOdduwymgLFaWmKUFkBIyJKhQ88v4lNTx7VA+YPMgNBdtfZBDKErrvZw7f7Ieg3A3xUwT
hi8CP59ljruwd4gGK1cJjvx1ZNJBCu6BWt+KNkJhnW46PNrm0AIRKjedFgPoR3M/VYu+Fn5mqMk1
DT0Mj3LTkCPSavbJmMyt1Hn53Jv7wiBxo2w8e0guOtJ5Nv4chM1r1qJxQESeIQs6Zm4Y+E0k1pXM
H3WAiblKSEgar/XI2HMgE2sz4gYjihISAWyKeV5btf2I99KMwpe5l37Ztd48MSmyARWH3TpDhoEM
GYi7R3iyqabrLMYGdrK0msUhP7gaSgkle/IwsYc2jQQEnV5HiBbM27GsrmdIfuHBRIQdtsOFN7Qf
hNFVhi494B7M2+Fcl6yrNd7NpXmI+ktcfQpJJiBcgW0Exh804pPj+r2JSSRXTl34ViugQJGIFSvV
qkEYh+u4Jfec4DGtxcEvWXmHRnbtlOM2hLKsW59DqI16dDW0z4a57cE3OA5vEGudOK4XBsQGZccc
P2lnswGxQkLatLtRTckWyvNhpQS8dxYN2qpkG9WPJH3FbKDgHFQ69AiHOdYnTWqeUPMlZZcSHUGd
K1sW3ONOLYlLAgQp/SizPqcjq/rFGlMc24AZTBrGpFTbgD4Ycbmb0grNF9tsDjI4NENyg/4wNe9S
0IGewZAfSSMIgCKrl1yemYWKMDQ2J+yeMxODSTSpV0XiIkBZjGnl+EI0Njr5CQiC3400SepYaycn
xuPC1Eg5s0CsfOEM00a0Ijk5ESQiRe/7XdwZAK8STDJ906B5H9EnTGyhbxUDtVzZx8Ftp46kw4fV
gy50gb6UiLJUFv1Og0R/ZrcT+0TaIJzW4+FpznXrRAQWIkRGZXZkTbQWkb5rMDl6bNGsQyKjN5IY
7lxLBCAviBUinY+CZyALGqTESmlb9WU2jOECvGyJL1rC/Ywl5k9JiukOG69+0Ka83Xdh6m5p5foa
QvPQCxYmBrYO7X3trsA+C1b1+zo+eV/Nxwh8Ok+8r+wRKy6tp0O4AOqeZa2PSNG8d9+X/fO3zT/d
IDKApqKfWHWWwWJFsRepgP1NNuBOjU1f3dBGaO/SgnpRGdjvgoMYZn+9JlFOn1z3QgFXrG1A1SwQ
cUVsVCtyYX+z6t8GFpEQ0IWwCDXDYjKQ8W1ciiOz/XNT8zBSdpV17PiEwCcgSOpyDQpmvoJ+YW+t
kEHuII23qBLpWR+JIiJPcOzWxFzlZFg9kggMf+QAW9SJOBxamEJMuy/aozFdRPBJl7s4wEu8UUv6
oatgXJUPsIti8rRyDtYNvSL9sFNdZwPCmOnjEMCxvcnKk2tc6aygbO08jweeGU07pvra7RuPVaIX
4QJToW2ke5lv6spMdybbxOyt1/2QSX631nv7VbGH20qHIIVK08QHm5FHRiJxAGIzhmxcrhlOKtUt
uI8UN4yoxpsZv49Zk4OFHuVI5Mr/jQrhD5GMP4kL/19gFP+aansgXn8qQLyL47r9sfRCB//tNf9o
1xxGXQtHDcAjaQA0TN8rL+0Dmbi6hpre1lj2/BxRwHnh0sWhxl80iz/Mx+wPkEUXCeK3/B9kDX9h
Pobj/9fKyzGBg1s6MkcyhSgCf668TLdPNK6UGfnQpJ/UFq+9W8/BptAVe4uOiPD4CkzgKp5iLmO1
YzuV2XNxqfXOfCYpgyRKI4vpbPIk8dLFDFoGcXYbR3N+ZVtVcD1mCzcymQFbKVpckAHch2vdNUOq
mWIcPxmsKPw2pSXxlVhLrxqnx/VM5vhi0tVgEOcWi6BB0x9BGfbXzL1sws5Ux58ig5lLbAwItpVm
etNBiD254+g+s6Gp70DASd/VEsN3cwRGs17Eh2Igs2tWJ2tVNqOBcjGEDg3ewu9jy4KiyKanZEkj
iD9KwnU3L6jnioYv0hgR6maA27PGc35FbcCt1sqJWBMAxuh/IhyL2NryLDSvEwO5HniRcUOZYq/A
1biMndzWj+IaHV8cq7uhnHF/pxNkhT6K6v2Qtd2wcpWmug8lFq91TrHeeszQiweMRS6znWX314NB
1xA4OYQFOSGkZa4edTypVHKPBYqP16qNQmZzCPt9BE1Lzlo/yktkk2XQdFP2qs0kBKI854UmuU8b
A1bP4xziImViVhyHFEmTiUDwteDevho4tp+BWgSvooaDYTWueUV4GUNKBCo35kCoAxLUxFfcNj1h
jsIoZtiaR0iC6YuqSn0hxtHvNNZ3JuWcR96Csxr1Pj5GJrzJlWtMi3UinA65GYcYMFFBZnkq13U8
RX6cItkHox74opbZMXY6TGx1pfot76ZF/rEgLKBFmFC+tcCfSwafNrRliMqEqLpScT4Pi+q/CPFN
pCKejn3XRJd+7tWzNqI8kzAuvyqjqBZLYoRVXVE8lqXVpchJGXR61ySSkCAjVSc1FiOpBDEf90T7
hfxCyzqxn8shGU5V1TZ+sBhTYsetnphpZy+CkLfrWNfydUZx8ZVNinNnw6/zNcazfj/WSFE1kBAF
avdn7NT2BXxR+VEZjPGqwOvnNYMgFJfj49Ps8DMMmQ2eB5VIe8yfbbyda2eCqYLDGvqB8CO9nm7C
TNS+3QHCs0GDXirqG3qdGW9X2vSXtjfKcy6c8JYIC3LAWxvgt8v7wHXTY8ZvC+lIPR2w5kObmubs
aerF+AA53TmQ4Ql83V4ccNzv1do2B2q/0eqG/z84o38rUBGK7z/v3a9e+//1H+T5/tS/c4N8e923
S8QQSy4N4z7DEJbLPxjf/S5cwMiBQdqxLSiMi8rt9yULqgSxvIoomGXL8uPMjw+EyYoFjA5eiNXM
X7hEnEWj/lP3jgNRp2tfAtdN4ib4Gn7s3hEc1HM3IrMeHcHyec6y6UUTlUI4VZxxd5jSnkMPFBMU
90IZHY5WNUpQ4IJcyTnqInsvcUydDbcuyCQpDHluHVfudLAXw4Wj+d4C00KANfvKrR72CTTNOW3l
hvMEGK3Z9/Y6LWvnFflQpMD4zidnbRYUnGu4DlbmTY0kYzqdtFEchVKBrCRUArCITUqc1xjoz9dO
3TDB0uQwoMqbHB6baRTRZQywWMuxrcwdCA39sYajcTXMBgmuMRAUbj+MaIKgGqnbnpJn72iKAm2+
cFsN+Pusb+D96Zeimci0dJw2wGZWzh0GVhJI8RMh/+0zXd9C7+l2lcIu6zZu3eGG32s+7mE33aPf
RVbU9qRFrJA2mwjEOxWlHgNACkxbImfk2ylIwBEj2VyG0UzY3lND79bCIKKlVeVwX0dT9pxK171R
w5KdQzvMVPZ5L62Lq8voOVNCq8EOK+LBg9rOXfNf07v/zPSOB1ljOfr+w6JSDl+Lf4pzuY3n158L
yO8v+V5Aah+YyxlQXgQgrh91rMznMGK6AJoXDwt6VWaEv4mWqC3Jsqd5Q5+5nBf81ffR3WLWxMGJ
xoh0S15E2fkXnn0mdL8+/LDODL5C3NTGoob6ZeAPW5SsuKkxuPGH+jN1wmz4kZErN0MzBaB8bFNT
rkJlCnZFV9v3k2FG04MaUftuEGoF/XVOUsejW9UTQUNO6Oa3AGxC8dFEN+kHaWjnx7h2o1sZgi7L
KqvbS6GP3X6w+9q9ZlsA2mmAyegWePYtI8IU0LgacwTHfWG9pzMx6LVNa9nhqQwzmDoub/EsCjsv
w+myKefk0Edav8nnJFqXOjkdeeriKgAytsQDU82V0VHkDuvCwkR54QxH+KnZmzqM8BLS8Uazop6G
2ZKMUEybC7qlubXrlthqFghmmdAp58lbN/SaF9aoPQY7Jpw+St56UcXbQs9a4tAzw180Gn6d8B0G
I4gmKYyDU5XaRlHmq7SPmS5ZvUS/kpbNdsCgsbOMrvnqWMmNasTwhYXFgMpBHKnDZyXk/WPJnuJK
SVrfmTVfyxqomUOLB0QOG1bm1b7snW7XGd3o18glKbN6uU5JEdlKpyAJPsTiaHTxS1nMOG3VW8oK
zCxgNRa2rHYPAI15rMQJVHFEe2UyW94owvKakxmYiInzNSjFCRVI5rmARHfGpGOCebfPzu9W2mFx
1WJwGQ6zqug+dkZmXRy+HfnXixUXW+s1cLn2sU3USDIJVOzrZnHvTouPd/hm6V3cvc3i862tTrnV
EzLZvcmO0henLusN4ZT2tWstet2uHvO/WZ7/L9nygvJaDOF/LLO8rr92vxxY317yvVhBweEKHa2m
ZhrI5pc15PdihQwpPG6M/Sym/d9Q5L8fWPTAFCLE3gqWmj9kGSzHnKVpyz7Lfm+U/5Ii5J+k9wjI
qYWo2U2Y6Kr4pVaBBDYVWtwx8KlCmEPajeoiaxTmrl+YCppjD/4PP5vLtzLov+WdvBQxWof/8d85
cX89IXWHjYFKsc6/dOtXCYqdh/wh4iZf2rTFG76y9pqeC7X3tAi/26jLS0Z7lQXLdlGGw4QkEcaQ
rvXkmM7ga22ONTqby+yjHuZkucy2Fd4Oow6oAvHeaeyMbCHEVndJNnHkTHCFtkoSG5ciFCWSqiQ4
WXIAiTJ0D01KaIqi8oB4LGQfgqCaffTiDcSnFgnAlTq7BMFY+nCl4GjjABIIAJMq3Qy5eTPWjTgu
/0Fei+tZ2NATrgav0hr3NCqTundDWG0auTKjQtgnDUSHZmTFBPLcB0q0G0dEeQ7+MvSMACwapluE
dsFqdEkAKooQT5xzrwYZVJC5Tah5cmu3mHgvI/WzV5OHZ4Rx7rXpiHNX0Z4VYtJOSVmv8doRVgfD
OydDMAB6t+xoMftykMtR3KB1AI9dUvAUTgoa1t4L1do4iKNIJUyTtcaqSa3rvTXZ+A5zeW3DeFoZ
bdCzl+ALyRoyrbqaykvODUQyITzHfUui6GM1OwzyijtnKk2fS2zdxIXHJmvjNvaVIcvXZkyughLP
VKHcGHnoemWjvYDYuQQ6+I4cNCYh6Uz26/xSU/iiKmEzMskIuBF4fi/j3RkRjrZSZQaAU+3MtduU
XA7SHe9kbVgIWPWkvJgzoUymxXRyDArrMVMsbHTVndEynhgyMqEwHgZ7M+rPWpJYdzrSmMZinK6E
7n0VqfW+Z/0Mszx/STIR3C5EbpUDtxsvZYTHJLGsgyqVqz6SX/sxenShD0sG8wSQY7iu26+1gis0
M3nXsPH/zN5mPpdT9Up0FZd6rK+0CU9XwgW8YpMvAQIwOF8R70X9ncyx+kmqXXOyBxmGTAUE0Koq
cQbrINQWqfFcIjAuksbFhZE4TnwTdQpecFYYTiw9dzRvFMXcdkiZVwQz8SnIaF6VYbKdZfIlrLX4
LmFiAZ50noaHyAXm68a6fpPU1Xxv0TDzwZ1GblFT21vdEgxXer6BNyUc1RuyHdW3rB0i26+rwSmP
AEKzyFMTQfSxacZP+WgHz0OWDMoWzlWPPxCP/U1V1hQFPU/8UzNb9q3bOwp2jzoIsi2pIGR0oVb+
AmO0X2djMjN9QAhtyAVphNqG4CY9hjasG0uUcG1S94tqy/y8ZPuVYeVI370gUuEJTLuhO8zvXpG/
t2T/l7zcqKEXB/gfX26UAV+7+ufr7fuLvl9v6geKejAogKC+e8G+X29IITntCPGBiC2W6Syf6Lde
3P7AnJV6nHEuzbpuUSX/tkq3PtguTBekjvgj2cT/pTwNXf1nwSMgYeSTbO51Js7aL/W4kzWYtxLo
loHZc5qVlpj2aL7tMy7z5gyFLdpqiQqbi75P9sRM14QCisReHGBWXyMe1NW5OJjMJuE90QND8m0n
ZDYWPFsbQoWeZachgx27s8OxeiQ5tV01YRHWLKGL+ItOil6H7UerDF9pFAB4yaBjm53TtK/XESl6
+H1J4gm3Kh9dgCVLxU5Tk3MeWpU8h2PZDOsChdtV0WbVduJa8EmBtz2RMlauleAsI+u5TLKHIKrs
i2LnO9MNEw8D6bTui+kjQ8tuNfT6jRRoDUUQHwdsV2d3VrFhT8WWZLLkyMQw35aG3BBO+MZcJV7V
naqvUWzKO6fKbqyAkJy6Ga6jesbE5nAElhwqTgR0ei4fuhnwnF1FMbR3UMcMhglJnV/UKnhOghTE
e5KEp8Bm+bPMIm17xFHfEqozlS1o5uAt0cCCZFa2tcZOXZNPWWMjnkiA6wDXRnMR4Y03Xi24vT6r
dIyxWUHmkJowrPe6Nu0eJ+zuOcfChJSoCWeUrQBa+GeBGTa7InPCokEqkT8MQuTheuJSZS6cDPMl
zFT03HrAmnBl1V1QrqI2jV/LmNy5dYEh7GiF1pEr43PSiotSwXsUAVAo1PjxPtIku3wE4Xtlzsp9
hujfA73RXEfgQn3ObGzvbV2d9Bn5FemypkuSJ4t2O7HDexj28RElJvZxhy2fU9VIpAJ+CDqeKk9L
HBKJcvU+S9XrsoRpaEXFNioAxaF9yleWVb4Gtlmu56r+4jbWhYTFr3k16peEu34d5UXqNdOgnpMG
HX7PDIU6wRW7JlDlxigSE+TwQN75c4Fnt1jrTZXeOch0uWqMcEbY27dZ4zkJ6IVVG9eMcOxJca5C
TVMeBkckDGpqR/ssZckIOiurwV/SL66znLA5PwzM8jFoK/sLYp74KspV+wuqq1mF2ihQmsad3Xzs
atydtwJNL0y7BOYY21yxtlMgcbuBjp29hjHZt7pZQ21VJJ5yTwaZcVPWjf2sYSW7TWdZJl5eVuNB
OEb6CWqsRnmlxXAVKju+Zt/Sun7SpeRb/L2XwU9bwn+rAS79i/2n85sd+bzTzxfG99d8vzA44FXi
+RBr6ohn3vd83/shQZQSfrP3sSlTlGX59vuFgVyT0Q5tEorO97/67cLAvkzXurQxmmmxOPxL/RDC
r19mt3wWQ6cf0y2Gt9Yv+79BH2vbDszQ77L5IO1dHnTrrnj64Qr9P/RAdHG/fhrLWu4+RtEwTpa7
kb//QeCVJjIO7JAtWq+a+xC8z4rgmkPXJfCu5EsPKHC12K65ZI6DNX5G5i28euqJl9DwLc037Sh9
pxTrxJyfpYnddAi3Q3xxpk8L0CiwfLxYuE/UfZczTOk2JAUDcIqTFzxRft/pXwfyJFcJOCmzm/mg
MXzwxV0XIOfRTcmWctzUWXFKIiY45EfN/uTcyaj7auSfhBT3uDrROKRbrsxj0X1EVOHlYzUcS6Os
boKJjF0asPnQkj/hdyGMgAhXcgLk3jKsrVoj6xLxPoEbO6b3xM0Bh+93bQnPcWE9Z+C8BQlusW14
kfsiRoLhnEurMEVRPSPSt3b/GMidm5yKPPLcSdvUowLNSj0bjQI45m4UazP0MNtdlSwzUST5BVS+
SdeBTug7o2AB61x3YXwfpfAkzVfWr499f9dAFrOHTW+XgDZJjIqi8DwX8fQFesZhEiMojZhMHwva
4ayMEQvS+aQHzp3bYBc+m7jKEtu4Z1W4ScRa/8Sxsw4x08XFWpRa7LftWeFCR4QFR+JzqtHkpvlZ
ZhXZt3XzxZHGDlUdml3lI3ATv836DfZy4ebeoucZEISBhsMBh6rLxgZoL6TANl2L1N1Uqe4x2L/P
5+KOXSTBdVtLfsZLz2F+DuGlKpDtK5hYuNyIAVrH4ymRDe+MQzYCLMmSTWGO+7Dvrt2AlBWz6f0p
EFtXVhcDCn4BSDez/BLdfBqjRHEM4KFPHT4Ou3sqoiXVXi3POJW8pY2ZoA332R1QjU2iEvxkWpvR
GuA3LgP/RywTG2lALBkHPv9niiE/KJzdBCSaC/AUwbMh6f2ciAnAcLRz8n3N8tNpsdqRDNQPXlqk
69mWKzD4H9MiwDfRPSKFAtUS7efuySFayXGpVtiQ804GyJsg8023QI1z5TyFjzHecJFDT2Wf2WYw
fR5azHQuv3wHWYnN9G9SXmlXQM4jbyzwenXMOvX14uqs3MjXB2fbJZe67B6JhOApnF+V3jo0AYnc
3KPRXVaGOxotd3hV0jMGLzB8H2W4U+nEKnCvToeMkyyd+SmbT0uIvM0mRCLpQpTtm7jnlXjd4tpL
a3GYCvbW8YY8m8PcFEgN6udWOXSFuTdnf27UVaPGsIVf+h4uOSG3BnMABhj0SFgnDyI9tUN4nSvN
Uw9pT0Zir1dns1RXo6mvO8nqJMUWgX4Ua0TwUDMDjkoLV0ZE+EEE3BQmbRy8BKiRWjVfB+IqnI2j
UhvbJPjYsnqaksdqhqXvsFqx7R0LORymiu9YL9M47YmuHPl5usccp2NWl0fJMCfXPhUS96lAzLak
0pJ83GRkl2MvxSz/4A7o4V6Rfg1h4WGW9Zsmu6d4PqTGvTHXOkNkX7rBGQc+8xCN0yVWcu2Qp6Zc
x+QOISgU+k7LoTTxhQVm8hC3+m1cTExhmWfrg/FZlURT9aLwwmZ86zsMiK2kWmav1h+lO1+1dsd+
PJxR4+lvSqB5SUwepLJ3ZfwwSPtetDyJRn/TSKVC+gh5hlyjLZso/RRUiJKIei6G9joZuytLvUHL
Za8YiL9VCCwZ5pbhc0QQGIJI/W2KNH1FAoPPkVD3B2XiASntUzUcKAjBlTYrBXkJcQpHUsI2sOZX
vV6+uMgsAiU+tfU6jMW6WM6DpFrGPWTcVdO5USVldjR6kZ2/kPKxypy3tsrWCTqOOX5pnY91Oe4d
I9qqSOhnpAnTVeH6pGvtyD3aZdGnDKWZ6shNph55JJmj5HiKDRX8uzFrp+oF9OSRMAFUtSlvKuDJ
CYMEgNbpC9pioolqH6X9aggzrE+meRJEjQ6odMcU3Zqj9eqWG95aG4qtbIfarMkKCXdGaRzmKTr0
OqyAul0z2es9YcfaaSQn3IuS6MGAGNjaMdmcsH1D41BZn9Dv78bHKQnW3GM5kSfiWkUpsMoy7XPZ
FMq6tgbsyA10JhkMD/D2FvNs86ZV8qGEGeb1aExH8eAm7gkZj9fzW9DGDaFOkVe6OLBqq97bNTwk
qYSL6tqvm3SLwxxNaEYWniW3rTnfMadKQsiFvJNv4yHcaP10FxmICfJqpwvOI6Xa2D0+tpSJUOiK
6wSQFra4fIhOgT5wRO7Kntv/NrQn4L7Ca+8CXV4HDuLg+NxMIwf3PO0HKQix0auDbQBXRuk84S4r
8+qmzE7od05NtitEdI6JA2iqr0ETbauJFhM7QluttZQVabQPGmM3oHihYrC9jkA4UL4Meqdx5vJj
iKlOFYspVqtQ/9bsJiqPlG/l0MTdQyitp86aNhQkGK1tYxW7WNqIjSElwC3PzGM/Gw18pUQ/06bA
7iCYPq+Jwqg5jccC/XkCBc2yJ54me5dOMUx5MkNI/fKNdN30+c41SKnoFSj0JUpBfcN30hoMhCLP
wu7SAgSTEK9oaXsWvbWAKiJ26idaDxZ8tIkVaHbGkTCPiD7wZiinTXzoJshY2nSBerHqG7+l5rC0
cyavzfpWG+9y4guRWhLhobFGoWaKCOPJ+hstZWMXrMf2YMubPl6b6q7I6FNasaqktcp4N8BTm62v
i15SdM6uCEi5UJlTukp1cqoVvCUEznuVrIUa67Myro2hPRDp8MmJQzAb8wFI1ao1XyvFXdlifFNV
unMj8qTLlt49lwkhh6lASXZj9F+j/srsQ93PFlJK+tDbuz54aLsEOW27JdQeyOlKndaUb6tqXukz
Y+LtSLJOk7mek7n4324IW3HqDCVN/xTcahwYozgxvfHQHGVfjS+TU+00KbagsgFVL1KFcYVubEUf
7A/ziyCIEAOrp9XiFEG56q9FT+4tCYGDMIEynCznuco/jrDaukOCeBkVM2bNfqkGobYT6+KEu9K5
rvhD3fIyi2NT6dd58GoPSKRKuOFnvbtNnaO7qZNrHv6gvS27m0HbApX3Oo2rKyMEmNR6zkW72U3z
vo9PQnkpjBez/pJDN6iyK5uohOreoNArnhJMoA/d+ASfTbrHhIWba5IK/NLW8F6KGCe5tdEQrsWv
STTg4bE8q96k7aZCwmxxpBguFohKXZnd9RR+MsHpUX8b2pdCu5HkGhVPS6GWh8c5fg7iLzzAfbO1
+oc63kY4O+upOkYwZaQykM3mMMwRHp+N4GKgK/zEklkzzoEkMxOGKvIjT22NwX5j2VvGL7Ot6C+G
LV2T1R9b0GpwRzaKjbUTcRN4hZvddqDeV3bSvhX1sKlxNmFBrTdE2wRowWgmPjuVzWGNXwt/KeAl
OA5xbnpuTxUY6uwXBFnzlyTKzHAlhz46miE1dYVpasVUpt8KUyHYacDcpM4R7wI+LALAVd1DGpuR
ClcdZ2kUlKAE2uIAY3etKeZ8ZWNG5Wdj88d8C01FEl1aUJIZswjXQU8V1gDmWenDfNOQrLzr1BxZ
CFascVgYwdK+6pBTrjJF54lm6VBqdr5xHMqSuC6npyLQpju6Nx66vp5U+H46+IiJPKeg78VN0Vnu
Bqkkj546fE6tpr1jv6b6xSTiczlSRiObAxIkpnKF6S7dRCRnepIs0dp0LlVb6as6DJz9wMkOWjLD
G+a2FzWXsOhK/u9ZglSyVYmbMUHOhxNgNRT3Z6d2Od3I6VorZYA8MsnyrWi64MrVa2dV1p08CJqa
feomMIWloOwi28t2Am3P57Y2Q1ZBL1G1BjKleQW2rWWqNMhlUpaqDsE0g3o/tEa9Hfpe30DFg7Da
WsDqEQQtdTOT1G2TGToSOwskEPHhRDwkoJhbawX5hKSqrucNr5Xi0E/RU6rbX1tHu9bz8WwPTrsu
e0rNyroNrFzZNf2DbSCkQ4kX16x34im8tbjOG+1NG28ssAvEIG2U0ka1RKxGr32Za/UhjsJjZqnP
Zph86QcEOgHhSO2QnHVzq2tfOiazq0RD+s8ok4SAKQdGF/fdZs6s4UwUxYKUn/aq6A+gRDaxrtya
yr2j5OZOS/g2/DAF8yR62Xlc5vzerGH+mli0f606Pv69s51/wUH/d//bn66xj5/qT/LTT5z031/2
fXRjfLAd9C34bdln/6i9MfQPJmMbRkNk2bBSXggGv49u2C+rrvObIo+Ry2+jG+sDfB/22wi/F7C5
+5fgsaAQfpndqCYzJbblwBTYSPwqvTFrvjKVkTWSucl0yLYI0uemZ5QpI13bmIpOJV2gvSN4tZIE
C1nBRHksnZR94hQbSb8iPrB91khreEnbnl24GOOPUqg1JcRCSvNxBlbTRgM6fjD1GrYL+EWso2Y4
VRC9wYuftDpCKNOkMLaWTCo+cu7EQ7tlV9Ag0EuHvPZ6uSDVEpa4i41BOrjz5GgdwBCg46kdXXbP
xGlxKIWAzvDKz07UXOvm1F7HdpuAtMH6deJctDnUtaG6lxG8ts9Qc+LRc0mEBcVKKQe02XWimnSS
XFLzZJWurgMH5Nw+gGbDD2lKGeLkkZZwak3ZLR7g4SFN9CUMrrGa+6pkK+FZog3PgOX4cDPr1QGY
WhIT0WKWSuJpYQNKbMpC/GGsSRM216JFnZ5FrmVuNaDjJ/SDuXorLTfC7DXEnXVQwGdDHlJLM73R
7dHpV8M4BS/OrI/RzZSwuvS0gM56HQ6y1dd8XBGtHSyGZNIpahP/zZqVf99J7iKpZVv2x7u/q/h/
/sfX159Hud9f9P08EB8WxiTwXXcR1Rk2j/Y/dLgaTyOqOg6LX3S4zgeTj8KLIJrAof5B2mLYWEBw
5NoGkj9Y0n+NK/nOiv5ZhwuzGkcJyhuLFeNCzv5xyAoQMCFoMA48YWVcPwhwO/ls6GkCll7aX01g
fmDWKwh+XJW5425nXWqRb0YZZGLTJCeZlQS6FD/UeWQ9Z4rQUuksVSqCGnvyC1DkS4Zxc1lzP83z
eCI/YbgI2g3CC3QlYqPUUimwIUqJhEk1swtPjowKBgPtElI4K2jvdCGpChPVynqAFOgb3EkvTiTP
VPHaGoR7MSMNCq7+LiBWbH180aa4Dk7wUZClQvDkY9CdIldtBnoJHkpXu58Ly/aMPtZAahEQdw7i
PivWRYjyC5rmPJZ7deJ48MgcZ/WkCbYyK/JN0x2wKxejQpa4DiH1+XBfaPXoHlAF6Nq6qzgmtyNA
ByQD1VzfN5hblZUs05wsqQQII5kRkTeEYbUstTif2LTGe7MvyXgTYrYPpKwIEuT4UT5XfSvz/d97
df8bP8zC0Hn6/vhhPn+qv8Y/3e6s7b+96NvDbGofHGAVaGf51zeo628Ps7us+LlYgbx/48T+eLnb
RA+ze+HvsXIsd/Lvl7urUSY4zjvtiDr7rwhr9UXT//NmRgdYz//0JeoYie+iuv9hZRKaylj8b/bO
bEdy5MzST8QCF6ORBAYNjDt999g8Y78hMiMjuRj3nXyceYO5n7ueB+uPkSmpKqskdF20oAZay0Wp
FJUR4e5G+89/zneGsmgAbxdXE51vnwcrrrQddFf3ZKop/Np0mbOZAr18sNSQHK0KU8zcXim7PhSe
pNjBYpkc0RG0L7J3Dz2EleQhlyOQilCD9ungEtL7JV4MDprP/E0gtlHQneli7HFoYdGCyYpXnUW7
RidW162SIGXS75TpV2NJBNMiPcuwYyhI5XjfkrVmmpQFVp9y82tF7dWYmdupXfTnmcgqa9dx0o/t
dN0lBgrQ/Wicxn5RWxmeF5uLkNMltXH8CCBNBp6jzENr76dyl2jvQRkR7bbh4Nbek2tSGlnF4iWx
64tCw7E0St0CVT974i3uB3k3J9012IyXzug/a5hnz+OIjmkPen6X5oyfnVYUB1lmiW8NmHWlaKuT
mcntbNXelzmQ8lS0db8iOzPDo6/p4hj3duGSQ+dHTZyNnGvqQKNv1EfuZBmTeu7PqYnjwuA2VRbm
Rmfc7VA4M/ehrK3TnCb3lf1sBB6mrnltB28eYe1JB8iUGMg7gp4qvd65hbHu6SQhG9Tnz1bgEqCa
oKyaKaY5Jjug8Q/5HGyiOgl8/IPf6qGs1p5JTTOh1y2W4se0fhUkni178WXALDctSKRBmXCpGK5Z
FbDFKVRhbZMxuwMUtYun/nOh8ELolNsfPYRmNd9Q3Ay06ikeFLG5NDk5EE/p7HJ1CLDMhKW1nrVi
35HVW8kyAZgdOYjZEcW1fZQiZJGBD3lt1t3Uox2WFvQWrUKd6BqDstvRoeA3gzPoWLmzxy6q+zjH
6+PE223pjVXbKgy0M/a26qpsWeF1zdSnW9WZaGINJy/bkYi8rqp5LytYOdsZF8Bx5DKVrOO4woNu
z0H/uSzIgqCAyvpcItw+UXmq7uIGZBfmfmY9K/Wq12xOR2MFKXx6Coaa8TKvSrxb+qzdKVsW5cEG
7wIMstGDba+zaD+Zsp4uVINq3TEN8ENzjpT3ZSSMJ6wMZOPDyK2Tg3A6XtSSJ2J/A2zF8b1e19Kj
bMa+X+mGom0zDnQHzEAmmZHtJECYD+L5rCC2uLjYKGqtUks9qs4xX3rTwKXgdDqODWC7zYOuEVbZ
yrEoq2uVOwAW+7K66YJU3jez8SYElMlnrPlL4L0bZ+cU0wNNbN6acLerIY33uIBauirtMkFymJzq
W5Mq86KRQEyozsa5eV2TCTs4VQvOnuETXjz5l/wYhvNbYSfxwUq7lBA2msJ+jgaQ6oZmIJLMFBZQ
uGo3e8eNyQDk02TQfCimzf88/f5zoRLY+cu09/effv+7Rpz76en344t+PP3MX+THKp5g8sddlsvi
96ssz0WGU0GvK4/F37m0bZN52OOu6mEtE0y9P55+S6yEJyMmNlxx37/qT8RK+BZ+fvoJELYSFq50
pOHhnfvt048wr6QgTmH+KcFRI7wyRO2Q9KKGCQmcwk7R/DutK/4GlM65D3Zh4UWbao46ogsRpI/Q
pjVIK7X089ySWuXzFKidDSSX5geRPVCnqq/xfspzWhrjjCY0OLdN0UTnYVycCJTn2vvOUSAoJdfA
fGfqgTX4bpqPF2tS+hnDUhv7dob9ZgM+k4dTEhr53VT1TbkeoiZWKxhvydGduyzedWwu+W7wHSR6
au6UlcIHKDOOr7xoE5pilQM80EoGhLDRXAwOEhBCl6JY9bXasYhyd42o2amaYRu9cHZmd0XWtUcQ
CurCkdLsEx7AyNMYTds1LFCScCmboI1UUSdZPQ/xYRxG8eTonfKjsE1P7cAPlEr5Nai17msghnbD
sQsCpm1RLJ1mN9NFYzjtPkEatTqu2pP72CcmpWHNdkydazgcqJoFf698MuccGzaNI5Ffc1DQ6+XX
VnSNDsAph/g9smLn1J/cYE+P7KEaHLb42T5cquCTLzyDd+zmVoOVvXWAegyVHyYx77Rl64MPjDTb
Y8QuoTSnaBc46aYog+vQNrctu7MiC/04SrinzNdCpFu9yx9c2qaXEIofUKE5T6y9wK6QPrHXnqAh
OtESdlzjurPli4qC17jhvTRTn6kNQFQgvph0s/DI39iwv1YD2NOa2nfPpN1ZlqfC9i4NK2WuPGyx
ecAAIfG0jpYR/ZxWDibGfWSwTEkiv1fgzt0cl/K4SXqIOEYzHHuHCqk4uHaCCfrxdE1dFiaWEIyW
4TNzUNA60neVHUav9IvKQGt3zqLrTrpdY1XGsdaku5md6UmzkMGL9Khj+yi8ia1T82mk5RfkPNZ9
cWcnkWSJb9zjVbvy5Is9fuk9LPoFXkZec79hkc+jCfUyAFKIAMzFRK/u7S7uVuQUtkHHT2BQplMW
VLv1JbVyqOAEDhbNnf1uBKQHS6TZUrzLGqwif6jG4LZszWRFskruMCs417Pb0GYEhqgqP+uhV61x
zrwnLmJMkDgnxRKUlydt5XPDAn2gU2+u5z3FKbXevLLSfiwDQuCJc48ndROGnc+Te1ubrLsloYrE
7g652e8BjYDjJdBl49N3sP/QZkb75Zd5Mtd2hGvS5VUPTbj7Qb0tneao8Rfj/OKk2CnsdxVSBR7C
pHGAH7AbumtDGoUJrbdNuIXPuOti+eKMwxbVaVUwdpaOs2kjUt71jWbnPt1+57ApttZSmNPWPu4F
6oCcF8JhALO9g2zyUz8EF2pNzp47n40CPDFlM6498rLLxen34o7W2sT76RJip7gV8CKXcyiPF9vE
HeQ4lNW4cbwZwJAuTWqZMb51TXtTxIA7ecfEmkVotboucyNZ62WGDwEi0pQI30y+cGytNBqMPEex
GRfX3nRpIyxHTeJ34AVizCsj7dXX9rB8OppiF4f8vwXOT78LpvPgRD59zixgnqmD83PDgZSsXdc2
zMp8IrvGqqUg6OVMUGZQ1PQatXpkI5Yfa5O4RFp6XwLR7QyPUCssoqGOzlAJ12ZSf0nxxEdYOBtK
m7OJDyqmpqERFzc519Z85pW7JALhYemuWkWZOOsme5JO7Pgf12lTwlkmT0cDC4XVYEn3di7uI9vj
k8q7uIGgldNAkNTBnTbG486pw2ElYyOBySBu2MI8Kq5fvmjyYKX34Jg0vav9DMbnk24Yw9qT3MWr
un5ASmzvXE+1O9ug7I52+HDbZQw3Gqse6Ek2qZdG5YOf6UlzGwIR3FbA29euTu7OqhAza8+6pUT4
m15nLtgX5w4hUL/gVA0+jZMcsCIId1NOnFH9R7gx/Qg6Mk4RCUyJP1bGSA4SCSM/DbCzaaduA/EY
tKwxLp2E7UjDuhM9BKXmRDy/GDMY7VjoGTzRjHVpm9ntYJMk2JQtB5AXg4HwcososWYt+6W0xQHc
jvN0n/KP/K/J9v9dzMy/4JIBjUDCKv5H17DTv/+/9nM0ff5JU/z+ZT80RR150GBdgJzIzsBcNgnf
L2Km+4ukO2bBKpMKMIzljvSXHQMKBbZRlAubixpfw6bjLzKE+4uLkXOJ/SMB8g/+U/ZQ43cFdcKV
kEPtJUmAfArW87cXMb2x4PQO3JWoshnFqdBCF95sbFAJxw5aaKvR1VsqKA2juy4Geir9zmyr6nPX
2MEM5Qqosj/qKcZO0LsU2JnRRE9z2dn9lkY1Na06u4LP0tBpfzPF9ntAc8YjSqr5GY+k81KVYebA
0JwKb6McSCer0LGRMasBTA7TecAlDv88hPOOkLBrWvWzSmo83IXWtG+mI6oD7PIOjS6zP/WqMvlU
A0IzCVyFq0lUSJHKUgw8OpsGiwI7l4c1qn7xVfOS9p31qetzHH7JYZHiRemCQxHZwy7onJa7TH1x
G4yRRdWOGPwgfMZZce2gFK7Q/g1cHJFazXOJlXByw3Xt5RuKajC3WFF2kwXhcFKOM2+rptcOGLmI
aYnS41ei6rDp9hPdfOi1g5TLZJtVGzsiabiazT7k6T1DPltVNCGA4GIz8yqzTj+TX7Opng8T5Nci
yc2rLhBVtJ80+jA2DM9Aq6WV7VzRsGy1SWe8ZBbLUE7JGtpYXGdd57tE9ZbnNpLOlFg1k1xDLo4Z
sjAo1sOYvDNFyWLEjKk8IOLL5L8e1KRvJqNND0abhCdV6PbJJZzAkRr0+jbr0ZtXWGV19A81vXFC
DTy/4G/H0KvFuCkE4LsV9+RxyRAHcJQNEhivymxtCSBRzuEhHHpWQYY5mAmzvfRu+w/g9fgBvy4/
QNjtBxS7/gBk470t+1VEVIvlff9Fpz2G3ekHVpu+NxYynLV8+/UHepsfxVW7FuLajakQ5DDO8OZB
/+uf/2di/c9NrKCvxD/Ua0/F2+f3NP7ppPz+VX89KS0HrwOYEfarmG6ZgH+clCSvGGIFXV8eUx0x
4r+elEyzgEnIyUrikh91X78aWEGbcoRacFE/+qz/xMDKPuengVXwxxPu4rQk6svF/ye5NkYIKlMd
27oy3Vs5973A9KKZigZaUyY5eUQpZxxsEZWZU6HxeWjkwCamk7jl1rka48EfZJ1vsH1QjuhtNLL+
KRCubMIamjXJi0X6Y4N3HkjV3IOfnLjKjY5h7XrVRv4MVnPValnKBGE/53oibkKSLndZ3Ka3LG9H
zizAJ1AeYfPxAAGCD5uBS2SFWEOYRDEopNmIy4NfYLI3lbQuejLaj5NmNV+goRfww+16AHyiEblq
ZkyAnC5cSMTidjIkKMop11bW4D4UKroWHOqtbW2bqPOdoYh9BWUxoo4Rfc+Do2ipbOfILj9TCGZt
WrsXvlPicx8JpAKdX3VJnhCxSna9UxCMNr8EFVTyuLqn6skhNuxx4y+nlVbIbdNax7Z07mUyrWXj
HHK3vnaMfuVCjg28duO0+tfRa29Ypu+ouspdih8bQFWunlFUCKTAbxCgG2r+ck3tC2He9S26s56X
cCC1jW7HlDlXa3PozkaeYgYr8nuZ1YfJVqsOYGCncKE143ti2tsgJkSkyD0NmcvQkem+ZXF3rZxq
W2bVvrWL6iwKRhntphHkrJppHyn9bWq7T2Ey4lTO8M81rq+bxU3Sx1wayX5PvfYt8wgj5SzaWAz4
Vjk/FmPHcDvf9q3zOjlahkMQMqju3XljtMvHYq8TvMpxzoneuHZC9Zgw2c11dhNl9nHGOECVdf0Z
p/XYwCKNyWdV/WZs5nvqTTDVKkpYPtlN+C23YWK4VghKc4rjd1cTfBNTEmK9U6ExHui59K5seF5P
Iwohsm9nUJyiuBQ8xHogzbWeRu5loC3R2bJdB6LPTCevXcmvjs27iN47lIdkFVkBu4ZERleyKTKe
baNXfHMRU8jCI36HQ9ABrHmLHfdcBszMdfOk3HnXBsZt19XXUtDKjUnT6MwbVpCLQSwV+k4fKp9W
1TsLVC8nyBWc/NuwOaXC+poN7sYr6V0fARAlCRAy8yFL8oMWe18kU306NfvlHFoVjnELEI79gtZw
E9cooh51fFn25DwrWL57CV8YK3P32DZtfJRx1K0ysKqQdRkluhmnXR9OX/IFzZYDaRyGoxin+yQf
99ZgX3j7XNmzvaOP9tR0MX1H5PaCLOOxiKAiUxKEGVcF9jF8OGkP2IcJAc0sJQtAARuFLB1Y3gEx
HQ/HYZznrSp6UGwed5JhNq8ysBgqnSmyNwWfTuvVC/QTxYO+ZlG6koUNdjMQxLV9O3jhI0iiW3rr
jrNIAdth1vKVJ5+9eX6eTAYnO/FFLs59jUnSbT7Fytkp2wPti8V7ye4Pb1OaTxTn1tyrMoXFucSc
zKRcEOuY5kE/YnDfAhwiNrnKlbz2ErKVVoa2l0UoDOmhcdNvxUD0Hb34VeUxMQWlqOwjDL2C2odH
j9vyOkeR2xd6RNolyHZKgywvi0+sPB4ixwHemy6TlMz0bR6ZJ7NkRVKWcmJ3YfI59mIk8Sl4xLm9
ceIDLfX7OWY9YoZrfLy35cjKB7jSp94a7pSefh3iYpslHR3LSGh2srbxDC5ST2QD+tNcdRssoF7v
QspwZdcxPUrJEdYC2FewKZiQNQC39EKQrylnH/mM3A90GGbNtaZ6/UwHxkpod5A03itr3rduMx3a
hKkzGAxK3smADkBcmHy1bTAg8hCkXbXQo4BNAV7VUmMfkqaQA+0jEeabDZQ7toLkBmT9linQo41d
KH+uejYQXa2tuMHbhzjrrFtjHDqYq0IdnVTtnNS1T0aFBQh6bbNLIq2nMYRA4WigTfLBnbaWpi9K
z1Rdz1CfxT7IivrUGSwTyPZ0ZBP/udelf82hEYHxH2r3p///f+s/RMJ9/8IflyHxi4P7CysZBPaF
+/Y3K4q1DJTEDIWQQE48k9nwb2MjhTu41QC6O8QLl3D4r8ZGwVjl0JGzKPu6/DPba+MPmHC0SUDR
YG7kX7T5/DQ2cvdgWwDJI7Q7SpqTD4hZZyLifYDNooVxxlbIcS8y87o9bYmWuTNSGmcMa4DdS2k4
wayFl5Z/oNMQZMzbLpHmVnoLWc1ZIGuwGACuUfRmsc81C8kZOi816CFvbo1kEKy2bqG2EVYncgAS
XjxL/sm3ZSypJI8ooCr8pvIAvyluF5zObZfTVe2GrdxhOk2uFXloezPl0j1JkWvvXTarYWukLegM
T7TDeWw751sfBM1DoKpx3g/Y7v0A/RKwZRKA+21k/sped9hkFnztAKzR0YxngkmNE+/d1v0KhKR8
FIqwH7t+3RdDFeNiD+czC17c62mHyU2nzxkZuW0hZwdxtZMtvc6FF9uPRRKPX8BW8+dFdmXTF6ov
kWbGbUccWiPTL0WrRxuV1UdDxqzs3WIy7EezNzWEstmZHql2oMBBb+UnCilG32P2BNTRtdXKE9D4
mpI1oAOt71QaLVtchtbsvmFeeymD9Gxh7sZql12jX5BPygS3pbF/sth3j51LgSpvU4zt+nssuB86
TfCeFBHBKtaBUzFcLEjndayeppRO8iE33lVNX3o4GnKt8yOtmFC/9Zl+15kGYLtAC4nMteFG6gbl
46gLcdXd2km2V5h7Za2/lbywK7gFgCqzaRcBBQlKvIjDwPBtSec2DqaDPbqnvhg+qRwwuBzj7WhN
gU87KLVpuMatSn5rZrUFg7UO2xFp3r23ZX3RIaL4wiSwV/avqh+9q3YwKkjplb5uyJaHoRSrPIUQ
3zrFto24jDu4fldW2CPmUvN6qHRuwpVqO7JIpN48K3ZWadyAlDaQvY0BApeTVHuW1w9UwWHRcEBW
FybdRKmo/EqUXyPdXDZFUjO2cLmIFc3cytfsi/KtY8TZlShCh2xSASUU1TdFo8zqfCJ3AMz7jkcf
+fZ/7vn839h+BEeEleTfX8Auh7hKP9e/H2m/f+X3UxyJD/swLl0OSt2yP7yBP0Za+QvTJOIfpaPs
XIWB7vbjFBfmL3gNHTo7LGvZ0i7T7l+G2qWRFC1Hdzj8MQ39uVOcp8FvHEgCBVHyZ1AaIpEbP6TB
XzmQHOC6shQWtY5l8tJFw7lPgWaSpMnGAcnzr7+cP0iI4/f/gz8MCPbyk/JMY7/82wdG02iAQ9Ll
RpOZw43lJfElm12zvuvaUb3qWjnfdm2jj9ugyMlJVA5IP5ZEiQ4Rwxi896bM7U1YiOYyxRp86jjG
whgmSbsZaMpK92Y/4t3NSBg8tO1sE2ICBFrjCrZdqnuNTzw/vOMEFSRybfcGVEa86mnRwioh99lU
bkuTIa3ZZFXlj6K8clWBvSenHWxmh1uk4ouZvYOj2BfzeNNW9Z2nq5falTd1mPhVqe3qkmaEFuEp
5YJYm/MJlvCl8+xHNyS4prXUhlTsUjekAUnYMOsIZlK6nOqtoIUHAX+TeeoVDP+9E9T34AyfudU+
En2nOdvZiRTUv+tAOZ3NRh6oOZCXGlAykxo58eNcCR5YEUtOTaf3sshQ1ZKI9YDJOjzXq/K2qtkX
e6Cc1rWkiNKDXL0zQuvr1Jb81urh6LGnJvMeHaolg5717jFOyRALs6P/rcPjoQjSJMPRGMU3106v
CkFQcqyDQ5+qs+22z4LF2dxEsKCY6sl4YEiRJOEXtsqcsdpq5mRPsJhfhZf7ep08t1RUOOFjFhTf
iNWRhcM6NdT9zZRGp8YC1jLxhDFdrF6kCEM9+sx2GjALiRZvQ8+ML7yvwQIt7wvrHtMCg8jwODdW
t2KjsuIHtfNKrPpKfW4Jv+QBIdJVol6As+LkNmgUSTZtFl+HcGbdmzB9iU3mXlMzDmMRv9oq4JuU
Tw6tHEnx3IREoJslFUnwsUAhDW+KqFjH9MysKHvfKfowM7FgV+0bwx62uoq3U1xc1fwmdDmtlkY9
r3QuOf1va5u7/ZxdS6eE20JoMr4reVvxjjCrnRU2t15mXc3s0JkIohXPp2WvdwtF80lOyQVsEbr6
faK2uVbtXdg8RNJpxbpTapenL6O8UcgnTlXsHJFxk2lO1ds48YHSCHO3xnCWimEpnfO7GaGVic/E
jxawiySbdRVbQGO6KtsE+bscXV8gVkwGbQuESstppGClJZDt9W+5FpyDwLhSUXhXGosJ2Lkx0vlk
2I3PQ8v3WvcOKeU6TY4N3JPRkc+Q6Lb9aDK8btMIYaSct7HSdzTcujTkQdS5j7Mv9tjfccVbz91j
Y4vUbyN9RYXxKpocLlJfnUY/0dK3iuN4G8elP1bJKYvrK85yumcTbVth7AhFw+/l1kQFasbcNwik
+el8GQaKbAT5JnPYRtN7pB6ofsX+hSyNG1nUGJUNozpWYXhpTSCXE+fAspDMnXsi99W6HSlYbJ+i
BKwA31R6U7fpFvnCYObHw2iOJ5txsy6H26x58vJoR1F7wVqlEg3E/fAUwzzVqvBQ1M9tfZmyDqEf
LNFsq+vUocR3mt44La69vH7tw4qY3V6XGSZDE8E+9V2Hoj/m03UCbbUpL5rxoJqHmPBh2C2lRfQg
ae6+Kx4UgfV9WKK/tNvUk6uipbOoNV6jYFMn5qrq8Xo31VFk89kOKD+pr6RI9n0kz9wrtzNvpDGf
yNkq7BLX+Xw1q2Qr2hKYYLE2SY9+MIAqvf3UhafOzu6GyDjFBnz5NjtYg7Y1sEzkCJQIjiVBNMbu
hg9LHQFakoQzdoNj3MTkUsdSQpiTx566TavtT7wpdf3SYVEBGHKnsm4famAzln1nmYyHZg4OuZh8
Irq0tZjZWVbM2aY6zJ46Yt9GYriFwvhiqJ6P7by1FyxB5Nxpzp1pz3yucbzU4fzAu/yGijeq5cJv
uDDZOc8PM4fenHf4JHldky164bqmVtrAaLMSiqxJyy06TnYd2dqVXWa+obN+sj45nBcgI3mLuMZz
a92kbnyTUAgikAjJuWCv3A8U3oXTtSYoyuEW7kUsPiy8pUo/BZ29La2DRPvQG32rf2UjfWXWzpOh
PUcTZpIRWTGym/dSe4lLqPhVfu5BMNqT9VRgKK10TL0BmeaFApLLu9DOPsXE4ivtQPQd7BbwP8PZ
a6njc1404b3m1Tu78k6hSd1028CUA2oCrsAgAWqGE0lQZ92D9YhsxABWYH33DYcZAWIHWRZjbfWF
l9sRCm3C5QkB7N7SskOhPRrJvcH5NszlLiSg2CK7QeR6iMz8uUjzI1K4XDljgvbV7gFdfKtpZYnd
dqS2qtm5qBqJSK4C8AZ1qJ1HsLJ5msGJbfW3Km82GBKhjrhvOmy2TSrGyxxH38osuO8jexXrzrbQ
w7XTj77h9TuClycu6c8LsZfbFyp0cOto2A/cdJ0WhzH2YOn3yGo0JyT4vDhg9dq9pFn+3GabTJ3r
6THBBJRRYSWzo9Ebn8OxvbGvA8lbO7sqtEvRVFtvzv3MuoQoLlMR0HosfeviovKXhxkBaoRBoXnm
yZl4zeGp3xXzbdoP57xgWxUxMgf5QguASMFYVxDrNV2wlFN8asUptNkI1IdOePderbVrZVh+V+/q
hudcbJ4mPt2GbfrxlG4T7VOM22EHegecG1vN4sTZ1iTuTbJ8uiHQ0L5MOJ7E9OQclNL8qCb4tcmK
7thX8bYrr7gcrVPexsEUfZZAAKTot1rfg+2YrkFFbxWrgQqyeKXbPs3MvjLMvcOnQOiAvvqXSYWX
LBN+OB6593HcPVQyXM/jY8CbUNb+IMqd2yA1mSkFP/OGRew+YufpjRKXyHTW8se8gewortX0bJNG
Hmx9P87fHEgecXdTlCG72RxGxkSm6tDSTG6HW5fnW8fdqRP2IZjUQUXvynoTLw69ZjSxI3AbUDct
j6Oo3XdjAjFdfaOh+kqHErJyLOzVDF7EYq8snSeXTVzdSrY4jLgZwAzhM7clrl9VNrjQ2yRzt61B
c1SdXgU5B0NavqdGOWOS79YkjMlo6w+cqUOCJOx9salDM1IcasljMN6OaXabqKPN1S93bHZDXL4E
LUow3bQlR4fL59vQkrgRD3bNotyMfMEOyTBwzNdrBx+wqM4aVVoOGbTMekhzKqK439RTeODeBm6V
JVMoUNKfh8o9YAH3O+GebXPa94ZGyfDBWLrr1Ao47arzWvCmPDA03Ps9efhKftLAUaa9hZ5JMYdu
cBhxIvI6xcyZNDetaZ4tDd2H/XbUq+f2W8WyRc+mBZqJ6XteCGzWW2keK+fV5NTGbuxHxmFKKTnp
b2eDSGKv5mPPQ1KutZHSSn5lLgVuLQaZq67i5QBMaAabKdGzT0HaNYAbiDbjZDIm+cLizEFHiNxy
adllPrDn2r7KWE9AoEga/dlKpuQmS5e6ZDEnH93u2Xs1gYzrAXjs2lK+Z5UMXiv858sHM9bYlxQF
aqwwCspECmGfUtKIpyofUJUycLQHy8yRs9Lcs+g9zgNrBwF1vuUIY3MdhNnobNhtw7jRSDwMSWpe
WXToNGjOwJFo1Og5IRvsC+k4hleWYfXV6p87kv9LSqaomIJ58K8D5e8Y+oem/Fy3P9lsfnzVD73U
wO/MCOvpBmMzET7m6e+TtqVTm0v+BwOO8NgFL5vbv+il7i/2x98CGopoizr610nbIrrngNAnzrsA
1P5c2GcZ5n87aS+hQqRay9FtBvqlJOrXWZ8mYy4umtxaU97IPX8eA643ebyGaX8qJPGKJApuixI/
aapbD6VK7ysOPr8Efs6cmHBoQINOv6s7iC7UEPzBTG78biRfvivyiaSQYLcRgf7tdxWm8SSnYXHF
UBLv92whAMxbV8lQJ1yxcclOcnY3ZuGuhTfBTqKuG+SG8f6rV/IPvo3fLdaX74L/InmwRPaW+OSv
fzfGUNKz7hE4YeY6LZJuWIbcc+dwi6q5NbvuE+25HJLTKI7/+E9ePOa/zlPyduBPBtmH/KEDKPrJ
+qQF8IjtmVfFE9mVaZVPJSmHdZAYuM/V8NBzFu3qILn7x38q3PPf/bn4t0gMoxRhxHd+/omFNpvT
FKfG2tQC6yJmWbx2jg7LZIJ2Kghzh8I4Z7Per9vULdmUFp7TnKjJwqgL8Nn9osmivg1JHuHMiQt2
ePHI/XyFas3FGgOyP83lY8RbDkYLy+4MRl3nVkCIW5GvMELB2fKsz3MZPOlWw26wrEPBGYpLGUPF
sOnloEHrAP/feol2V+fxK8zxZbuftVcuwjbubwMqAtZsK3K2SSLyXd1Z3PIUNmW2chtzdoZ1L9WB
kP1pYq8MSsrtb+KBjXoS4HaWRULbZ6yZ21I4NabdsKUtpTiFijhLX4w3EEPelIjJXllDvcLxNR2y
zKb5pIPozco5nz6RQuESGethJNdFbELZ1vMAG5mchyUGP/a4QaU+5eZFp+bZQGvt+pmweEXeO2yq
VajH8ppaLVWeh0mmiCwFQOydHreGsTWkIhSmKXvqz3GEO+1gG9lRN2paK3R8THtoNDH08SRn7WgO
gzPuisE6mY3bsIhnwBlm+IPrPmlCvMUg1LAADzFj6pDKslzrPDu4CcwhHDOj7EjFc0cLtxNojnyd
Z2jFKaXNr6kgiepjJY/bnZuUxR2jKGI0WSWcA7Ngus4G/RpfyqM9hNPeNjR5EJUxvzBe07bbenP8
brNiBD/0AYTFp4GxuCEWcTt+IGP7D3xsaLmspAscOYf8AzBrfMBmGZhAzgJ+58IyWguQliVh9zR/
YGrLD2RtHUblPgxCVvdT/NnVQSQtd22DReVqFu5NLCkFHxfGb77QfvOw1k5ta3bfcE6kDh2mBpSU
j8/X8uD627nWfHh53opyquMwan/6y3+7LzL+879+87D77Vf82991ov73Fa2Fw77lV4fR7x6j+89K
/fv/qePfmrB+fNn356gQC33U4ECWLBI/bFN/yQ3RJO3RRUWqyKUJBg33b89R8NeEpPm3bgGqYKT5
23NU/vJxwvKtsemiQuZP1dE41s/4a4yq9EQYEviGBOBv8PP++mmhpWUeqi4VPvJOYOb7WXstq/uh
g3qoXiv3WjfuRr1aG8NjXOTbOdLX/JCbor2twV33fMYn4QfBNQmLK7f7PDqHFqMMj6ZNXh8dL8M4
chYhAPb0UGe0UAfQ0sL1WJLzwGYJcsuGP6S0J9Fb25Q83ypMP2VU4MICXnMCxr5snWuHBrc8Jhfe
FXCAaF5vBQVQTCKu3jxWIzEkJzhGQCdzW7ugqZHkx9/l3cVLrmbIrjtPe0igTay7qi+3dMdcpiq9
Eln5VMOkm2KQXgNDMYZ2O/haVTDqo0HsVP2FL7zHFJCzN17hVb9punFDNPY2Kdi7uqK8bpdaRq0s
LqRjHwJI/mbBzlBUj5qXrvPE1MBkzZvaJCvRAk/+D/bOLDdyJN3SW2n0OxPGmXzoF5/lLnfJNUsv
hEJScCaNg9FIbuCup9fQvbD+XJlZVZkXSFShgQIucFFAAREZUigkd5r95z/nOztrBHE3mB0LVEH8
Q+z8zNnM/XMwxphXCE5ezQRMpu6pfgOm2RADMS7/bpcIS3ut8FtIZZ9rD89ubd7O4adTVQU3euA7
t52WSIXv8ZyfZ3fd+TDVcuusonIGZNXe2haRWj1eBKxh5zIuFVXNOrJ9AMLBn4jtM3muVaXAcxWH
LjiUs30V4Xq3rFddUuHlup9uSanMOObXZZpvASdMizhGrYOCkAiQotZFFAWdWg8efXxTvrKM6dmh
RQc8NDCx4JhE5ufAHhnv/o/UWEfFiHs+RLZD2GOuFzd29UPoetcn7WaCluapS0HxczdDYsjW2IXr
n5Es3nWf4sVLD2U0nEopnpO2Tzcl3cZ8E+HRcqT3q0oeoboDYtlVeow3yeXlxckEXbLeRIjViupv
xv0RaxhFH7vZpVvQI4K0N4J+j8t2L2qT5JMfoEmrmcOWLm2CNUX4dgGYSRsObQPeBAOx+RZTwF13
l0biFtci3EgTM1ZnQQ2b9aHnVUl1Adj22dx1ko1qSb+EvXVxFdO2wNtNba18ROBJOemrnVlQ4ItL
ATnEXwYxZkg6h44E+668ghDH1GK+ejSddOt3gbHsfPWcDtOdkzRACU3xiIVg6bfPmE0u8YRu4VEA
x7ZsScMTIMmXtKkwKnIZNPTWTV8nMHIdsLYsIZ1sdy+ufnIITl2CYIMkkxLiD9QFf2boPr3wyTXz
VdSMS0t1O7MlHk+hBzMj4mAMahJAKO8s1OWDXb5kFB6WFt/r+g1Q3ibAFVj1ZKi69q3mX6/ccReo
dhmNeJQcEHP2bNFQ765qsLxe5fJvIfenQph1XXlv6xOssI3h9FedPb/Zbku6PPAgpQPOd2R7FUKq
xw9NmN7ZNdG4J1+71mF0a8CvSaOvHmGujHiFNrip+2u/L296/ktraDohhbrv8unQldNBRHiIQq46
bv1S0RSeJ1eUc6wCSURl4gXAhfElnrFsmzSOBMO1XeW8/I0nv7iZ6h+kPa+L/iqZw0N0eTaVRfpl
WUmFju6tPS7EVeD9xNsRLlI/AzmSD/miVvV7V/4YBpJA+Zh1BL0U2nlz7Q3IdzINf0Y4ykiNxdXW
To1bRWxy2SBHSJN3YL8PW6JntyrZzQrrETTIruS1vKtUv06QS5rhnAAmpRWVq3D1TCpvabfqZCTv
+aW5VWUnYD1I9byrh2URB9dtGl1PbXsc/eY59NGXom1IbzOAD9Yd0EUF+lmUXYmmO/pZt7bgCExI
HpH21z7gVWpNP8b52Wq8VcUtONO14ApuXok6pTLekOEa1PQP30a8h4oajtUzPMNVNZFDNW3OGKW6
tRNktxhT8Na/I/cELONrazE42PY0c8xCDQn2RoylA0b3eH5vpaRjIdF7m6/xgkCGi3l/WWbV5Rzu
xip/samSpT/b+Zg8BrDJeowQQYRD3l6RLTr0pNZbz35SExRXS+86wfULvxhbJN18tere1W5JCU15
VzIvNTYHjgRoqcbXnHvgMmiso9uyyqv66RwN8X1A1zwiksmbE3omFH7C4wDtzW7UAGUBwXAaE1wt
iKe6EnppqUs8Em13YB4tt5HjPFkA0JZtCVvQogblJbQr3hxWzA/THR0WICN5qe1USThPM1usRRgP
PEC9zHvIa59U7chKazek0h64btMmqYWR3XqUvEPNm2X4IqwqCxe458LHNDQmQHxzzCnS+EDZCs01
f5FVLDG3sqSXEr9u31A120lFSDe17J/BGKkPPzPexaDe7C66fFSSz+9pLjlA6THKie3GnbPwytjp
V3NUhPVOugYEN75846ZiHw93Mp7bSzg+PRZ6yO95PcMlNXUwrWaR5faW2oNgUVjcAkLYCHvo0ha3
5cxhfZvVrfvSODlOUTvpz+gX4B+rJLpyy/Yz4HFUZ+VbGgWADaIp4MXSrpWnYSZX9rmv3LtIbcIY
34sbljWLOWVstMBf01b5yRXRaxHNtEd2xOSKpuMarkJ9E8bVaqiGYOHLcdnbdyAApluCN3ptpMPW
n5MnYMngMPkV+VbrBIhkWFYmfBGp95NCtBowNCyxLayyEAnXYzEuCeMNMrubQ4NjrxnHrZYBxL7C
aZ/8TP70g22WX1Coj0NdrELuG76Lpjudm6C8MXtsimTBYaYHFa9WMcqjb3yV0NH3GohGGRNhHuEx
LrlcdsteqYjQMbtSvxK0hRgdUOcAGHLIY60cyyVex7UDW3koG5orjAiwEM3wYk3L4MLA7lgkFzS2
sWnLHpZ3imdLMxp7kXfd20SmDaAiur41wmNtDRTh7RJArbPw7KWZi2XCAJvG48pCZiWX8xgkHthq
+yMPJY+TkIPVWwyyfUqq+aqn3BNAxotvZPuxh3ussmjhha86YP8A36/Z9qlasQfb1EO7NYa7mNrn
Qd755iZh01jK8VpzaVGDTzOyjne9FzMcmsdEnRnMN3EMPMyRuypgW40v87Ed3CMxcWzQFpxdC5s/
PYFRxKAZL4kTHSObfBC1n0unD+6nSgX3dnqNowgGJlXPNcRvgy17XDf+fuit7jMjpzk29jZjGFj4
lVffRolPJQVR5tM8x6Ciess5Fp4T35ejYS/cdBREmYx55zkOhiYPezE7uumYki6FaRJE4ybP1E8L
Bwg3qzk95E09bTIvc24N3ZFuct273B7dTWxHWPBVyxoEszIbADF468R8QgH6nBI2TqKzborEbv97
PPz65yI6rmA8+6vxcJu2X2AP/jgd/vZRv6ms4S/UmTtu6Lku3IZva9JvKqv/C6hE4ZDB8X6FKf5t
OiSiAzXpoqHafy4qhiohXNv920T5ryGVLv+aPwh6/AWobXyBFF0EDtUZfxwOy6wx8klMEO9hbO9d
d2RplzILNVmd33hJ0B0dc45ePKtgNeFHwjul+PippCd5FoED2BtDLw+OCl5NOBMwcUZjO4zma23K
YTu2LsWV5hjQvhsE3cNo9qJk13eJKHpKgxaEPXZLYyITju3nXxqsD/dREmjVVVApXS9pKhNXZR3b
j/wK0kBgf2kjgXSP0Y87TS7xJAHNoIu4oQTB5M02kDTIIsfr13En+Nvh66w8fwxfnXnqj2WjKxbx
kah2Uc/Zx5laXreBJnGRCuyKZhoZH7GR+SUeIBjZmyZLi6dyDMs9KEdI6xwonSMHKPkGeOuxae4j
k7CHZ+rnxs7MW56Vzl0mjIhEksPYVg5sZ/1Wc8VKG4ju0iXmkatr4UTTo00jMw/R1jrYTQvhW036
c8yMdi1L88voIvujbYZDKqzTbMzhIpoTOjqwPSzgQugHtAOP07fw3YONjHlLGKsHpDRwLxmHaGfD
glxRo4Q9MhZXHWVLi7nFvZWo5NYziXQKaVtveYttiJhrwCg5sByDLs0V0sWwVVEslPaTgfEoGuCw
RusOVwG7JHup5wTfRpHaV8UUr4ZRnvGMJassN3o4s8W7xxGCYHulQg+AbVs8BpzbRHdoueDiAlGT
A6rMxCZO6XIM0pmT2qnF1lZ1eHnGc3KlnFpjSfjeMczkaNH9RgpcXMpPLCAibaHVrkwctRR4jBkC
+lNbcTqProlZjWL7RYHl6BTqAgj2dI2g7VC1h9UbhPZ3sSN8o3lVpSwvm5zaR3ZynOpaPTZpz4B3
aYesYlfeRZfGSDO8GB2+ayS1TaOkvnRL2kmdMUapdB/EZnxnfpdQ5vDPn5LOaoACXFoq+QLfuohk
w6pzwU9wiVXJUbiN3LmeRX9DETFE5G1G7TThkJkB2UQVXSR50j9xWhK6bOLBs7aVunyHSNWW29bk
/VWrVnfQSAZGhNFPH2Jf5J+ZCQ6JXI7sn7AB9jR7UK5Q0g7h0I+beSCrIsSIzCwvf8qbvL1KqBee
KRUvb1RW6Mfvx+C/TVL8gw6JVvnbX3zR5/7wC4ZKXoRn9dVOdzyJi/73xOLlT/6z//F//LPHgemJ
v0xsrttZgXL+03Hw60f9JhYCGUKFA30JdPo7qP770o0HO8szCwQu+yX+HofN2u/2Vgr2PJ9tGDbQ
X6MNfxcLOV5Yi/hgNi9FSv/i0u0/lxIB3ryU1iM9Bthl/UtX7D/4Wylcm+SA9gaqMWqG26EQGOms
SZbyji0zojYCgPHWTT7sdbdIYJqMreHdNLnPbGY3PhUjFENCuZ3yJLitg+GSFRh7Cx3HBGZWG6m4
Y3WV5fd5OIz9btSoN8u24bEMICgLXxj2VXmqaxLjBxGaSCdxHBfU5YSMj8JsYpxOWuOpc9q6VQcV
xZmzzqu8/lFbeVCttNkZ+KcucYLcEO7Gs+LoNuocaEeZLYcIuyJnA00FQuNM8nQL8NzKexKR7Tjs
eMei3oi56SYC2ImKH6bJQHvqRlM+1l4TbOugxSrkzWL0b5StJox/PZn0dScmwLYdX86XPacFVh7T
XI7fyCNiRuCPCAZWZ4YuxrcCxmK6tr5hScagEcesOYY75PVNAgrdmUdWPjpzd3jqcee1FwJTWBb+
rRtOel6PtpjfijkLNxrf5dHqbZQCiAPEHUk8vScXyBMYneHkWbZ49MJaPDWDg64aZA2QctnkbOuo
CIq7tWcmE9ycfMRwWV4IF1DRpgf9jb2oUdFc3F1ztB2/ERnNhZZhmVM9rPpvksaUco/l24rhLC2c
VKxKw2Nl1VnaszdeoY3xsWa4Ap8fhzON5ybInfWYaHdPy+F0C9s+302ZlY7rom8y2MADSis/1rPZ
scrsYJpThar7cVzktBQysrlQ2UxHWJ9GNYzPve7GZ+Fr31qO0RACkg8VwjRloWBych//TOUrIB6A
9wpMGoOTQhIvOmMj47p/CLSjI8YqUOuLMqzVddlpjQ86q1y8k7qMMK7o5sExynAXhT6hGzx3GGto
pIWFrqb3Me58gDupmZ6s1qlfChpVD2Yn+Xx+WTUPqBLeD3ucEGOb0s49mgvm9tzYRsw050nxM6N5
91pkfj1vZjyUq5RiyruRmSpbaKmb94ZDBL0oqGxmqb4OggVMgWwk8seWCV21LCyGKN8ylkYrhugk
mXoSNvbYfHvsnnfBAL9v14yxmd1n8Zy9j6Xbd0t37H/bR//bHvb/dfdHLqSev0yurT/TtmK9/+sJ
c/X5v/5nSEnq9wf9eiBYbHvYEQEnQR+4BB74dH/LOwgMFZflDXEDPAesiH4/EKxf+OO+BV3112pw
Fku/5x2gzuFQ8IHYEY4j8PAvlafyFfx5QiDyAOAOvgD2X67iwFP+cCRklT9OpYjHy1SdU5KFA16O
dfswTMo8ZJ5Ut9RDd8ehlBQMeQbh7UCm10YK5QmKkFj7nrgbE3FHPy/2DPt5MKz5BLMRIU/RXzG0
JjuPbpZrFsF6Mw3aWdesrIgUKG87liq4mS2cBVFPYVaWBOvIRq1twFKSDstbZF87Wwlrvp6hCLgz
WV/6SV2EI6Nf1QpfrpmfBUr5hjugv4bK6m+HtlizJ2mvkJTshZLBz3pC61cI/gurxY1YwpJZDZa6
1qH1ZBveLYkHVrlQN6YLZc/273yP8o4Fw1tkrgMVyx8dUsJjDiySi5nbUZ/FekbcKTf3b5qw866B
zhuvna4EbFnXHq+hIRR6OXr1dKpMti+GLCswyZzx17nx3XLdl7jJiXOPC9Eoi9RVUkaLjkT6rrwY
sIKLFcsR1FQs62+Hlvh2a015al4pu2bHl4ZfM9XN29QNrNvcC8uvMjbzZq0I3O+dixEsaKP5hRZy
3GE8m9xjfrGMNeXEqJcaTGy0hGAqa6oSblXpxT2Nt0CX7r1vB9pwMaNJgmTHWvVRQRXGxa3W9pXl
keroDkGaUBEF1LZj/9ZvQJ/eiWZlZ/RrsLbg9pos6wn5jUKXW8y1y0F5V9PQPk/aXXle9OqwD+/K
ei/y7kc6i8fRD4holFTTT+22x5wwB86q72AkTFD4ewlIzsgZN0S39xP9s6Byzh/2ZfpGNcdjMxPM
frT7TwpqGXymZfiTgfGqYRJJY7gIQu4GhY02Oavh0JsER3RzBRhxWszq3feQ9DOxpccL7S9dGYh3
gAhpWlPuvUAM1hyfxCRXfep/VWhzKkSmFsMrTu8bUT1b1K1mvHd0DpouBqcVrlH5EuT87KWZ/ZVh
pct5tJ6Ub/4YKSNfmGN2lSTzJyGjJc14CzCGq8Cl9TtceYiLgmz+8Ildr6gPg7OBDbDI2fGknnvd
xLSpvrplvUv1wTHvZXDy7dokuAgxsh7dYzVfxifxEabOvXI/5sbYW063mAtzNftgAqmkMu1i2Wfl
EZP+Dfre7EAfSC+jMsERUOmbiSyqexv3xUrQVFZAA+pahcwKFk0dRde4S7cN1lTXTvOiRRKtBxgG
Wb1SRrhiswuxkYG4X5XFK+cRGnr65FjtIlQ9Gfov2f/IEgAPy6iw1FueGqsW4/0indI3kbz27Wc4
vbZo2SHvZXNdAA1jeqr9oyY0nlRrX7ob7jfsUqnT9PSL3d8Yjb8uCfZQFXz2fXIBdU4+21/VNtSh
ApWAH2N610IZyP2PbBrIctkdrTBXnpURMEqXJPdXMV6XGFE7cvZsmW86Ezt79jK4NPWpJQ8ILz8n
UJut6d6f2bt90gncuHdB/xyOK5GsxjbEAXoV9Q1o+UuRCVe75tmI6hO42CVXv6zpKbxlV44aO9fv
tubRYS7n9D6Jbyx12xMniILHUN4mOokvF8WFN8Jj7NucYoSoyna2v5pNmtEkNTf7agYZIcncRptO
yGZJnTE9h8zX3dGOj0zvzKLK2jhz+OiG0V1XEI90BvEYXnIdfMR6ctcAreP4I+bNiGJ5ZUUDPGw2
D/hiIlL6ttzYHhksth3doAHEhecEESYipJkU2U0XggHx8xuqxs4yBRDVFHtYUCyPwXhSdg+7ZTlm
7bJqbyNivCFk6e4+mbnBwnFqjIeMTrq2uSP23GukIQCLrUtD1yBrVkNl/CBUgTUhUem6qbIv8KwT
G/BYojGXcCan4WlSxjug4GtPfobpu/Q+MvsrxpTXmRt3FvjD4DqUMtwPOcQIksOW7+wyji1hww1I
gvqaBuIruzSfh457dUseo0GpCun/cGQGYfNn1NX70XxzLPtYl+ZDD0qCyk1/O6VZ+ChYaDzMlaCu
zVz1ppu/CHc8d1lpnCrQPKSCd1GT7gFsk9TmQkeJXpWwl5/BoKgejFjhTpucGILRmYe5CzYNVQFJ
R56NYOuWsY0XeGIky0J2r1kYeytvgGdJT98i0BpKNr3PofxZOQEmd+9shDx2Zb4ZqRKrRb0jo2EP
1WdifFEZu5DBsFEUWfPS9jZF9RwO4bvl//QvawEMBg38x6Krl2y912Kwlx6uh7CMz8Bw9iWjFS2D
92mNyzEjPW1G/ibNgq0t0Pc8dn8RuJiWcvNa0EcnTnZiX7ctbuawStGP2O8W9QpxdFmW/ASRE2ku
+1FWFK6zYJiqc5RkKx3cmSrYRO4uqI5oQCyN9VkH+d5Ov3wdnXRCkcnk7xuXQ6ClXzHg/1qxnpt3
h62azYXZn/QJWuPC1PWptYZDiHeMDRM9cXHDm9d9iRJ3KWP12Tm4vuMQeikxb8zYL6q+HPhiqNeq
ojjXgwkyy4MqfswpcnvkJQftdD9G7fEQHtHZatIyTJoNW3d76IC4l3dW02ydjE16HFK4qfIb3zcW
fk/YaqSHFPv5kICt8H+OGS/Qu2F8NxRrBRY1eFtbar66bW1/Oql5bLzxS5KA2zIR7fDLUNXWLaDz
btPc8Ek8JmQ6omfC5XE8PijeiLl/VP1wLUW666tn1kmHtHKvEimfE0Js4ZDknLOE7ZLwUXFPG1Ie
1hMOeC9GBqx6takyPpuV3SXiZq4utYNnM8ufxNjuYlYuvulA4alvlPcj499c6hEOPc8pnOHPmt8j
YD42gEcN+EXY8qvtOIWvaAW2eyNJekRhVAHwzJ9njVtB5o84517hsJBeN19Maz8Zj05c8nPv38z4
RTnjxo+DwxSFW23Cr/Ua3OjIZ/E8dzzG5SpAixich8p/ASsMl50I/yLxs1fkt3gRm3O5nhN5ysP3
wMlo1MvfsT7EoOgvg76+MuJ5Wc/epqrE2XZ5ukbBQ9bEe4Or7k4X8xPEhe0kvU+vhoYjM2Lu1Y1j
f/jAvFcM6BiccFOwKFVtu2t6ugECAhIjd4GWVFnQY3PoAb1I9yFM6R6wKdTV4R6zPoqovCJMupup
1XWDFO6Tnz55zbjoh+beM3+Yw40n7gc6qOd6XmcFHpF25G3TuoIIHA3Ol4OiDwTtBNXzPCLL0+P7
s7LVSwxqoh26pyHNz/wWLkNMrne+ZLMV4MKqsgs5dm3o9j6Nb4vpPA3AAWryew0KNY4EDuWyBfvi
a4KK/PW8kL3MXBlOdnbU8NzOLAJjLjIX1rSzFlT0pl1AeM8gyJ+cainuZGW/agwtdRNuUB+XoQEM
SZRyEVgzkAH7ZPCUiS/GjbkyD9Qh05DIu7zsPJyzNWWKXamunKBfRZyhl/4VnOJkl+3lFIESDqGh
Wg5pRNsK7lvH6U6NO291IzatGq+lC0vAGa7clMMPGMeKptSj63frLP9KaLqU07Smx2gtxzNqAj6C
bj0hDvDAg8eVZ0QZIfoKJVkZlu61dmkToCfOwvCbDqjl+D+v6sBYVTNFyWKMt1FChCkx2s/Ou230
mQWi5PvcWIAaWwvZurh1W3NThtkdEdhtQarEbvutMjmMUKYnHLztMsEMGg7Zlc+3qc2P2KBv6uCZ
wE5vP+XVZxaX69h/6AlPKmefuT4JDQpFh+G1Ktpt0SQLN58PlmlA8acdjcbUkjpk+kmbas+T582L
qIGzs6XnXJgPXN94RAnzfbKH3YSHttUNmcfbHnKDOGiU4oXRf+Y9ptuSGxUH5oCfzGG96nrzFfsa
YqPzYY6LTTiufUXPcHfCFYgx+G4MLY4+7MIx3aZ3IUDJutsrkwgcFp4hIB7bTvsu/hBtfCwm0tLz
T22Oa0u+6ERsL2k6kZ2SuqL3qr5CuFkNHDipvXNzd1P4YssevEgeIDm/XAStPGzwa7WroYCBnNur
PstXnbGfZmwmGUhYxpTZgaurT4n/kloDuJS9BiTityVnqX0u4FHL5jlznBM83tWsNmq4j3wA15BE
1mqw7h1a9ZqlpVz6I9MNaSCq80i6XWt7GVTFfWikHzEmmsj5qkJjW2EKqUpaEcdqPWvrWJYPAkhl
XnY3c3EvhvDEucgtD2QTJc3AQZatOOJciItwXVloqXfAzc4synR/lmzFsQdy1HQvstT3qDmLnrQu
Pm+xlny2gpZM89ll8iI5U7GRoi3Y+ixH3qdj/SSN+TrOBMXV41feO8dcUZI+t0v03KvJ9PaZx+er
3gjovcrMwN5gWS+AHsG759kaOOnRwiu+DNVIst+vruG33JcD1DBW/QKtl/zgsbQwjfiQrOISgsdY
xhvte+ssHAmSD7Gz5njfRgUHboQhI3MfrAhqCMyYeFXo3D2ktDMcLFZRO88Yii0Gy+jm37uJ+C8s
TpHv/EsiB5nH9/bHe/5//3f7J4Xq14/8bWVh/nLJACFQOdiVISgRR/ltg83ywURmYjNKXdcfVhZ2
8As4JdRGz/XCwHKsvytU5IRQuYhFsOsAMkA3wv8nV4l+ITQX5DCLrQoy1R8Fqi5t3Rm9U62cKQ7E
Sy6dD4UB9UEMsrnJyyxi43hpBJm/20Em7XWPwXdniP7uD8m1tF/lpVSEWaw8UXKFVQhL0rXz3T4y
fTeReEHPclXApOQQDXKsZSI2fC5Cuaa/oBHSO2tKv6xlo4H/rU0rqMtrDVh+2/Z6HDbxCBVvTfln
Omx0nOpTq029tbqEmbk3Dgz5PBOxp0Uce+BZS2MNu5YS5wTX3khAuzSiYTubToFpSIQsJlHW0Cgm
Dy54HvbYXhLFBjZK0Sb2mNT6p6YVRB4LbeE8liHhXUTi766c+RRAGDTX6ZzGq5rL2ZsGF7xrbBVf
dUZvA3XLEoexqI3vdK6C4aqrK8bfgHOF2TqnCLykQSCgXaIHVDA5dI0qDxoJG4TSe1eiJzJLM0Rx
yvt2/ixZczzj8+FekUxhIXesMCDvjsK4ZDwrO4VD5NOavGAPUtzKC5tzOfRt4WyoA0wIbeMqdE5l
n9T+LlUFoRAn0ka1BUli/gAteeFSZOXwBMncGmmTlkUAn68CL9LYifEDJB/qQZETXI9mmJ4LqP79
sAG/3L1Lu6BGwfPih9RSfNuNuVgxhCC42XaLOSGxYQspZs0FE3bcb00iN0xW9gDYqRvAs7sJjnHJ
WmUZxhjQLT+jFhvAA2Ams1nHiRXGhDi5TlJH22FNJ3Gc+hMpXZEMRyfzuRE1nrFuOJR2hZti5PVd
+UYnKzecqewebJ1eT3Q5Qr8vF1Reqo0ZETQzPEI41VzuZE+De+yBhspKcYrTmNh8f6PdzFnqwWT4
TSvqkZneuRRRBeFe4q/NBoUJfVJKLuYrMBbdg75sYpZWPIw7Qf3PQ69j9SzZU1rLxKBnbmOCuG4X
fDvbelkUOReyIAHgskhlnfBe6X2W6Wywdnmq6LZMMMeiyumKe3+q7NyljjagDS5w8hwmZD7JM670
pjhQMK+ozTI9KtzZ8zOVS7ykkCwu1TzYHMg1/fdR8E8amcjq/fVR8FWl859Zw+6vH/XrMfAdCrX4
qeOt9UOIkny+3xYVUNlB54WhyWrbpwLg75trjgGXE4JqHNBNuItsPui3RYUNzsllP+Fje+Nk+Reb
Hk33PwVGg9BFAkbM5rNZmJr+eAzolIV1B6gSKrskhGy2ZfHuxzNecTdER7XChuRI29FzFRX2uRXG
mC9V7Sh759iTfxfnoJFXQxJEPhQ41tZVWlIX41ngecppiHO2fnX/BDMdry+73FnsUyxCH3laZKeS
jfqHlmXzzOZvTleFo80bcnAa8nvVilXR8rAaAjczlg6P3adgMoKTSluAfV1ngWbv4Dd0y8lzKLTq
eGuGwNut/F6PmV2vkekB8cSj3HV914DMU/yIFliJWInHfgkxuTMs8gAiMnBu2Z06ycyO2zOWEBRZ
mlWxDk0ut0Nw+x28JoJk1ZbRprQ3YWol3no0OAM3qip5r2srzj80LkOshhzer8q1yZiPtXiRplK3
HmUM3VpJSXO6shAi76RR5nBjgry71V56ybP0rnvLcxk5j11t+RWFojER/EszWojUBzvYjIG+meTY
MlZUSI7jIOrxGDfIuTwCigNTq32dogyy+TUHgvzaCh4tu4Wk4QjKfevIKXgyN2ZLIaUx+B+RbZn3
NfINKMHenmARUMZF17iQrx6p4WiphpDfRa1jvY9RwJVrnLwk9XQzGG+BMaPAjbKEUUGPkqpXMHrF
E+Tq8CkI+vpQ+LBvatpnCbYHzzrsi1fSK3z1Rt3L08g958MpgkQiODiE85DxGBNt0VV6zV9ZP02z
39mkBHr7Ii6KeVXHAdgEu2p4qkpOdJYndZCeoPjB0HcI2MrNwOP3o9cSkDCtodeG69JD1sxy1U+X
b2eGrRmXnkrmc9uoEPs5Oe91ZpKuORR1e4nxkAtyNpU5DtNuSjz7SjVtBiQELnh3GMM87JYC0CNC
dihhImG9Czac016x1HWBE0xE4bwOxdS36/9+Cv+TT2HX9/5yW/x//gPTyp/tQ79+0G8PYfcX17Kw
DgUu+12LHdzvD2HbxiPkggolahRAuwv+YVvMBd4MXIGVNOD5TTnG3x/Cl15P/hfwgQGO03+Njofz
iIfsP+bD+eIovQhIOtqssr/X3P/oH4qEqR2eivDdzObSqpLMdrHXovYAkNg9mY6KLcUmsx3zKaO/
zFgCISeoE7aarVAsG+bvjhzjuOPzg3qM2kasdYZ7ZEnnjPeOC4I5O4T27C8dYTSowDztXXA4qf+q
UwOfhz81FVqGHLOPRrnFMwaPMVpa7Fg/S4Nn15WIJu8LLZH3mBhM3uz4L2O5YvHtbQe7VvNmqiJ5
X1cE3QSkl2BBn+VEcMRJo5Wf2/LUxT2ssBA6fWtY+ufkd6wHgiG+yVkRyQV3T7muwtJ96cltbIYk
FdeZW0IzMVpyT1lW0jcUhqo5xKHXAWiyhPvWFWLG3Emg5MzPiroglWQi4CrOm3ZRkvMXN8XgDKCe
LfSzzktmedfFXr7T+VxWK7tKzUc5Au1IvL5As7J8jf5KOdquIWOGs783PJzpAQ1QaTyET4bS3dnm
rBLQ+avmplET+LjYd9AqArDqc6tLgCasuRdFW10zH82vVWdA6OpU3h15VA80D2N73Wi6Jj8Z5bmr
O5mGrdJN0uLUDRP7dZqN4GeQm/FjnYXUxuVN39OY7hVs06us2CX860ASdkTueVExB1lzyHqZFtcL
10Y++6wXHhpe1811ME7ys1ZD/eiEiPHLjKZUC/7re2yqHvifDLg5cm6768QWKlg4dqoOeH6j96Cm
CR34k1af8f9j78xy5EbSbL2VRr9T4EzjQz+Uzx4e8xx6ISKkCM6jkcZhA3c9vYbbC7sfXaHUkJWJ
FBoN9O1OoIAqqeQxOs3+4ZzvZC5fZumpYtiYaYYP3XMjuzoZhsTdTaPP1Z4F48GScfkKe0LMwxDT
WjS+XzrkwKaTvRa1hG44isK/h1zlvhDHUXD6jmwAEeVqgJEQqPKxO3tZxAiZV8bUpqdpMpBbkDpp
eUWOupMvMl/OQBsT3tDCGfzY2DYwGu9lpsWPFkO2Nyvs2TN54taoCGbWSY1ELeDzd4GBOays7YD8
9zpcx1HebejEk7WHSev676P6Lx7VQp/Fj3/MV/m//+e5mAcn//HvP41Ovrzw/bi2UWci+RfwOAww
Kjbn5fvoxPzAIccijLIYVY1Nzvlv4h7SJl3B/0VR7R7zin47rmeNKIxr3OSzZZx/8Evqf96Ovz+u
TRwvzG50QaTRbIX//rjOGhVFcY5nZapUlmzc3uCtmeZ9eaVHHJFbJ7JS0ihIQF8FlsZbGsdYyppF
aNcoQ9Kr7vjmT+fngK27f+8fH45M4ABby+ND0x8fIBFl/iPxeOUrG7yDfnzQyrauIaWD0K+XAOyZ
O5R5GVcE3hYtfOhYRlDq4wRLN7jma4YAjXeuKhun5eQ7400qxnTeps89KbdemS8IZhup1RM9va+N
smcWGtc4xXDj0MS7PJUjcpvLOtI7te/GMGiW6cQ0Y5lbLceRoYr6prOUWAVeiTKyVeeGVhZA1PTy
o+340P5L33jpST1qFtJOgTSItjWegwSJjZW3Dzzm8JdDMnmwJNvBpO8Jg4pf9DiJrvqEbDwSS0R0
GebzIw/4AluZG3lICMppsghRrigWs8okM4gApGU1kPy3JXGkJPPScQHamWUhWF5osMeUisL4QtNr
7V7p0iK8DWcXm/tB4TqjQAY+WQbRbFhGmONtTWysxNkCQ2MNacfAyELmDGDuMVcY5GJqExtPIxHZ
qcFYP1sZ3djlu0JDhIsIPyp3YePbpJaY/Wse69pLlxfDoZdWt50GANa4wcoT5XfBGq0YGH/2GtFt
nQpCSnApc8FFo2S9UBnkZy6Ul972FVQV7FV4QcHbjuPp34fWXzu0AE0I6A9/fGhB3e1+PK7eX/J+
XCFOZzTJCaYjN/cg7vx2XKEqdGymtYjDMfXBv/j+uGIexlFGmpEHG8rhEPmmReRs8eYP5em2oXP+
fJXnv1OOvlBIvkFK/qXo8ssyhgH5b/9KmvxPx5XtkEvk6O4seJ+Vknx53x9XmOKdQHd6VFhhaR0i
pwgCeMZNzrLemlI2HKm3qzMvpKw0kS2ZtTm168YwWbbFiddwzni2jHZo4Tg6tIQ8mTCyxNoNMdAu
QsZY3XLqR4P0P3tEPYikyVn3eHtphVNXtku7dap0SWmuW3AJRuXsjS7Or1SpBm9h03UhkpxDVhtc
3JgibUmMkY9TVF8H/XAkJXcai9pez92tm0t566aW8xQgPzaJ1hk5kUQMB26d4p1FHDhNKYk8pctM
IPNnop+O0iDE9RiwRmsN0YMPwt/E8l/iPNtX6PSWCu0hIggWg1gpZ+FHUbN3jkt0XdQ+gbv28sjc
DLa0Plot+1ZdIIHhA1uDvdTZt66tXumftAyycdVbQLQyHlqnY/zX5CpYe4o6RDVRgyC9lye1rQuQ
iR0C9JENs9bdF6nj7PiJXcVTay4tDeNTa/iXqV54D1LXSj51aKKNSV69QqlDi05z6WhRvTOgL7+k
wyRPfI3Ns17p/kkcqP7BtSbsRGls5a+xmSj6ag8OIMI19lCOlbk77od4BEUROpvGqftrLSNnjpDV
HM4A0LvFKAuH+TfjeWRcY7fXCmt8BcmU8h27UpylVlkTWpu5YEZzMyJciNobikYajw99GySfW/B5
kBq0p6QLDKKqetO+TEeDqCVV2smFHekOlVzoS7RqjXuJzGp8GFi3XdqT0e1Hcx6I680Em5U0qOK+
8iRppKNtaXuSciByFA7HozEVxb7CwMQApXTY4olqbfT8KRrkDkF+gSwNZxYIoGVVhg76jeoSFmmz
sURzGFPzwbP5XsO+09czxnuhpC93FsfwshHipYDkj9vuHDHmUL/mY7HuzVUut9gYrFOt6Vr4nTk7
9V7kq5TbHuvtqWabFP81EUiZG8LWGP0th8OGZR604iiSm7QZscFqzSYNU5zp5r519K2U0Usjym5b
FZ1c2Xb7pDd5cDKWhb7Cuv2pJTlxWfSu2vdxfCH8YTuYybbGW74NA8xNaAEf2rGiKzD7B50LDDea
8yYb92Tq+bbjzDwdxnqNcGPpq/TOIVQQ1x7ig2reoGuujn0YSaAmsCZm3p2skl2SNrh1+XeThgGc
6zoBFuY5zTJrsktSqgl5J+GWJ+9zMmknieg/uuQQdb3esPNVh8I0L4OuJVugMk4si9MA5q5kmBQN
cJrESdgM512FNCwJ+KKsJPsI6OmWOGq5ZmG9V4V9SEnJNbP8zUL8s8SR+GR74Z2hjJs+z66qNGZK
P2DBHIo3HeQFpkGcg2k8PPvwDxwbyFwoUSOkg4MRgJ2xqrBUq/JWmsBqAGvVFaLmVn90x1lYO+yC
pjkxzfjETJOr1AZU29Q4UMpkXDOgevTLqlmYbv0c2elsvCRflgM+uc0YOGxlXzdrukL9rrNR57ET
kCey7YhVE52RnDT2/K6HAQfnpjNwvbjzSH+w2seEaKA1vIPkv+Y2376W58/5q/wZYPXf0kfm6uj9
//SejrPXT3H681V9fNX7Va1/cGdTAJMeKHzfD4JM/4NHwe2DejINODI+m9evtgFuccOxiJH/wmf8
ek9b/gdohnNSPcMbnwXvLwWkCj7BD0MgrmnBTW0y2Kf7oZX58ZqmAB1GHIqEJGgRFXlYo2VeSIoK
e0Xn39SbKHMNtaG8Jn2+a5hiZ6S52IvJHYZHgnNaZruWU/Uw4gdKUCHs6MF3USLsuWn1VcVPFxGK
R4FLzp9v3uZZjz0nCrD84qmcOXKwRdErj8gsOJyJoMpFlEMmQRALKjAxXk0XFe+idozuMwE6DIlR
KOkrN5X+PVnyRrpz07S7SdhnLTxIx6+yFDT99AQ12skiMF/9XDMOsqlIoNdC/9UE+AJcpi3Ou3IQ
C0w+3q1ZZ9NWpk2ar914fBk9FfbrtJ+YMaQtwvE08W/daRR3lFVqUzbwLJnmT+FdYPbpHWENWoTy
vxyzWao00/mwGSJYr9AQxxgAbofa4cDLYBO2y3jwIExFXn9reCqIt92g+5ey5NOcENJG8ulwTEF1
WCqfslttP1bGnJJaHxNTx2N6qn1MUu3nUFUiB8hX/bso/4tF+Wyo/LOH/R/j5//4958QAu6XF315
1olEETPuU2DLFJTgOg/c++bNwweELoNn16D+hhf327PO5g2hAqu3bzjW3x53QK0cDQgwHNtwIMD+
kkWIUv/n5x3PKJ+etoDJBNZxJs/fl+VS1TyzloeWyYl9lknxld4Q457Zn5y8klsqCPDAxPYs3NC1
l5kK7ixyNJYaSunAsVEZmhPi2SG8a5A2k2BFpdAmFXF30qFmIEFkEbVeune0Ntwm6DBpAYyNK6nc
pYD42UU6rnwMkvqFOVTugjzPgzto2Ucrm4NZfO0tznD2ZF1p7VHPBwtVWCcQH/El0jCsVDPmKM0t
6/j3cygyarCsO8Ug9Cy74DFtCyAv5CSjc2KT5hpohAvNfc08GgVl9+tiquhxGzSVgQU5epDja8Fi
fD02rXZtd8VOWLLcoBchgFh3AQF4GB0BjmlBuNaYRisqnJg4CdGX9QNJdjpnV8Zebxt7eQpJfuit
al21jiBTtI9aCPtW99J1o/0Ztbr7opES2W7NvCUZj+X8nUF45qveMNF8do3gzNeGINkmZdAiCNRh
0S5K9lPVZqwm9viQZIL4PBHYJxfJgMGnTKQkK4qmY2VEmV0sa6Of9Xt2Wt2jFWCjZUZwEThGm+AF
+h7rLrvqYrSO8xYsrNiH0a9I8oLnLVlkhf6DnberaujSOxGY5YFxJtPneb8GQI3pO95i1m7+lxXc
vI0zu1p7GUvklMuuctExSzICO2TFMV4tgoMI86iEtJYNGPkJNr3/Uvo1kSvGUE/leYK639gzPCoy
EkNAFZ0MNpOMjXBIx1yYeUCsTdDNWoMc6UKa4N6n3NKMly5ykEMKq0R1oAuN5NPe9AJ7a5TmvCcs
4Q7mJRyDVY6j9hoJELtK9DgPU27xNght+TBOkLsrGD53WZV8MnSsDPzpYKp+6Tb5k2a511ozkY3i
37BWAE6vxKwZbw36xWuDvBROaSpBP7CgnMc7cix1vJ7GNcLEiy4ML+jUik0aWdHOIRRBaUG3syYF
vb9NGSqXJd1k22zLaLAudFfLd2NFLAntDE4JN/xoNtFajSTXCNaFZHBRS8vajTeej3sK6UhKUKPH
19C1IDhgLodbc+IZLaFN9AntUd5c5BTrDSxwq8vite0MW4VWewFZ9cXIrGu/zs9pl9P+ZRpnD22k
39CjHvIiOjSJES14v5WIWJxdngwv7eTehbjXlmaaXxojEpt5j7MGLwsFoyD4IEVfL0egEHaSv7VO
B+kKbWJkEhLBaucK2MjNoGO5sqoe6xl6X1F7yVlT2Qccgx2TvfqhqCRkfFWeFa6K96GqtjCSHkET
XSM8AWtWqtsuCZtzO/c3Rd1tahuMfwx8dmH1OfuliESYIJWntkp3ichJL/PFDZVEOnf25Fgg+V4C
Cosu4iokGpbm+sawyrM0bvxVDbbw0pat+anqmmFjTACe2iKf6NTqOzdyb2rbvSl10vlq9GMtQaIo
+LETSDftL2JP3aIGAtBYDZexmmZnzxtX/l2mF2iJSI1gOdvHKzwqqDf18HHGEjF8Pm0z0sNrvWAd
7Jhddham+rV0p4xfsriB/nYzWN2ZDPpb3WfjG2txz3sAne5giitlaa92QPB4mIjnup3SbY1NDFbT
kyzVAyvyaknK0L2DcmH33W33Puf5fq4zMwW+3xnO4Vbz+AjFlg/14Ge282CR7NL5Ic5ky71E5hUu
XF3usH2xL1JaDVvS/a/pKf4H8m5dfr5Mzf54QviP/FmOzz81Hl9e9N54uB9QCHg6JYftmag7fytG
LOcDSZqO/Y6vcOfd9NfGA56Ri8JHwJlnf8F78fsZoUm9jvGYxaLFCvqXihHD/P0G2mI8CL6e1HEm
kj/LgNoqB2TXYjc09A7Tcs/8aloFioTr8zCfRxIm1pBiGyYj8rQw18AOgoeVB+4vyTOh49CJ4si5
xmXq2ScI65HVW6GnzpG8FSdDqGcEGvUMA2ud52FhQrnFHBuXCKkbO8Hc2RbZdRjO8jgda5K1to0e
gDRVuM+pxElI5m86XclROIewqvzPEUvzcZsSJpEuaXK4mtyyHA5NUQbpVqtM8TRIvwEQGkYkV7lD
cc9tR7QwLmGSdywShXBHhh3WZTQ4d4ECLKdPnhHs49DNL2K+4EMsQvYhPSbrB5u0bkBuExvm3k01
AwOA50Wf0Q2yb3SqKvuY12oeRwFpImyEgB8cFV71OVRNtU6z0TxPawKd4HWY/bovishahRJ/tqtp
/YEktXyVgcY85INksRFW5Mf1fUB2DS7sURnNq6BtRXY11vu81nExa8rsT1J3yFP20o7ajxz8CfcA
sHGK25knPK+vWwdUhKml7LR9gjx7/ElA1cx56U1cBvvvZl6FixId03Vy3JCn87I8O+7NkZ6xQw+m
2BAr3px855QY8RUyRn0k24rle2iIZg5Kmnfy5nE/D+XC2cTz0r6b1/cyZJHvJY792DACXksvYc/v
j3V4QRpWeFEkRf/mHgUBszSAqS4pq7YdBatslg5MRxVBMQsKatSPN4lHjtLm+JT+jWC4HavXf/vX
5895XHD5tk38qf3pdELyTcfxJ0faG8PFf/qa9xPN+OB5HnQsMAfQFsxZM//eXjFKYStK3gXbUX1O
tfjtRGNkgnaRTEbkjmBUjvvbr8JG74MHC3xeUbD3AKjzS9MU4/fjFDSSgi/CswT/gcX1Y3vFnLiu
lC4mGgS9vEIYnLbb/Ei5d9wu/Jj0Du8rGvdiKRjLbqo0DwHiByacfN0yse/0cqzxD486BRjLXtj/
pLBEGOn8LOmXhUk2lzFD+G38GIFy2DsGbuiNS6Ow4xpnG1l7zMgV0jPs+K4T1f6+kUrHWjgyfMbQ
NZnGxgbWTEV4TAUoviQEpK173gc1Mh5XXgtyV29EwNJhwSAjW+TF5H0SPkrkUEQfWysAGF4a07p2
Ewcb0pQfEjTCxCmUc766nt+7bjf/r8a7hepJEJDXm4+h00VkMvrmzm4o8JYMPzJ3W+JpPZfwr7IF
KxjcZdT6xU2eUWNjN3cZQ43gHzKYjqhLdE8zr4ohTxaJYTNJF566Matew6PMhJiuNJwNQlED/cGQ
3VrXLHWVOpPiDYvEPBAVpi6nVs+uO1Wn6aSSC3IQS7UzMejZKGISpsQmAyl3Z8etRAaVtwxzdCuJ
PFSfDHvj3G3M07Iw0A/SdwwfZddClUNhQvspo9vezYZTI83dve6U/mlF9glxfj2jJ2K3cCuno9pg
QCBgx+CkDJEu3go5iGml20gya5ek4qUqvX1Vl1Owjr1Wkv+prBy3j2xgPRNKOR3Koue3VxnAMHdO
FuAzq/vsNGWtx9tEuqXDighC3hJ9p0t4IjpIVPJDBAop1boC6u/A3m2hJcp7glZqPvvI1u+H2Hlt
knC4MJ2cVLdAdQnNhFOSmBVI2tMSc6WzoAU1iH+aOjKBWAlk1/yIYWCym85W9NPAQ1yFHsgVRFRJ
u7VpTob8JuK3a28iwKPlagq79jyxeJsvnaM8NXNgJrf0C+1RvMpP33xSR0mrmtWtFOKz0PUoehVH
AayeJRkC2I7Eh639RSTrFghmmXr4jLuR1J4RwRDUV8koz6ejzBbpF5JbjTVesEqqWYrrH2W57mBH
JwM7cJAN2dA+mcPoPQN6m5aeFQBEcAdjD888hf8dNv2T0xejfPr1u+Cv1a63/4nQh/+ek3U212yN
/+QyYNY2PufPv78Q5te9Xwic7UyzZtG65cwD9G8lrvfBNjDYQMr0f0LyMG8zDfxxwhYOszUk6L+V
uBieqG85wW3XNmh1fi3QAQTQTw2T41IrU4Q7zP3hws3REd/P27o0dQ1cswXUiAzuuTWBUPaAVKAq
fijRXayUh+9UxcWzpTgUBYqXp4R0ImDRWLt5JIzrMRyTA83450LK6jQyB7DfRVzu42B6doOYD5in
Z9DZPzdOc2+w/GYR7BoAn4fowYv8+mSYmOxVdtTuTG4lrI/scTul3+hh2ZGR6hcnVddTXbIwXqoM
EghRNeN5NmRAuePAPKvqttnzMXFyi0m7Jvuhpt8NxZotRXgR21bIeEUHnSyxAjdOO8ee+Rd1L+7i
NtEW3NfoRdsIwIU2iF3tzbP1yIuWRWg+D5pKlqVnYswyqRjLxvav4Z/tBZPvxSDcA8EGdL2eA82N
CGCfAOUO2RVuK4ZSNixwGEfBBh6ac2egMrqN9Mp/9QRIZMVxv4/NWi3AVAM8zwZW83EfbSbVzH5b
QzzaAbMnvtvJo4/onKfJNj/ZWkGGZh6qK7NLxB4lk3s6mBwEraruUUSE27YV2ppxbUqQQYcYQCe3
Dg2Us23M4a5wYsSjkD3IxqlKfJnYcVnYdef88qxlWoKHjkIdbEwoAJ5GLaA8b1R7tzTbdSxc7RB7
GoFvrcFEVTpnMcr1dRY0uP77YgOQgkgLNqqOtAyUuUG1xlIEscXLxYJivb/kW60/xdDhT6mY7a2p
ReFtpAyH6ETdQzfFWhGmfXFCmq08d4vQ3nCUG+tKn0ycXJIVZYUCUiUzctOsGjLZg/kk97yNCjy8
C02qb0OArgjPymZ1fE9EHarLXI/iy8QIoltjcuJ1wfRjiYA5nqGqZDi0nRZtuMFKuJ+ty0EbR2KX
O6VY41Mgfdfohk2Dom1t9xI+ygSdvDNySh2+7C16h+rSqRJHXzdBaJyRGg+IxypTEDJqCC7aIer2
MN51a1kOFmvwAFBgXgZkKRrMUKBitCvLEhrgHa/FlACStgTsDAHItJ9ir65P+CGXrLs0/VqboVim
ivhdVuWuywdrP4UDgXxBGb453liwywdSS4hWtGKCbl9nxE0ttbaMDyZcn8VUNcGcYV/joIJfEoA7
IZW5U6dDNYOUBvGZKaAOlsWvTuKcnbgwAH82nWpWJlpaAlvjeik9yR9rL3phskTS7gykM6JaXOqT
iFZaCgehSToyQ/gBLkTk9GdahG+d/IfnARHXuh2tfIXf8J7VPVISEsExTUN6xKiWXpVxbFMUTNHe
MproXmki2ncxKWGT4sqDeU4GVcyd7aJwmcj4qIUYyA9AfqtFw5mO+mapd+0rtd2rZkU+shFWVm3S
3xl53u90O1+mUhLH6V77bNGWGXnbOFrKzyOmP3gEfrluSi3gSZiVtg7RCIOc6BdLog84lHkyfFK3
KYAHPIgJcRyCuOghp/bqY2uYk7LgErkXiWaekDPRLOJSD1ZoEbKlLEm4AB4+rvEcgYYlTjw9w8VD
EAWJmDTtFsybGgsfp5POMBBbXzIb/NRs9QPQJZdxU5v7CttJAQC4rwlM9TV8OBgFtfkiWevpXHmE
fneV1214hqNmxGRPdrl1MPGW3+aM0IcTYTfxtUoKYiAyTlqogyFRLCVbvnQhZAjPpBMqGC70HMYl
s40qPOn5h83alXWcX7gaF91KumA4EyvV7mBN9G8kjYSnY5LX08Lmp7qJ2965CryeXNqUdocKPe8R
23d8Vn1hFnbzJlHzOBvJbA/DCkzZ1xrBx4le6JzFyB2yaG2zeNzUUvHFmb3Qb9OxQGWDX+nBhKvP
V9moEIlEI9DXiKKvFLMOjOTbTpbI08dGYTkkwjIhAAcKsKuL4WL0Ww54zW6ce5hyKbQlJ2Ju2Rj1
J5QxqMGpTsdV36ueQX5WkBQwDqU2rIZUD5wDAvFkvGl6HrIRzBHjoNC9GkRlfi5GO4Ke6werXy++
/jNl1f+vdnMaZNx/s8L4j4uvxfP40jU/9O/fXval9kLhDOnQYyeJ9HlmG/IB3xXTNOOAEx0iIW1m
e8fErK/jxVmdSBFPQ4724IsP/WszjsFlnit/Z17/BQnicZX5/azaYcXKTBGlBH2/ThX2Y+kVtCrU
2sqeVqOGmfvKaCouoYgHTicuEM/3yg/FaH3U6rbek6xny6U0co9VmrB3bsRO6BLslbAOfkIiDNAn
E0ypMRNL0c/29IZOtI3NIjudIi74xeCG/h2GZudFTU1zhWVjeFCx1pwlGbCdKE9BMZY1TFST3Lxm
mPrHvPPsNZdz/+j7cKTKSWoXjV0Vm7g2A7KmgavaonobDLWugjE5ickeIpsY0NZHQiCynT/n3KV9
8aYqvo8V12Dz4hRZSxIv/C0XwFJG32djdFcikqeGzDkvrdjuwWA6cbDI2rC9EF0JNKuzlUy2dqeZ
Fb60hma8S/Jh21EN7gm4cK8mXPunE9/AvgVn9En2uX9SkUcYrqHym1e0VnW7gRbrimVsGTGR9kOt
3vhCaGgjQ2YkCVtDu0+EQ4mbfQ4HXB5WVLMZ5HiLYNsOmbP4++H+KyqG96f0Tw0Rh6MZIk2fs9fv
h23fXvreXM2WCBDPHhIHbh16rN8ecNLy8AHPT5WwBDsG+p5vD7hFS4a0wAdpMbvbvjVXPqmzRG0w
nuO/MP9av6IxPtJMv3/A6fZ8w5q1SIJwVUwYPz7gFdMLJXkXr6auG1bpJG4I6ACc0NrldN/ZcWTs
9Pk2vSdthxw40r5P+gTiwzCM+nVU8L3tpT/7d4nPckmSyXoAKiXy3xfMUc79qBPJrUeglASUpRcq
FjZ/TdbFAzCYGLbloA/XY5y3DEDC6F4agFNDLybjJ+RwPEhscpcpywXgY6I27o2hIdmtZlO9Mmcz
UH30BaFSHXetSoeNQKy0BARqL7rZSmQz47dnc5FkgfkoZ8ORe/Qe0VKgm8qPniSVNWmy8Y7C/GnW
6A9HuX5vZKtEZ0EcAn+AY2mL9dRGmAi6hnQ5gSXhvHJG+yLtzWJdhzoLicJKuKlda6i1Za5gtrE0
Vvs8yBzJunaCTSatqmOpEdR3qZUz4OyaYjoJWMjeIx/2diXVPfbWFpmAUElXr8t6qK7tHCccZd8I
MxSU66UhJjEcHC8lLs1wVZ5smsYg0EsOFdl6kOT8tqb1AZyFTUcXy9GctAUhFsV1GZT6XTGIq79P
iV84JXg2/7gE+Ecqn5vn8Z+cELzstxPid8yA9xKAEwIbFWfHHEL8hUTzfkIwj2cIz83MIYBh9pgX
/bUE8D6wqqSWQOr07qf6hRLAmIn/P+6r4QyYfMR5EGTMIscfj4i0RyZvTzZvpHHSjVOpOWP1YJqJ
R759YplgkGi6d3QE+PZwNwU0iZ7mw+WTmDb3RGV25m1OaCVQwbDQzmwVG7R7kYawG+fkLWnvIc2K
mUdPpcpdEuEm9Mx6jNuI9V8ZXEmY7U+dnve3roUZ3kwts1vblhyNReAMIl3WdNiQ7ThP50E3mz+7
07HzA3SBJIWDEsJs30ItWUjTnIeumnDbKzNnQL+sozpHbD+VnDBOSab93EueDWAnoYUqrVjaTIG3
+JGI+/U9xhKqsbN9nwx42rPizgNzGREUv9e69N7KNPFYVowRoAtQgAcqSN981U4vvtVPLx7AwG7d
DWqeiVuQ6eSEeJukR9j7VpaOG8iw4HFi5vcKA/76uJJzYbfvRJ+KfRJUalPRG2zSwcSsgeoC/H6c
PoyVU7/VAUEGi7iFmkse1clkVRKQlk8w4YAQa5Ulyryb+QHLtHftCwOn/Hlrjt7S1UN12ZjjAGUv
GeRWMs+Ca2vbKlr1yGemx6yJnU+DPn3yCEnMN6E7r1LhCYKZMWjNTWCaYZHeT4ZzHYetDvo1Lct1
ZEbj29+nzC+cMn+qYjg8R8085P2XMw4b+U8OG179ftiwrEPDQEHv4o5HvUCN837YuB9MVJjzrNdy
9S9g9q+HDVQTHxG1wPf3RQTxrRzxiHtCqAmT6qvK+lcOG5sv7IfDhq/N4PCiIrEQe/s+7dD3s95A
I+zFBQW6MlGpza10D7dhtHxmJ3bRkz7he4zPYgnLRzYJGaKxxqovaUsSUHnbhqtQC2ZspG0CCvUm
ljddkSJTcAFI8eiXY0vRPVndOqkCnyzNHM7VaYpO4rKTDhppP2/QOnmeUutSG4eX0O8ZTtn2lFlY
r+Z+PHRozadjl+7NDXs1t+7+3MTXFqDPZW4XIdDEPhDBVprJPDs99v85eNlxOWcaMRfwxIMgaYnl
jhLoubALUawwJDL1Vj+N2TCexZ6RHezMsOCTBt5FamuqPK+rktADIlAHUsJbhizrXBLYsZApURQL
Z8pHgPVNdcgKPTJxIHY9S7QGBm4udYscUpZch14HNLIKCt2Hnaj1pOMJZJ8ZVRlR45uQ/q7x61mG
lBnJBUjwLFn6SBe953jAgnXSJAlZ7XWsAU2leQy3Ydho0QUh8x1Sz3zw0tMYg8QLcr68Oev4m7tu
moPfMLo0zbpNY7lKFBTJAyRr9oM16YBQDPqMBMehLQFqpaq9KMlGuRqLIuCXP/nGR4tZ87g30UkY
65Yis7wdNNSmuhxyjvuQ8fkiIckiWhEH5Rob08+ry6a2btK6aBbdxG1AQ9a8jbLWNgRnUZ+1w7Vd
Zzstcx9SET5OjX5BcGwK4Nq4JtQCh1NRA2JU0cCMnHshyN/C0jgnG/hU5+pqCK7ZlAOsTeQj68nB
wIIPgYmZELeQ7kkpDsFlUX1lfn2ZI3BZxKq+mFIXBRsuJ6Q4XoK+L9D9kDhb3IQ76F/OLkC4rq8N
P2eBLQZHYpaKmRCRR7B086J4/PUj9X/l4uxLk2b+qUx98dz+tDb79qr32Q1CCgu9EDouGicIJDRw
X85Spjps0+Z8Cxq09/7tu7OUVs+dV2bgSSi2vpVtaDI8ZkEW8EFn7vl+4STl6P75JOXzYm4FXYWE
wqRn/PEkNcpEUAQQy8W0JN9qOrwlI6hyzqcGXyNT43GHM6o8Aco0XWqNKU6l4DHyTR1NMsfnIdLx
HSK2Jum794x2FRVJeoJfy1nphLOsQpWV98oK5KFIRmeD1NIBOay3a12lDikG9edai92tUfSfbKwa
20JTA4BGH+mokM2ylkm16Q0Vg0XDC9bz031mImutqs7HGMLC4nyqm/reV7m4tO2ue5oMIq37oeFu
UDDARWvHqzYa0Kj6Xv05Qba8dr28u8D6k3108x6cdc8Qh35KohdJ+tOsNNynIjR8qiyVP5ocs/xw
dGIm8oAnFWkrUvjCRD4wDfXlaGjaMmMaDBk7a/gkKv6sEwRy1uAxOJtaK7qU8HwPBVKxheqCZiVy
TbzYqYmuDczHQkWZi9TdZbbeSYDBhWH6i8jA+IiMHl9P7cPfa6XKZihAsIpSPoQKiQ8eQoTMokA7
jSg0XCZtOKLqJird14JiWjAqjA82cUEL8nKqpTI0PqHDz9Ct63SVw8Ra9bwdlsYYsziREA3ynswQ
q/cd1oVVdJV1uVo50rfPvWp0icqYrFXHsvDSQEV+rrOWOGsmfU4rTMtVYtXDBZGeIbOqKAN5XrQn
5AUSZKKTkW1UPiirxYCBbl2LxDxLh9HcEJ5nPQja2pdeS4JbWgqMd2bdV69hXWeE11flrJ0LyLkK
mYMPta9IFLBzfveIddoQOLpujfUTbPP6bQJlsErmWSNoQe66qXeDzZDp+9JoG3gmYqWc4BFtCydk
c4llaRnxBmpK+dRr9hlhBntm9/4yL603SiJjS3iLfVGg7li5YqgXTmvGW5W5Naxte1pmROMtEs5i
fjaIgQYEIKsubIuLxil6pP+DBJblDqdeYwBiRFtyUZc5Gg6jVReiSgr2nDinmi7XnmjADfusT7B0
IfQqMDWmnUF0MkTCsD3PWUkDCYgNkkNYrpyMedB+MhGN703VEO3rpc4yNdJp1YLZPm0sK7pQoTmz
c6f+Og9dZ+lVLoZTkGRLr44+xS04+bAyMN2OtjoACcYD7PN2KSa/JsMCr/b/Y+9MlttG17t/K19l
jy7MwyKpao6iKIqSNdjSBkVbMuZ5xg3kLtJV2WSbs8nq7Lr7vvIDRdkSbavtpirVJ/m8s2W+Al8A
z/sM/6GwmK51lBA4bwfJShMspF9iN6hnStqC+ScLGstNk00cVCrxrO0UcRopUMWLzO+WuHZwCBVS
wp433coA2TRj3IwQpeKObctHNQ21BMmfgjuLbjQfy+cfP62+Y9LwD8SM3B0oROZvNxAu8FPaPGNG
fv7U7hhSfiIpp7GoKUPVD0T50zEkMSegT4bdkkYR/9RRCYwGwwvaj5JCF4i+JFX954MIjN8zVYQf
OIiYVewfRDLtDdkwgRRwwGnbnz/x2API77SRLHQTxNfeN4M1CZDlRcm0LnCQ8Za6izbGB7OwUfpE
OF6R/GqMk8xCRcTc9YcRapUcW40xT234wIJ0GaQtKkPisWBqN0LojDlvaJJp+cSNZBW1o46ZAgNV
LUOcWtHNVazlU9qZ45QO5QjMwBs5t5yRUVvTxMOHLy0QUxGxowwE0IVmf9uoGM20SgBAP582on4U
ddWdW+ScmtJETyzmx1lD0p0Hm94i4xcdkNSEPVXJu7mtQRxwtSUaAneyH01c3eDAxKjdKNRVX0yL
KIUlzgwc/fXCwnPDniEMPY46A8bIXeD4NzBBanuN/i9ytPZdb6AYZRZnYQGlJVrbyceGd3QcYqaG
LGO91AKkoTJ4S1Tdaky+eJvhPjdOQg7sELkW9xgUNj6GjnTkRldxif84UjZz04xmWuuMo3yuogsR
S/llDDrECTKI4PGFZq2T6EKhB6xWuEcH9w4yuBWZQeG5C9QIL43YWOvxPK+ctWV5R1qWrXM/HbWg
6kzdfYfl6b2uMf1xRL452Is6SxiRIyAcw52SsEfp9G4ixZx2Qo3Xg9RNRLEftxrSjS2dBdk6Rod2
7ETmuamrk9CRTxEnB+RSTEM0280KhYGyHTNqX+rE2dCOoXGa4U3SlO65LIFFizr9BBkXa+zXhDue
uUbhTDUvU/Wj2/pnSgm33iwRxED9OFMQuC/leI7SfA+/bFYV9Xuvk/MTSGsoI1T5LIv7o0E8pvF7
JMgw+wlk5uWNUVS3RVsAPe1rRAo9qZl2IAcZc/fHva3ay1YWj5VIWzDjY5J7bUYiGH0zvCwEa20a
zrxAMG6kDaSeqLVnNsVuHtrKyqgEdY7sQQgaz1zgcJ5PdLl60wZZNC6rYi022hTZr5NAJMyDcR8j
qGUXIVLKPv312pyrnncWdT2ah2p6WhpKfpSK+Wloqf0JMBgeOXVluoo+sg0013EyqyxPWeLCNy4y
GFBI9AgUhHcVycC4R8cGuV7fXdGPtOeu2EtreMq44ETmrZerY0uliCxi4wg0KKQx6civMYPAk0lq
lbM+E5d+zRumdej2in4wOIk3ZodiXuCuoqYOLoqs8Fb0GPOJ72RsB+mssLZKleRN8Fsbbyfc33D+
baUCGR04bovMbVLO01KW4C9LmFnqLboHku/E94iglMcRypJYI8qoJaCb16iLrNP0bCxJpL6K6qKJ
5oCHG9HQ75c+A5hwioKZsZDkrsvwn9TjaozFhEuKZvsLBRezaZFX6lI1u66YmiryGwLzWvTMpDoT
T/GP9vOlk9dyOkrtwMPkJDTgZVZae2YHuXmEGLb6njyggxhaSpW4NqkdzloKvHdFXZk4IvX9qdzF
5aQslXS4U9IRokbgdkG8bTxEMGYM+5R1oZM2Nq1wnjmCcuFqDor2yEBPTFFqj+1cL1aaZkYXVlcg
jCBUpj0u3dR9Q3SWG473KH+TM4gaSWCx3oZ92KJSSnl6G5UeDwpOH8ZNV4jAW1zXfNvKzVb0ZGgp
uE298b2MNLGUUQAZo2xYHpsuyoZFIfPoK4VwJgoY5I1ADlcaoOuqCmellgEVtYR0lTq2cGKKCp48
YV+NalRKjs1YgIGu8NQAbcUdC10XbRKZmEbgwtZUxxmAaKnR5kGir+OY5rHrQ28gGTZw4NBwZZ7j
m6Us/MpvJ0at5siX15096fucJLMiZETijeXIFn6lfj4KzOI4dk0FNyysqr2uAZ8lThM7PbEKIhRc
M/TqgDxnx5Kc8CoJykkvBSeD9B/djRwwlmke4d5zE1jhRI0KcmqB7etN6RTuHI8aoPFJ5gQWktNN
saDfcSOl1SkgaVA06CuWR5rSJYyucD2hoX5bV/l1qWs3bl5cYtA1CxVxmYe3rqws6/BWyhApV5NT
3E2wxAOpnfcLjHjmft/OPSFY5ZxdI7FLVrrslZOwaPul0TrhiR5VS8vxLjzJXYUBujiRTJos1GOL
JpMFdrrFM2wEiMiclGbgzaR0ZSVI7WZZ600bKaDzw0lkcYes4r1p9SgMAmdG1gAo3VDeQk2Feuup
ZTQHGWOOBdvv5wG97hk4sAjTswDVjch0cLGW5TnXhUI7QmYfYl1QlpWDvoiSNUgZBDTahJAjFOcm
eSRLtEPs9o2He9CPZ4z/l/sbENe/nViONswWnsGCd4kln9r1imUGSRDnRQ2j5oHERo646xXLPzEr
ZihFF2MPF6xKPzFJ1ikwyUQlZTvV3iWW/GjbJ8GuE3Y/zcEfo75te8HPZtdkrSoXCOsN5r+q7XU4
NJ9BtdDTBbDDGrCuUwB8nQGIR8/HtSLc4EtLEBNMWBQP4RklMVDKgKYV9Qkqn0Uc1yXTCqmadT72
XGWH9RUC/1S2bS0XawFtUnFWumbxUacx+K5Fq3qS1xykYAnNWVU2NAvxLED+KiCqIfeOkdkJlG9p
06i1dNph0hBhidQX7yMNvrXsVskJM3A0piif/HnXClo4IDrEZWTI4dTTgagUDJWLeA3kjFQExnJc
IP5l4qgz1qXOn8TMjsxSfxvGzVw3nREwryuE70atWN6JTU8BVlQwbvNVqabnUiyM07yeuKZ8WfjJ
LE7tBb3wN/DQxoXsXGQiyk8lE+7jzH0DvRbmnlWuoE+MPcyuVSBlqmideoJ1ndH+Hac2XO0gIkj2
ZE5K85YMBsHUbh1W3aJzklnS19dSRhwJWs4+1U7GSojnKUfj0GzFatof09yGPpNg4VJwEa7gnPcR
SErZF0dx5g4za1jJrv6W7gh3oZWvoRIubC/RVo6U3KYyECJZMO9rBSUUMu+NJyijFg9MZpcrucP9
TO+MCwMaeVWlb2lpe1T5U8U3Tl20VgWo5JNCCd8LUn0MgnTeaZxdgBRP0W85xxTrBkeKOYxALDHc
cdY0azWEeQxjkrCnvHMbazxM2IPaGs6Mu7CMMQoSoCRCBUF51pyA78Nqyq+IqxRdK1uIVoY1aCZE
EQJL0XskZFdqlYD7Eyzo1hFMQw2BW8ua2005rq0WRj2ufWQqqID7WKMF4Fsdy6XPHt6qeNFBxJhH
bgM2ozimgzTqbRMUFh030rqpVWLrYBt3So0gTFCtIku9YgB6xhwFZzsBZ+VQymexBvC2ttMFFony
FMW1tB0lAlpikyCFAkMWW8tnqKSgIdOqGXQaeYBfurWd32An7RzrcH3Cea0VWUbHLwcp/OMR+ztq
/G8G9b8gSWOIqgbapy/F4p/zu437nKPx+WOfqnzK6EHRGtEsQDuDGOCu2Yy0Kj/Bj2CwrWFwBrJg
12wm4tIReN4aeAzGCCrpqm6KKmP9h97Aj1T58jCYexqMNTBEMjpMA6mQhbe2yk+qfBvnDD1LU5Ir
NfUEakU/9MGDR0OZCG9r3Cp6eIGDerpGOTY6FwMkReedIVWbugjsS5Soa3FmAmeZ5jndQ7lzea3K
EPfxxgO/n4Fvnft+gbipBktroSSudBo7EQwMEWU815GUehyXGaJzkdTZ75WqxuIOQVNtQDFH9oka
o45BapkeRXV9Y9WtPK8tBPeLqsreBJ0xFTRPnBl5LOEc4t3pThueUhzmE0O5rbs7L7HA1LtXRu4e
pZRlQZpL46TEGQXrqLWaNQncN+jF9KPzCTCb8yjXvWlrY0BVx3GxRPzFXIVCqSO+JjtXXdTZqDdN
gSNkMsO2Pg3Hcq4svcxY9yXQDhx5kiHRVbRZYrSEqB65inxhwwlo0KnISnVaJ299neMBCyysRNea
F8yhKyfebeZJx6GsrT1r0Vv63JKj667t14Gi4GiHPTup39iyu6kQ1SEYJOW4Teu7LG3aseG4CMJ1
UTi2NQKO5sj3jNJOghKH5CzQp0AiwIip70UrokKxrDda7W0yz7RovfjtDNDYGHI5UHYF+3eIehQr
HE8qBfQYp4oWNph5JjvFtBeKIzQfcapp/JloQc0GVYnre6ouaBNTcGjUxG/FkBzVgYOEJK6LyLRv
SZtAuBDcW0XMEIH0Tx08pS0S49auJ3L5BhsCFCWRDsSxMFpGdOInjGiPoI3E40pVcDMLN5FacAIT
4dXKX0mAVfTYX9VOvAg0THYceYzi3ArF7mMRhXZZbSCivCFiuigeVsZoSGfX9Nw8yKcKeLdIbkal
blijJFIukvYSEatph1OwbMXnqNmME05trZfhWzC/hlwR1s6JaAdjMcIMCFWvqPVKxDwTrK8V5dhI
MyafwahvZWWWi+K1Ip16JaBQK3rj9xzlVX2HOTaxuW+ncaTSWA7j8KhNmw2Z/VXrGNPCGXzWTHwp
ZR33H1eKPWYmzQwlio9U542koD7vQpmSxW6mGv2Z2iG3F4apOYFlcAJNSK69EyWfu2gmYnQ9QjyH
+Ts6HKlxDuESci066R6CjgE1pVHVqDbG6qwOGHBQ/kY8YsIHDqiZ1TVjncor0cybMuXjTbPI2rYc
KaG1pH67YnSQjEx4k1Qm9RGthftWXEk1DMkW4rrUh3R5uncooCMCDPMw7ss3gmnNc6ueC3q6CIp8
GTTWSauaswJRm9ISN7rhnNYxdX3XImd0jrtDdYLqGvyOM3Q88FxuzTFN9KmT9x9o1WhTp2rOrKKK
Jr3qGuOsSz5Iwm1ufgCHZ0KuTRFcNuO7KujWGRyvaW3qFHP9VJHFq9Y1IWBk08xiGGOhk0RrnbgE
tYBZ8aCpojCgSbI6XAvRtSCuK7fA31hWjnwVPcjqY+iWtBeMSYHFq5xWIxo2o45azE/SCqEBbnp4
r3HzipqTO0ySiWdfmzbuxwFihIkOWhqCK0+rE0HBCL2bvEaERtWrcx93oUzDHN5NUKmBLkbLw8GX
si/oDkqqvgA6hNRQhjUxoA8eHnmlof6UJyj2RFDjnEUjZadlmi4Ed1Hb3WUqXcqVPJUK6x1i0jf4
AqxcR3nbBC4GSMK6su1F33pLu3NPmDHhgiimcyEBbmUJ/txR4cwCW35fdrdomJ7qCrehu9XQrPXk
8qMPyIuO7HlqFWeRXl/1Vrsg/Zr2erpuJUFExBEfelNDDsdgw80cvJE/iz0nmQI1q+4CXb8rGgyl
Hfy5lzpqFlAjWvWtGzbeQgvcSp8EdYFRiGY5SN7akV6OY2jgwagw4uJITXAfbJqwPLYjhG1tOsA3
IjoR4chHVmeu1EEwV0qjWXmtzMcrUUonnmLVUyUwyP6SEsOsKI2Y+PhK2B5D4ZXn/CriQl54CzGK
Qw91hMQayb0XXsG88u9zsav0Y6asOG7VNWIVVe/R8MbNBz9hPCQQTAKd48xiM2fnniQVZw+n8VPl
GRKB52c0O8VQGFdKBSY/p8jzkXCmGalk9J07LTSmXE7MYV234ijrBNCj1jJFTinMhT/4pV8kBnu/
dA/RIyBEihaF6E5zFURqleBQSonh3ZhV8Qe/aQAiPktBtr+JnNqSDdrj4vD1n6QguiCE9ONa3pEw
XcSM+iInm/3P5qf/sGwXnaH2IMP/5IGbbMrN/7vfQtgGKdJ//qcl4LP31fNZ1efP7XoKyk+SKEEo
kSxwDhYTq8c0VqGngCAOwvwWOFOMFElwn6SxpgICbVDtxztgUNp5TGNR2hE1nmqyXIQjhxHXD6Sx
Br2OZ4+QqqGjg5wOgFqEQ8V9b8XIsVSldXG0AtNoGmOEK93zaJC1j7YK9+jIB86RuFW+R+btbZQ7
7bxwTWmTbxXy4djbg3kUwvm2FFrmFCuVaFVUslBPTFqrAM5Ev3mXW6aNNy9I0SQD2KA7njGzwfme
on1AUpNSeI7kkoYm3irtiWVr3QkxCUJvbwJ67Vu1WWpedo1ZCh3btJXPhNil+SrEmplNRCTDl2j8
wVxpykCYKlqdH5VV30+wCw7eoRdUfBwU8cQZyKtinVoxLY+0p/b1StebhkAtZvm2ORJuGyVgtTSU
wBGqIpvIvYtq21SRdMQkJtm22QINUcHwmH6mhLzuUBQ22wIRRraDD1/khi0TlVKPxiFsXZW5QQp6
LI+Rb1uH2ADE/WAIoLkG5gDx1ihACAd8flhwcP/4+/vN4vHZy/m/rQrdvYgvUlpuNmFSb57BRz9/
7OH9RW2XnhvjZBp8WGcBBHp8f1HtBB7OPBVtGXVr1vH5/R1IbkjDEEHkh37h5/cXKptsDOq9sGS2
L/CPvL/SIGKw9wIj6MtlDLpbiBtpXN7TM0DUeodeNFq8diTDatGcXFxauPowoO305APqKv1cFhOx
mApWEzOxEpiuRadSWTrXZt0J1aQ19H6p1C2wcmeZ2bjmWX7vUUR290LRL708OANmdCTa6i0eP2+J
ZptIK1eiSQaowLJF4ZHCBqFMRKXkbh4XdIYkFwJH0F0LQXmdNz04qKxRJv3gYFwJkbKE7grvuUyO
2khDI76aEYLGiZ6caK56lHXUET00GkBEpSyip+lNq8YlDEEI6d5HFNc4WJ7AhztGWXQWClWC805D
QSkH5USjAK4S9wNW2bNBXz8eVBghjs4ZM75H6HxaetW8c69QDZg2ZQW2SrpOI6zecARA3XrGgzDq
YUZTzUZedZxQ22MWP3GYMLVJNI8kY20x/HVq877vC2AsaH5E8swJrwUpWTVwzVMHEdACTothVViw
60zyDC8Z+2DImGeNS7E/tVqGDroGdB8Q7plpsOmZ/Dau9VltvaW4m6t5MwGIBqcgXpblfZIYx6nf
nDamtwFXyfBbPFY9edYn19YAkZL79MjP5iWoTAzLFzoXIDPNYDRBl9h/x+5P077FJCFoJlabMbPF
vM8XtFFOGI3M6qRI23kGqU7VGG02bnNlWPWRiyJzo3Lfhsm0Fi+bMoWiIHTaCDvxTVex00VJXyzy
T4LOumwZQ2NS/k6iTceMa6XJ3UZIzJrKrwpL5jZdHYbTGiWjhWAlFSI5vQxf35HF0x8PeoeEs2dx
8R8JXrMLXmQL3x6DrAtQnl53/7Woxwd3WYv+E3J+SFzJ4OJ3Yie7SYgG0nOQ/VZAuJCfPJXMAmID
PddkcjIQhbEv+hT18AIleBo4iBKottDRH4p6A+v4WdRjrKtiCwC4huagSoL0POpBHCkRltPRlnIS
Hd4rllvhlY2YR45ZsG40F54hxu+sLY44AVFsDdBiOjugjCPBckVqd8DHqBGDQ0YSADHUxpOld33R
gsruMn1DxAVD1l76XfBWzaH0030A4Gyax30rdIvQlK4MPWZQTyWOH/x5oMN1dRKGCaE0CG9XKBh4
Dgg/UXKvvUzzx0IX35YdcdlxgiOJV2qm4UqBXXA5FuJeo+gHcaKmRj6SFD+YQ5I7s3ysDLJiFtsB
Eih2l40TmlehnqKTAShEyNEqMWz0pKI3eVrdinp4kvbadQT4tFSwEdq2cQaWS1nWN30SIP03YHlM
5B46rJpHeHEuylKf9aH/LmwKTIUIoqFci6OmgfubwQJ2dATA8PD7aIo5jsbOVVixOVl2nvvCxNfS
ckypfOll9nTQJTC6CXyiW2VAo9tbYHqwBalrW8C6tAWvlwJKu5qYd8mlHYWlhHVKVVlHUSXA4DET
BERoeGrKqR/0lTHvkr5xF7GsWxjTg17C89i23UWR5hiwqGjOWLNe7Si0iqBO3kcW/MMaxQuQTMTx
q4QctDklshvo3bg+4s3/P9B8F0VnF2ioWL4daJZe6BVfizJ8ahdlMIqnMBoUjigzHjB5uyhD/EHX
nIGbrIqGTIP9U24FkE9EPZr6RxzSHSYNT6MMGuXw0j5HrR+ojb7MrQZuzlB9DWRlFDG2uuhP6muz
iEQB1yBvkiShtO5Dp3qTotuNcAYApNQ/o7m+7IU6Pu9jWTkVSZacHHURGCxvk7jtACe5J75XrHsc
HUNzkeT8zVmVzTI1nGhU836hvea7UyvRL1SvnlSaf+JglDKKzYzcJaE1ieO5dR128XkQyukYnsYx
CciIvuAMl/R3bjvXFG8OimwiACl24fNBmDnufGNlJPIHZGEU0x5yPiQ/LGmiNcLH2GHcFvbiFGU+
PH+MBq592efvXJrs4BQmHi46Gp+RlH4K196pxiEoD2SjK2lwXwc7UuVWO8eCwZs1eXnmeYk69hhr
DjwP3HZGWSMlCzRZ0pNQQCcHNxRtkF4zWpyVIBsNUjBhGErjRutQ7awaQ1mCVXereeJLZJR2J9gq
nUkAQjithBBqUKGZRobT6bM4SZ3bKEn7BlE9ZoDntaaW53XnaVdqmSRvxagKz4D/lh9cQW1O4QLk
x5nM/FLvfTDrcmGRz5VmeGY3mX6TFiVNodw1m4s0bWR9oae5Me5KU0aXGCSZdGaWib9wzUgqxgIE
xjkKrWoIZlvumYIi2I9J+1lt12u8iE4Rl17Rgpn4gT+2Uw8MtX9TK8aykRuYAPeteRIhJCQhCeXb
xQyPnDQdpzLD9D5ZRQp4Nus2AtCcAMiJEF6xzXwNptqYNeWVDCGzSN7oyFXnejCiX3qlKaPUv0bX
OoqBshfuIlIssjuvXzR6dBnkjTKCjlTQwktEZR7TfpUC732Ir9Ncb82PRnBWDqRTq0kkpMXiUw0q
2ep/V2zcKa8OTZ3pNuadV/d59+a+IBf95Fo2/HRrV3aZ/Ln/9Bh/vr7Qrpv0xxKoqq7vc3e2l7W9
5pdWCTelV1Z3NKsgUGPRPsxTmbQOf6gUwyR2Hn8s/4S1A6GT6ej2z0Ph/GSXvrUPL3/Fhw19+f88
+wIfkiouhxvheM9VXQnqe8fNN7Zgb4UnW0DFDoRHG/T1tn/ohj3dAu0nTiHc5XcKg//z3/1FFVxA
FN/3/fdWefL9ycLpOGIqrX+6x8+/P21yc5i4P33Vv/7ofs99/Z7/8+ze7135/fa9XNz98z9Z0PCZ
9R/+/fnq9FVhRD38eX7/6dowK+Dr77bnIb35Sz0GIMCs/fLuG6/B3mZ+fgwg68GEprmt7LaBV/3J
Y0DHS9R0xAPwiXrcJbK8v9Y2kBQe/DYMiSR1JEJUD1+TfX2yDeSZigFrETrhQ7B4ALT8tbZBAghz
6EuB7BaNykEP59P3fLoN9CsZTpjI7/z1gsKg3Xrw28BABXoF3Y6914DDgpbqMLj5y74GfH9xH2f1
o9EAXVvQpAZ11u45f54XyOgdAL4aMLF/wfsvogdz6PNvIjtHL4vp8FfDAEkBOQNYlc9R4q8WDQfD
v4MfA5p3BiUwp8JDGHj+GDCs5OBBaQ+IxPbPD0TD7wiZnxLuseuFd9tU27svvpaRf+s/PGaYX/58
l2EMacSQQj77j0Pm/fC7H3KN4e//8uzg3J57T374eA5uf8/u47sv+OWvfva7Hr/V4z8eeff5Jv/g
dtsfdLvLfJgsT6r+w7MOrUAgwiCAI5t49/lyvjBO+NSOeWn1W9L+Krx7zrKEZITKGm/ToavfJL2z
KR/XecjeeMGG8/rQpa+fQ0a5ZE0cvPcOXffq91++2Aw6hDzjh678+79twLxU+cfN41q7DdHQe3n8
p6/Wf991Jy+r+MN96D0utFsbTOorXPol4AaESr5Y2xr6d9/uEn7fdSfBF48IJe4r3MrLe/y37ja/
/fJ4kbs9MSB9Pf7Tn9/vC69+LjfEI4hzI4XpoTty4dG9elxmd82wTV7lmr3nkqxcMxqrrxBHLjbw
K/YekIEl8wpv+sUm2OT7PlWKJA+UnEO3+o3XP4utbIbE2X/4wuv8rnpc5eEWErD1V7iFp95vv9zt
XzNONq/wvpze17//cu96+f6F03l//Kc//76sqt/3XkQF7uUrBL5V9dsv4V5Mha+lvcKOICl295wn
xgOiKfIrvOQrJq/F/lXjevcaO72hwP/ihdEoEA6/i8tf/15u3C8Wpzh+hTcd65kvVn7IZw99z5fJ
h80XhyMGS+or3MlBDPer7w0eIMyqDr50lg/CTf7l5VtMvV9h/U1X3Od7eYP6UE0dfO2botxESbwX
CnEiNl8hFIK5LB6//0OMVSVjqE0Pvezf/pMh1V4U3NXXhy69YEPi91X4eJG7635oXhy+eAqxdS+o
cOGD0uCha//2n7/+x/3+ZTOyfYWlj5isdI9XuNsQ8CavsnIQ/PrvXzzcdLheIVrNf/179Ovff/8F
8treeawOXfXHL/TnT8y5lzOC2kuqNATRX+PiN723icv7vTwToPNrFGfTIvC+FhIhRQ9NykOfxWne
V8hIPS708MgAohzke19hbS/+sF9csrj0CqfnNNz0v/1tvyDRSMJf4aCYoru//yRquCi8wtKoQmzy
95uAo+hxh3ebDvD8Fc6gyX3s9fu1K2Xx0NE99Ib++q/Jl88KstGvsC2//usmHvbkt789XuZuV0ya
6I//9Off/2H5zRci+4NpJaCnw5cHnbGfgO5GSoduOSvfVftPCtnKa1x0Eu4lEzpMhVd4NRGI3sMo
MWhkAii9wkaD9f/1v/bOzsG65BXCFSzH+w/eM97JcN2v0j8ZbcLf/hbcF/upEFAo8xUe7587/Pn2
TjeMIl6jSvk5LyFYPN65h5cSP77XiLI/x+Um3K9SdhPpQ9+bn2M6HXvpG0sPeI+Dl37B6/vABt7P
v/3yRQTEHug1YvfP37bzPfSiX/aGPHh1IvfjTds9fsYWtHHofXzZVunAy/5jW5cDf8HLjhAHLv5d
QvAH/o4XhZEPXPtFtcsD1x7oiV9XdH6FcvlFNaUDL3zhkNU+fZMGbRCCyytUES8Ljxx43cOGv8AH
PXD1l8lqBy7+R6yQA5d/EQv+4tpfm61+AiN9OXF9hJx97WPPx8nD//gQ3m/yf/lvAAAA//8=</cx:binary>
              </cx:geoCache>
            </cx:geography>
          </cx:layoutPr>
          <cx:valueColors>
            <cx:minColor>
              <a:srgbClr val="800000"/>
            </cx:minColor>
            <cx:midColor>
              <a:schemeClr val="accent1">
                <a:lumMod val="60000"/>
                <a:lumOff val="40000"/>
              </a:schemeClr>
            </cx:midColor>
            <cx:maxColor>
              <a:schemeClr val="accent6">
                <a:lumMod val="50000"/>
              </a:schemeClr>
            </cx:maxColor>
          </cx:valueColors>
          <cx:valueColorPositions count="3"/>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microsoft.com/office/2014/relationships/chartEx" Target="../charts/chartEx1.xml"/><Relationship Id="rId5" Type="http://schemas.openxmlformats.org/officeDocument/2006/relationships/image" Target="../media/image4.sv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264259</xdr:colOff>
      <xdr:row>29</xdr:row>
      <xdr:rowOff>103373</xdr:rowOff>
    </xdr:from>
    <xdr:to>
      <xdr:col>12</xdr:col>
      <xdr:colOff>310116</xdr:colOff>
      <xdr:row>52</xdr:row>
      <xdr:rowOff>44303</xdr:rowOff>
    </xdr:to>
    <xdr:graphicFrame macro="">
      <xdr:nvGraphicFramePr>
        <xdr:cNvPr id="24" name="Chart 23">
          <a:extLst>
            <a:ext uri="{FF2B5EF4-FFF2-40B4-BE49-F238E27FC236}">
              <a16:creationId xmlns:a16="http://schemas.microsoft.com/office/drawing/2014/main" id="{C3FA041B-BD81-4404-87CB-796561EE2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254002</xdr:colOff>
      <xdr:row>0</xdr:row>
      <xdr:rowOff>77756</xdr:rowOff>
    </xdr:from>
    <xdr:to>
      <xdr:col>30</xdr:col>
      <xdr:colOff>90716</xdr:colOff>
      <xdr:row>2</xdr:row>
      <xdr:rowOff>64797</xdr:rowOff>
    </xdr:to>
    <xdr:sp macro="" textlink="">
      <xdr:nvSpPr>
        <xdr:cNvPr id="3" name="Rectangle: Rounded Corners 2">
          <a:extLst>
            <a:ext uri="{FF2B5EF4-FFF2-40B4-BE49-F238E27FC236}">
              <a16:creationId xmlns:a16="http://schemas.microsoft.com/office/drawing/2014/main" id="{8EAE853F-1689-DEF8-1E23-E9FD59F2DE16}"/>
            </a:ext>
          </a:extLst>
        </xdr:cNvPr>
        <xdr:cNvSpPr/>
      </xdr:nvSpPr>
      <xdr:spPr>
        <a:xfrm>
          <a:off x="254002" y="77756"/>
          <a:ext cx="18212836" cy="349898"/>
        </a:xfrm>
        <a:prstGeom prst="roundRect">
          <a:avLst/>
        </a:prstGeom>
        <a:solidFill>
          <a:srgbClr val="1E293B"/>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rgbClr val="F8FAFC"/>
              </a:solidFill>
              <a:latin typeface="Segoe UI Semibold" panose="020B0702040204020203" pitchFamily="34" charset="0"/>
              <a:cs typeface="Segoe UI Semibold" panose="020B0702040204020203" pitchFamily="34" charset="0"/>
            </a:rPr>
            <a:t>E-COMMERCE SALES COMMAND CENTER</a:t>
          </a:r>
        </a:p>
      </xdr:txBody>
    </xdr:sp>
    <xdr:clientData/>
  </xdr:twoCellAnchor>
  <xdr:twoCellAnchor>
    <xdr:from>
      <xdr:col>0</xdr:col>
      <xdr:colOff>165100</xdr:colOff>
      <xdr:row>3</xdr:row>
      <xdr:rowOff>31750</xdr:rowOff>
    </xdr:from>
    <xdr:to>
      <xdr:col>2</xdr:col>
      <xdr:colOff>596900</xdr:colOff>
      <xdr:row>8</xdr:row>
      <xdr:rowOff>107950</xdr:rowOff>
    </xdr:to>
    <xdr:sp macro="" textlink="">
      <xdr:nvSpPr>
        <xdr:cNvPr id="4" name="Rectangle: Rounded Corners 3">
          <a:extLst>
            <a:ext uri="{FF2B5EF4-FFF2-40B4-BE49-F238E27FC236}">
              <a16:creationId xmlns:a16="http://schemas.microsoft.com/office/drawing/2014/main" id="{064C4665-2544-66A1-6518-EC60EBBE43F2}"/>
            </a:ext>
          </a:extLst>
        </xdr:cNvPr>
        <xdr:cNvSpPr/>
      </xdr:nvSpPr>
      <xdr:spPr>
        <a:xfrm>
          <a:off x="165100" y="584200"/>
          <a:ext cx="1651000" cy="996950"/>
        </a:xfrm>
        <a:prstGeom prst="roundRect">
          <a:avLst/>
        </a:prstGeom>
        <a:solidFill>
          <a:srgbClr val="1E293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a:solidFill>
                <a:srgbClr val="F8FAFC"/>
              </a:solidFill>
              <a:latin typeface="Segoe UI" panose="020B0502040204020203" pitchFamily="34" charset="0"/>
              <a:cs typeface="Segoe UI" panose="020B0502040204020203" pitchFamily="34" charset="0"/>
            </a:rPr>
            <a:t>TOTAL REVENUE</a:t>
          </a:r>
        </a:p>
        <a:p>
          <a:pPr algn="ctr"/>
          <a:endParaRPr lang="en-IN" sz="1050">
            <a:solidFill>
              <a:srgbClr val="F8FAFC"/>
            </a:solidFill>
            <a:latin typeface="Segoe UI" panose="020B0502040204020203" pitchFamily="34" charset="0"/>
            <a:cs typeface="Segoe UI" panose="020B0502040204020203" pitchFamily="34" charset="0"/>
          </a:endParaRPr>
        </a:p>
        <a:p>
          <a:pPr algn="ctr"/>
          <a:endParaRPr lang="en-IN" sz="1050">
            <a:solidFill>
              <a:srgbClr val="F8FAFC"/>
            </a:solidFill>
            <a:latin typeface="Segoe UI" panose="020B0502040204020203" pitchFamily="34" charset="0"/>
            <a:cs typeface="Segoe UI" panose="020B0502040204020203" pitchFamily="34" charset="0"/>
          </a:endParaRPr>
        </a:p>
      </xdr:txBody>
    </xdr:sp>
    <xdr:clientData/>
  </xdr:twoCellAnchor>
  <xdr:twoCellAnchor>
    <xdr:from>
      <xdr:col>3</xdr:col>
      <xdr:colOff>247650</xdr:colOff>
      <xdr:row>3</xdr:row>
      <xdr:rowOff>50800</xdr:rowOff>
    </xdr:from>
    <xdr:to>
      <xdr:col>6</xdr:col>
      <xdr:colOff>69850</xdr:colOff>
      <xdr:row>8</xdr:row>
      <xdr:rowOff>127000</xdr:rowOff>
    </xdr:to>
    <xdr:sp macro="" textlink="">
      <xdr:nvSpPr>
        <xdr:cNvPr id="5" name="Rectangle: Rounded Corners 4">
          <a:extLst>
            <a:ext uri="{FF2B5EF4-FFF2-40B4-BE49-F238E27FC236}">
              <a16:creationId xmlns:a16="http://schemas.microsoft.com/office/drawing/2014/main" id="{1035C7BA-0B34-4F0F-B9F2-627E1A711022}"/>
            </a:ext>
          </a:extLst>
        </xdr:cNvPr>
        <xdr:cNvSpPr/>
      </xdr:nvSpPr>
      <xdr:spPr>
        <a:xfrm>
          <a:off x="2076450" y="603250"/>
          <a:ext cx="1651000" cy="996950"/>
        </a:xfrm>
        <a:prstGeom prst="roundRect">
          <a:avLst/>
        </a:prstGeom>
        <a:solidFill>
          <a:srgbClr val="1E293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a:solidFill>
                <a:srgbClr val="F8FAFC"/>
              </a:solidFill>
              <a:latin typeface="Segoe UI" panose="020B0502040204020203" pitchFamily="34" charset="0"/>
              <a:cs typeface="Segoe UI" panose="020B0502040204020203" pitchFamily="34" charset="0"/>
            </a:rPr>
            <a:t>TOTAL ORDERS</a:t>
          </a:r>
        </a:p>
      </xdr:txBody>
    </xdr:sp>
    <xdr:clientData/>
  </xdr:twoCellAnchor>
  <xdr:twoCellAnchor>
    <xdr:from>
      <xdr:col>6</xdr:col>
      <xdr:colOff>279400</xdr:colOff>
      <xdr:row>3</xdr:row>
      <xdr:rowOff>63500</xdr:rowOff>
    </xdr:from>
    <xdr:to>
      <xdr:col>9</xdr:col>
      <xdr:colOff>101600</xdr:colOff>
      <xdr:row>8</xdr:row>
      <xdr:rowOff>139700</xdr:rowOff>
    </xdr:to>
    <xdr:sp macro="" textlink="">
      <xdr:nvSpPr>
        <xdr:cNvPr id="6" name="Rectangle: Rounded Corners 5">
          <a:extLst>
            <a:ext uri="{FF2B5EF4-FFF2-40B4-BE49-F238E27FC236}">
              <a16:creationId xmlns:a16="http://schemas.microsoft.com/office/drawing/2014/main" id="{6D3AC03C-D423-47A1-A893-7D0B15362A18}"/>
            </a:ext>
          </a:extLst>
        </xdr:cNvPr>
        <xdr:cNvSpPr/>
      </xdr:nvSpPr>
      <xdr:spPr>
        <a:xfrm>
          <a:off x="3937000" y="615950"/>
          <a:ext cx="1651000" cy="996950"/>
        </a:xfrm>
        <a:prstGeom prst="roundRect">
          <a:avLst/>
        </a:prstGeom>
        <a:solidFill>
          <a:srgbClr val="1E293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a:solidFill>
                <a:srgbClr val="F8FAFC"/>
              </a:solidFill>
              <a:latin typeface="Segoe UI" panose="020B0502040204020203" pitchFamily="34" charset="0"/>
              <a:cs typeface="Segoe UI" panose="020B0502040204020203" pitchFamily="34" charset="0"/>
            </a:rPr>
            <a:t>AVG RATING</a:t>
          </a:r>
        </a:p>
      </xdr:txBody>
    </xdr:sp>
    <xdr:clientData/>
  </xdr:twoCellAnchor>
  <xdr:twoCellAnchor>
    <xdr:from>
      <xdr:col>9</xdr:col>
      <xdr:colOff>260350</xdr:colOff>
      <xdr:row>3</xdr:row>
      <xdr:rowOff>44450</xdr:rowOff>
    </xdr:from>
    <xdr:to>
      <xdr:col>12</xdr:col>
      <xdr:colOff>82550</xdr:colOff>
      <xdr:row>8</xdr:row>
      <xdr:rowOff>120650</xdr:rowOff>
    </xdr:to>
    <xdr:sp macro="" textlink="">
      <xdr:nvSpPr>
        <xdr:cNvPr id="7" name="Rectangle: Rounded Corners 6">
          <a:extLst>
            <a:ext uri="{FF2B5EF4-FFF2-40B4-BE49-F238E27FC236}">
              <a16:creationId xmlns:a16="http://schemas.microsoft.com/office/drawing/2014/main" id="{C977B98A-35B5-480B-91C6-B6F3D271A8FA}"/>
            </a:ext>
          </a:extLst>
        </xdr:cNvPr>
        <xdr:cNvSpPr/>
      </xdr:nvSpPr>
      <xdr:spPr>
        <a:xfrm>
          <a:off x="5746750" y="596900"/>
          <a:ext cx="1651000" cy="996950"/>
        </a:xfrm>
        <a:prstGeom prst="roundRect">
          <a:avLst/>
        </a:prstGeom>
        <a:solidFill>
          <a:srgbClr val="1E293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50">
              <a:solidFill>
                <a:srgbClr val="F8FAFC"/>
              </a:solidFill>
              <a:latin typeface="Segoe UI" panose="020B0502040204020203" pitchFamily="34" charset="0"/>
              <a:cs typeface="Segoe UI" panose="020B0502040204020203" pitchFamily="34" charset="0"/>
            </a:rPr>
            <a:t>AVG SESSION</a:t>
          </a:r>
        </a:p>
      </xdr:txBody>
    </xdr:sp>
    <xdr:clientData/>
  </xdr:twoCellAnchor>
  <xdr:twoCellAnchor editAs="oneCell">
    <xdr:from>
      <xdr:col>0</xdr:col>
      <xdr:colOff>158751</xdr:colOff>
      <xdr:row>3</xdr:row>
      <xdr:rowOff>69850</xdr:rowOff>
    </xdr:from>
    <xdr:to>
      <xdr:col>0</xdr:col>
      <xdr:colOff>588497</xdr:colOff>
      <xdr:row>5</xdr:row>
      <xdr:rowOff>76200</xdr:rowOff>
    </xdr:to>
    <xdr:pic>
      <xdr:nvPicPr>
        <xdr:cNvPr id="9" name="Graphic 8" descr="Dollar">
          <a:extLst>
            <a:ext uri="{FF2B5EF4-FFF2-40B4-BE49-F238E27FC236}">
              <a16:creationId xmlns:a16="http://schemas.microsoft.com/office/drawing/2014/main" id="{A19FC606-AB53-AC05-65B2-0359DC6195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8751" y="622300"/>
          <a:ext cx="429746" cy="374650"/>
        </a:xfrm>
        <a:prstGeom prst="rect">
          <a:avLst/>
        </a:prstGeom>
      </xdr:spPr>
    </xdr:pic>
    <xdr:clientData/>
  </xdr:twoCellAnchor>
  <xdr:twoCellAnchor editAs="oneCell">
    <xdr:from>
      <xdr:col>3</xdr:col>
      <xdr:colOff>254000</xdr:colOff>
      <xdr:row>3</xdr:row>
      <xdr:rowOff>57150</xdr:rowOff>
    </xdr:from>
    <xdr:to>
      <xdr:col>3</xdr:col>
      <xdr:colOff>614038</xdr:colOff>
      <xdr:row>5</xdr:row>
      <xdr:rowOff>50800</xdr:rowOff>
    </xdr:to>
    <xdr:pic>
      <xdr:nvPicPr>
        <xdr:cNvPr id="11" name="Graphic 10" descr="Box">
          <a:extLst>
            <a:ext uri="{FF2B5EF4-FFF2-40B4-BE49-F238E27FC236}">
              <a16:creationId xmlns:a16="http://schemas.microsoft.com/office/drawing/2014/main" id="{721E2F34-427B-2620-838F-200B1B14ABF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082800" y="609600"/>
          <a:ext cx="361950" cy="361950"/>
        </a:xfrm>
        <a:prstGeom prst="rect">
          <a:avLst/>
        </a:prstGeom>
      </xdr:spPr>
    </xdr:pic>
    <xdr:clientData/>
  </xdr:twoCellAnchor>
  <xdr:twoCellAnchor editAs="oneCell">
    <xdr:from>
      <xdr:col>6</xdr:col>
      <xdr:colOff>342900</xdr:colOff>
      <xdr:row>3</xdr:row>
      <xdr:rowOff>44450</xdr:rowOff>
    </xdr:from>
    <xdr:to>
      <xdr:col>7</xdr:col>
      <xdr:colOff>133349</xdr:colOff>
      <xdr:row>5</xdr:row>
      <xdr:rowOff>76200</xdr:rowOff>
    </xdr:to>
    <xdr:pic>
      <xdr:nvPicPr>
        <xdr:cNvPr id="13" name="Graphic 12" descr="Star">
          <a:extLst>
            <a:ext uri="{FF2B5EF4-FFF2-40B4-BE49-F238E27FC236}">
              <a16:creationId xmlns:a16="http://schemas.microsoft.com/office/drawing/2014/main" id="{DF30167F-6D85-7A0B-2EE0-E0F080D281C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00500" y="596900"/>
          <a:ext cx="400050" cy="400050"/>
        </a:xfrm>
        <a:prstGeom prst="rect">
          <a:avLst/>
        </a:prstGeom>
      </xdr:spPr>
    </xdr:pic>
    <xdr:clientData/>
  </xdr:twoCellAnchor>
  <xdr:twoCellAnchor editAs="oneCell">
    <xdr:from>
      <xdr:col>9</xdr:col>
      <xdr:colOff>298450</xdr:colOff>
      <xdr:row>3</xdr:row>
      <xdr:rowOff>69850</xdr:rowOff>
    </xdr:from>
    <xdr:to>
      <xdr:col>10</xdr:col>
      <xdr:colOff>76200</xdr:colOff>
      <xdr:row>5</xdr:row>
      <xdr:rowOff>88900</xdr:rowOff>
    </xdr:to>
    <xdr:pic>
      <xdr:nvPicPr>
        <xdr:cNvPr id="15" name="Graphic 14" descr="Clock">
          <a:extLst>
            <a:ext uri="{FF2B5EF4-FFF2-40B4-BE49-F238E27FC236}">
              <a16:creationId xmlns:a16="http://schemas.microsoft.com/office/drawing/2014/main" id="{F239DDB7-3012-0879-8DEF-50E5B5BDFBE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84850" y="622300"/>
          <a:ext cx="387350" cy="387350"/>
        </a:xfrm>
        <a:prstGeom prst="rect">
          <a:avLst/>
        </a:prstGeom>
      </xdr:spPr>
    </xdr:pic>
    <xdr:clientData/>
  </xdr:twoCellAnchor>
  <xdr:oneCellAnchor>
    <xdr:from>
      <xdr:col>0</xdr:col>
      <xdr:colOff>304800</xdr:colOff>
      <xdr:row>5</xdr:row>
      <xdr:rowOff>12700</xdr:rowOff>
    </xdr:from>
    <xdr:ext cx="1510413" cy="468013"/>
    <xdr:sp macro="" textlink="Calculation!A1">
      <xdr:nvSpPr>
        <xdr:cNvPr id="16" name="TextBox 15">
          <a:extLst>
            <a:ext uri="{FF2B5EF4-FFF2-40B4-BE49-F238E27FC236}">
              <a16:creationId xmlns:a16="http://schemas.microsoft.com/office/drawing/2014/main" id="{150D019A-BF48-327A-42F1-646AB8A17C5D}"/>
            </a:ext>
          </a:extLst>
        </xdr:cNvPr>
        <xdr:cNvSpPr txBox="1"/>
      </xdr:nvSpPr>
      <xdr:spPr>
        <a:xfrm>
          <a:off x="304800" y="933450"/>
          <a:ext cx="151041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A4524C1-CBB9-45C5-8C8D-9651AC061364}" type="TxLink">
            <a:rPr lang="en-US" sz="2400" b="0" i="0" u="none" strike="noStrike">
              <a:solidFill>
                <a:srgbClr val="38BDF8"/>
              </a:solidFill>
              <a:latin typeface="Calibri"/>
              <a:ea typeface="Calibri"/>
              <a:cs typeface="Calibri"/>
            </a:rPr>
            <a:pPr/>
            <a:t>560385.68</a:t>
          </a:fld>
          <a:endParaRPr lang="en-IN" sz="4800">
            <a:solidFill>
              <a:srgbClr val="38BDF8"/>
            </a:solidFill>
          </a:endParaRPr>
        </a:p>
      </xdr:txBody>
    </xdr:sp>
    <xdr:clientData/>
  </xdr:oneCellAnchor>
  <xdr:oneCellAnchor>
    <xdr:from>
      <xdr:col>3</xdr:col>
      <xdr:colOff>488950</xdr:colOff>
      <xdr:row>4</xdr:row>
      <xdr:rowOff>177800</xdr:rowOff>
    </xdr:from>
    <xdr:ext cx="1816100" cy="468013"/>
    <xdr:sp macro="" textlink="Calculation!A3">
      <xdr:nvSpPr>
        <xdr:cNvPr id="17" name="TextBox 16">
          <a:extLst>
            <a:ext uri="{FF2B5EF4-FFF2-40B4-BE49-F238E27FC236}">
              <a16:creationId xmlns:a16="http://schemas.microsoft.com/office/drawing/2014/main" id="{DF79F705-6112-87E9-35D1-8634C6C68338}"/>
            </a:ext>
          </a:extLst>
        </xdr:cNvPr>
        <xdr:cNvSpPr txBox="1"/>
      </xdr:nvSpPr>
      <xdr:spPr>
        <a:xfrm>
          <a:off x="2317750" y="914400"/>
          <a:ext cx="18161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7EBFD7E-F2F2-4B7B-92A6-23FC4A45A3E7}" type="TxLink">
            <a:rPr lang="en-US" sz="2400" b="0" i="0" u="none" strike="noStrike">
              <a:solidFill>
                <a:srgbClr val="38BDF8"/>
              </a:solidFill>
              <a:latin typeface="Calibri"/>
              <a:ea typeface="Calibri"/>
              <a:cs typeface="Calibri"/>
            </a:rPr>
            <a:pPr/>
            <a:t>566.00</a:t>
          </a:fld>
          <a:endParaRPr lang="en-IN" sz="2400">
            <a:solidFill>
              <a:srgbClr val="38BDF8"/>
            </a:solidFill>
          </a:endParaRPr>
        </a:p>
      </xdr:txBody>
    </xdr:sp>
    <xdr:clientData/>
  </xdr:oneCellAnchor>
  <xdr:oneCellAnchor>
    <xdr:from>
      <xdr:col>7</xdr:col>
      <xdr:colOff>82550</xdr:colOff>
      <xdr:row>5</xdr:row>
      <xdr:rowOff>0</xdr:rowOff>
    </xdr:from>
    <xdr:ext cx="996950" cy="468013"/>
    <xdr:sp macro="" textlink="Calculation!A2">
      <xdr:nvSpPr>
        <xdr:cNvPr id="18" name="TextBox 17">
          <a:extLst>
            <a:ext uri="{FF2B5EF4-FFF2-40B4-BE49-F238E27FC236}">
              <a16:creationId xmlns:a16="http://schemas.microsoft.com/office/drawing/2014/main" id="{69D5923D-34D7-98E0-DA6F-4647F7DBF28B}"/>
            </a:ext>
          </a:extLst>
        </xdr:cNvPr>
        <xdr:cNvSpPr txBox="1"/>
      </xdr:nvSpPr>
      <xdr:spPr>
        <a:xfrm>
          <a:off x="4349750" y="920750"/>
          <a:ext cx="9969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C933475-6F80-484F-9A95-6162EB112D6F}" type="TxLink">
            <a:rPr lang="en-US" sz="2400" b="0" i="0" u="none" strike="noStrike">
              <a:solidFill>
                <a:srgbClr val="38BDF8"/>
              </a:solidFill>
              <a:latin typeface="Calibri"/>
              <a:ea typeface="Calibri"/>
              <a:cs typeface="Calibri"/>
            </a:rPr>
            <a:pPr/>
            <a:t>3.92</a:t>
          </a:fld>
          <a:endParaRPr lang="en-IN" sz="4800">
            <a:solidFill>
              <a:srgbClr val="38BDF8"/>
            </a:solidFill>
          </a:endParaRPr>
        </a:p>
      </xdr:txBody>
    </xdr:sp>
    <xdr:clientData/>
  </xdr:oneCellAnchor>
  <xdr:oneCellAnchor>
    <xdr:from>
      <xdr:col>10</xdr:col>
      <xdr:colOff>6350</xdr:colOff>
      <xdr:row>5</xdr:row>
      <xdr:rowOff>12700</xdr:rowOff>
    </xdr:from>
    <xdr:ext cx="955005" cy="468013"/>
    <xdr:sp macro="" textlink="Calculation!A4">
      <xdr:nvSpPr>
        <xdr:cNvPr id="19" name="TextBox 18">
          <a:extLst>
            <a:ext uri="{FF2B5EF4-FFF2-40B4-BE49-F238E27FC236}">
              <a16:creationId xmlns:a16="http://schemas.microsoft.com/office/drawing/2014/main" id="{C82BCC8A-EA4C-CAB9-01E0-4A78390A7A17}"/>
            </a:ext>
          </a:extLst>
        </xdr:cNvPr>
        <xdr:cNvSpPr txBox="1"/>
      </xdr:nvSpPr>
      <xdr:spPr>
        <a:xfrm>
          <a:off x="6083232" y="934474"/>
          <a:ext cx="95500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0C5A3E2-C9FB-4191-A232-35BC8ADA5EC1}" type="TxLink">
            <a:rPr lang="en-US" sz="2400" b="0" i="0" u="none" strike="noStrike">
              <a:solidFill>
                <a:srgbClr val="38BDF8"/>
              </a:solidFill>
              <a:latin typeface="Arial"/>
              <a:cs typeface="Arial"/>
            </a:rPr>
            <a:pPr/>
            <a:t>14.75</a:t>
          </a:fld>
          <a:endParaRPr lang="en-IN" sz="2400">
            <a:solidFill>
              <a:srgbClr val="38BDF8"/>
            </a:solidFill>
          </a:endParaRPr>
        </a:p>
      </xdr:txBody>
    </xdr:sp>
    <xdr:clientData/>
  </xdr:oneCellAnchor>
  <xdr:twoCellAnchor>
    <xdr:from>
      <xdr:col>12</xdr:col>
      <xdr:colOff>560004</xdr:colOff>
      <xdr:row>7</xdr:row>
      <xdr:rowOff>103372</xdr:rowOff>
    </xdr:from>
    <xdr:to>
      <xdr:col>21</xdr:col>
      <xdr:colOff>531628</xdr:colOff>
      <xdr:row>28</xdr:row>
      <xdr:rowOff>59070</xdr:rowOff>
    </xdr:to>
    <xdr:graphicFrame macro="">
      <xdr:nvGraphicFramePr>
        <xdr:cNvPr id="20" name="Chart 19">
          <a:extLst>
            <a:ext uri="{FF2B5EF4-FFF2-40B4-BE49-F238E27FC236}">
              <a16:creationId xmlns:a16="http://schemas.microsoft.com/office/drawing/2014/main" id="{C81938E5-69EA-4385-B626-32E8C1B3C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217236</xdr:colOff>
      <xdr:row>10</xdr:row>
      <xdr:rowOff>50133</xdr:rowOff>
    </xdr:from>
    <xdr:to>
      <xdr:col>3</xdr:col>
      <xdr:colOff>108618</xdr:colOff>
      <xdr:row>28</xdr:row>
      <xdr:rowOff>41777</xdr:rowOff>
    </xdr:to>
    <mc:AlternateContent xmlns:mc="http://schemas.openxmlformats.org/markup-compatibility/2006" xmlns:sle15="http://schemas.microsoft.com/office/drawing/2012/slicer">
      <mc:Choice Requires="sle15">
        <xdr:graphicFrame macro="">
          <xdr:nvGraphicFramePr>
            <xdr:cNvPr id="21" name="City  1">
              <a:extLst>
                <a:ext uri="{FF2B5EF4-FFF2-40B4-BE49-F238E27FC236}">
                  <a16:creationId xmlns:a16="http://schemas.microsoft.com/office/drawing/2014/main" id="{5092BACE-0130-419B-BFE7-EE9481532C5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17236" y="1864419"/>
              <a:ext cx="1741953" cy="32573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208880</xdr:colOff>
      <xdr:row>9</xdr:row>
      <xdr:rowOff>142038</xdr:rowOff>
    </xdr:from>
    <xdr:to>
      <xdr:col>12</xdr:col>
      <xdr:colOff>177210</xdr:colOff>
      <xdr:row>28</xdr:row>
      <xdr:rowOff>33421</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31DCFC83-FE1F-4053-B4C2-3866295F7F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037680" y="1799388"/>
              <a:ext cx="5556330" cy="33902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167105</xdr:colOff>
      <xdr:row>29</xdr:row>
      <xdr:rowOff>33421</xdr:rowOff>
    </xdr:from>
    <xdr:to>
      <xdr:col>3</xdr:col>
      <xdr:colOff>162924</xdr:colOff>
      <xdr:row>37</xdr:row>
      <xdr:rowOff>0</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D8D67780-BD4C-41D5-BD47-FB4DBAEB9CC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7105" y="5294850"/>
              <a:ext cx="1846390" cy="14180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217237</xdr:colOff>
      <xdr:row>26</xdr:row>
      <xdr:rowOff>91907</xdr:rowOff>
    </xdr:from>
    <xdr:to>
      <xdr:col>8</xdr:col>
      <xdr:colOff>543092</xdr:colOff>
      <xdr:row>28</xdr:row>
      <xdr:rowOff>33421</xdr:rowOff>
    </xdr:to>
    <xdr:sp macro="" textlink="">
      <xdr:nvSpPr>
        <xdr:cNvPr id="25" name="Rectangle 24">
          <a:extLst>
            <a:ext uri="{FF2B5EF4-FFF2-40B4-BE49-F238E27FC236}">
              <a16:creationId xmlns:a16="http://schemas.microsoft.com/office/drawing/2014/main" id="{519568A1-A144-4D61-7E11-FDB4FAD5EC62}"/>
            </a:ext>
          </a:extLst>
        </xdr:cNvPr>
        <xdr:cNvSpPr/>
      </xdr:nvSpPr>
      <xdr:spPr>
        <a:xfrm>
          <a:off x="3876842" y="4871118"/>
          <a:ext cx="1545724" cy="309145"/>
        </a:xfrm>
        <a:prstGeom prst="rect">
          <a:avLst/>
        </a:prstGeom>
        <a:solidFill>
          <a:srgbClr val="0F172A"/>
        </a:solidFill>
        <a:ln>
          <a:solidFill>
            <a:srgbClr val="0F17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solidFill>
              <a:srgbClr val="0F172A"/>
            </a:solidFill>
          </a:endParaRPr>
        </a:p>
      </xdr:txBody>
    </xdr:sp>
    <xdr:clientData/>
  </xdr:twoCellAnchor>
  <xdr:twoCellAnchor>
    <xdr:from>
      <xdr:col>12</xdr:col>
      <xdr:colOff>590698</xdr:colOff>
      <xdr:row>29</xdr:row>
      <xdr:rowOff>59070</xdr:rowOff>
    </xdr:from>
    <xdr:to>
      <xdr:col>22</xdr:col>
      <xdr:colOff>44302</xdr:colOff>
      <xdr:row>52</xdr:row>
      <xdr:rowOff>29534</xdr:rowOff>
    </xdr:to>
    <xdr:graphicFrame macro="">
      <xdr:nvGraphicFramePr>
        <xdr:cNvPr id="26" name="Chart 25">
          <a:extLst>
            <a:ext uri="{FF2B5EF4-FFF2-40B4-BE49-F238E27FC236}">
              <a16:creationId xmlns:a16="http://schemas.microsoft.com/office/drawing/2014/main" id="{E4B81B6A-D904-459F-AA03-A1E8D0F2E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88605</xdr:colOff>
      <xdr:row>38</xdr:row>
      <xdr:rowOff>14767</xdr:rowOff>
    </xdr:from>
    <xdr:to>
      <xdr:col>3</xdr:col>
      <xdr:colOff>101010</xdr:colOff>
      <xdr:row>52</xdr:row>
      <xdr:rowOff>57961</xdr:rowOff>
    </xdr:to>
    <mc:AlternateContent xmlns:mc="http://schemas.openxmlformats.org/markup-compatibility/2006" xmlns:a14="http://schemas.microsoft.com/office/drawing/2010/main">
      <mc:Choice Requires="a14">
        <xdr:graphicFrame macro="">
          <xdr:nvGraphicFramePr>
            <xdr:cNvPr id="27" name="Product_Category 1">
              <a:extLst>
                <a:ext uri="{FF2B5EF4-FFF2-40B4-BE49-F238E27FC236}">
                  <a16:creationId xmlns:a16="http://schemas.microsoft.com/office/drawing/2014/main" id="{3E224EA5-8EA9-4C1A-93C5-AD404F4B790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88605" y="6909053"/>
              <a:ext cx="1862976" cy="2583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290287</xdr:colOff>
      <xdr:row>53</xdr:row>
      <xdr:rowOff>69811</xdr:rowOff>
    </xdr:from>
    <xdr:to>
      <xdr:col>9</xdr:col>
      <xdr:colOff>397749</xdr:colOff>
      <xdr:row>57</xdr:row>
      <xdr:rowOff>97419</xdr:rowOff>
    </xdr:to>
    <xdr:sp macro="" textlink="">
      <xdr:nvSpPr>
        <xdr:cNvPr id="28" name="Rectangle: Rounded Corners 27">
          <a:extLst>
            <a:ext uri="{FF2B5EF4-FFF2-40B4-BE49-F238E27FC236}">
              <a16:creationId xmlns:a16="http://schemas.microsoft.com/office/drawing/2014/main" id="{CB886427-1F69-04A6-6023-6EBF35D32077}"/>
            </a:ext>
          </a:extLst>
        </xdr:cNvPr>
        <xdr:cNvSpPr/>
      </xdr:nvSpPr>
      <xdr:spPr>
        <a:xfrm>
          <a:off x="907144" y="9685525"/>
          <a:ext cx="5133034" cy="753323"/>
        </a:xfrm>
        <a:prstGeom prst="roundRect">
          <a:avLst/>
        </a:prstGeom>
        <a:solidFill>
          <a:srgbClr val="1E293B"/>
        </a:solidFill>
        <a:ln>
          <a:solidFill>
            <a:srgbClr val="1E293B"/>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1"/>
            <a:t>QUICK</a:t>
          </a:r>
          <a:r>
            <a:rPr lang="en-IN" sz="2800" b="1" i="1" baseline="0"/>
            <a:t> SEARCH</a:t>
          </a:r>
          <a:endParaRPr lang="en-IN" sz="2800" b="1" i="1"/>
        </a:p>
      </xdr:txBody>
    </xdr:sp>
    <xdr:clientData/>
  </xdr:twoCellAnchor>
  <xdr:twoCellAnchor>
    <xdr:from>
      <xdr:col>22</xdr:col>
      <xdr:colOff>489858</xdr:colOff>
      <xdr:row>6</xdr:row>
      <xdr:rowOff>90715</xdr:rowOff>
    </xdr:from>
    <xdr:to>
      <xdr:col>30</xdr:col>
      <xdr:colOff>417285</xdr:colOff>
      <xdr:row>58</xdr:row>
      <xdr:rowOff>199572</xdr:rowOff>
    </xdr:to>
    <xdr:sp macro="" textlink="">
      <xdr:nvSpPr>
        <xdr:cNvPr id="30" name="Rectangle: Rounded Corners 29">
          <a:extLst>
            <a:ext uri="{FF2B5EF4-FFF2-40B4-BE49-F238E27FC236}">
              <a16:creationId xmlns:a16="http://schemas.microsoft.com/office/drawing/2014/main" id="{2781309A-F44F-C744-2FA0-F793FDE5A3E6}"/>
            </a:ext>
          </a:extLst>
        </xdr:cNvPr>
        <xdr:cNvSpPr/>
      </xdr:nvSpPr>
      <xdr:spPr>
        <a:xfrm>
          <a:off x="14151429" y="1179286"/>
          <a:ext cx="4862285" cy="9543143"/>
        </a:xfrm>
        <a:prstGeom prst="roundRect">
          <a:avLst/>
        </a:prstGeom>
        <a:solidFill>
          <a:srgbClr val="1E293B"/>
        </a:solidFill>
        <a:ln>
          <a:solidFill>
            <a:srgbClr val="1E293B"/>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200" b="1"/>
            <a:t>Story</a:t>
          </a:r>
          <a:r>
            <a:rPr lang="en-IN" sz="3200" b="1" baseline="0"/>
            <a:t> Telling &amp; Insights</a:t>
          </a:r>
        </a:p>
        <a:p>
          <a:pPr algn="l"/>
          <a:endParaRPr lang="en-IN" sz="3200" b="1"/>
        </a:p>
        <a:p>
          <a:pPr algn="l"/>
          <a:r>
            <a:rPr lang="en-IN" sz="2400"/>
            <a:t>"I have transformed our raw sales data into a </a:t>
          </a:r>
          <a:r>
            <a:rPr lang="en-IN" sz="2400" b="1"/>
            <a:t>Command Center</a:t>
          </a:r>
          <a:r>
            <a:rPr lang="en-IN" sz="2400"/>
            <a:t>.</a:t>
          </a:r>
        </a:p>
        <a:p>
          <a:pPr algn="l"/>
          <a:endParaRPr lang="en-IN" sz="2400"/>
        </a:p>
        <a:p>
          <a:pPr algn="l"/>
          <a:r>
            <a:rPr lang="en-IN" sz="2400" b="1"/>
            <a:t>Financial Growth:</a:t>
          </a:r>
          <a:r>
            <a:rPr lang="en-IN" sz="2400"/>
            <a:t> We’ve hit </a:t>
          </a:r>
          <a:r>
            <a:rPr lang="en-IN" sz="2400" b="1"/>
            <a:t>$560k</a:t>
          </a:r>
          <a:r>
            <a:rPr lang="en-IN" sz="2400"/>
            <a:t> in revenue, with a focused </a:t>
          </a:r>
          <a:r>
            <a:rPr lang="en-IN" sz="2400" b="1"/>
            <a:t>3.92 rating</a:t>
          </a:r>
          <a:r>
            <a:rPr lang="en-IN" sz="2400"/>
            <a:t> that shows our market strength and potential for service optimization.</a:t>
          </a:r>
        </a:p>
        <a:p>
          <a:pPr algn="l"/>
          <a:endParaRPr lang="en-IN" sz="2400"/>
        </a:p>
        <a:p>
          <a:pPr algn="l"/>
          <a:r>
            <a:rPr lang="en-IN" sz="2400" b="1"/>
            <a:t>Customer DNA:</a:t>
          </a:r>
          <a:r>
            <a:rPr lang="en-IN" sz="2400"/>
            <a:t> Our growth is fueled by </a:t>
          </a:r>
          <a:r>
            <a:rPr lang="en-IN" sz="2400" b="1"/>
            <a:t>Millennials and Gen Z</a:t>
          </a:r>
          <a:r>
            <a:rPr lang="en-IN" sz="2400"/>
            <a:t>, who primarily shop for </a:t>
          </a:r>
          <a:r>
            <a:rPr lang="en-IN" sz="2400" b="1"/>
            <a:t>Electronics</a:t>
          </a:r>
          <a:r>
            <a:rPr lang="en-IN" sz="2400"/>
            <a:t> and prefer </a:t>
          </a:r>
          <a:r>
            <a:rPr lang="en-IN" sz="2400" b="1"/>
            <a:t>Digital Payments</a:t>
          </a:r>
          <a:r>
            <a:rPr lang="en-IN" sz="2400"/>
            <a:t>.</a:t>
          </a:r>
        </a:p>
        <a:p>
          <a:pPr algn="l"/>
          <a:endParaRPr lang="en-IN" sz="2400"/>
        </a:p>
        <a:p>
          <a:pPr algn="l"/>
          <a:r>
            <a:rPr lang="en-IN" sz="2400" b="1"/>
            <a:t>Operational Edge:</a:t>
          </a:r>
          <a:r>
            <a:rPr lang="en-IN" sz="2400"/>
            <a:t> The </a:t>
          </a:r>
          <a:r>
            <a:rPr lang="en-IN" sz="2400" b="1"/>
            <a:t>Quick Search</a:t>
          </a:r>
          <a:r>
            <a:rPr lang="en-IN" sz="2400"/>
            <a:t> feature I’ve built allows us to track any specific order in seconds, turning complex data into instant, actionable insights."</a:t>
          </a:r>
        </a:p>
        <a:p>
          <a:pPr algn="l"/>
          <a:endParaRPr lang="en-IN"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146050</xdr:colOff>
      <xdr:row>11</xdr:row>
      <xdr:rowOff>0</xdr:rowOff>
    </xdr:from>
    <xdr:to>
      <xdr:col>10</xdr:col>
      <xdr:colOff>374650</xdr:colOff>
      <xdr:row>25</xdr:row>
      <xdr:rowOff>152400</xdr:rowOff>
    </xdr:to>
    <xdr:graphicFrame macro="">
      <xdr:nvGraphicFramePr>
        <xdr:cNvPr id="7" name="Chart 6">
          <a:extLst>
            <a:ext uri="{FF2B5EF4-FFF2-40B4-BE49-F238E27FC236}">
              <a16:creationId xmlns:a16="http://schemas.microsoft.com/office/drawing/2014/main" id="{19233CE5-64FB-4086-ACE8-2414C1F20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21933</xdr:colOff>
      <xdr:row>30</xdr:row>
      <xdr:rowOff>73058</xdr:rowOff>
    </xdr:from>
    <xdr:to>
      <xdr:col>10</xdr:col>
      <xdr:colOff>27845</xdr:colOff>
      <xdr:row>43</xdr:row>
      <xdr:rowOff>177614</xdr:rowOff>
    </xdr:to>
    <mc:AlternateContent xmlns:mc="http://schemas.openxmlformats.org/markup-compatibility/2006" xmlns:sle15="http://schemas.microsoft.com/office/drawing/2012/slicer">
      <mc:Choice Requires="sle15">
        <xdr:graphicFrame macro="">
          <xdr:nvGraphicFramePr>
            <xdr:cNvPr id="16" name="City ">
              <a:extLst>
                <a:ext uri="{FF2B5EF4-FFF2-40B4-BE49-F238E27FC236}">
                  <a16:creationId xmlns:a16="http://schemas.microsoft.com/office/drawing/2014/main" id="{39A88B6E-9236-1DBD-807E-EFB5171ACAE7}"/>
                </a:ext>
              </a:extLst>
            </xdr:cNvPr>
            <xdr:cNvGraphicFramePr/>
          </xdr:nvGraphicFramePr>
          <xdr:xfrm>
            <a:off x="0" y="0"/>
            <a:ext cx="0" cy="0"/>
          </xdr:xfrm>
          <a:graphic>
            <a:graphicData uri="http://schemas.microsoft.com/office/drawing/2010/slicer">
              <sle:slicer xmlns:sle="http://schemas.microsoft.com/office/drawing/2010/slicer" name="City "/>
            </a:graphicData>
          </a:graphic>
        </xdr:graphicFrame>
      </mc:Choice>
      <mc:Fallback xmlns="">
        <xdr:sp macro="" textlink="">
          <xdr:nvSpPr>
            <xdr:cNvPr id="0" name=""/>
            <xdr:cNvSpPr>
              <a:spLocks noTextEdit="1"/>
            </xdr:cNvSpPr>
          </xdr:nvSpPr>
          <xdr:spPr>
            <a:xfrm>
              <a:off x="6884030" y="5634429"/>
              <a:ext cx="1849460" cy="250116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76091</xdr:colOff>
      <xdr:row>30</xdr:row>
      <xdr:rowOff>5145</xdr:rowOff>
    </xdr:from>
    <xdr:to>
      <xdr:col>6</xdr:col>
      <xdr:colOff>339396</xdr:colOff>
      <xdr:row>51</xdr:row>
      <xdr:rowOff>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C7FFBCE3-8B1C-FD26-B4BE-6EF7439739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08141" y="5561395"/>
              <a:ext cx="4066955" cy="39128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170180</xdr:colOff>
      <xdr:row>37</xdr:row>
      <xdr:rowOff>140402</xdr:rowOff>
    </xdr:from>
    <xdr:to>
      <xdr:col>12</xdr:col>
      <xdr:colOff>215899</xdr:colOff>
      <xdr:row>38</xdr:row>
      <xdr:rowOff>0</xdr:rowOff>
    </xdr:to>
    <xdr:sp macro="" textlink="">
      <xdr:nvSpPr>
        <xdr:cNvPr id="3073" name="Text Box 1">
          <a:extLst>
            <a:ext uri="{FF2B5EF4-FFF2-40B4-BE49-F238E27FC236}">
              <a16:creationId xmlns:a16="http://schemas.microsoft.com/office/drawing/2014/main" id="{6FD3FB94-B69D-36BA-7562-33F53151E923}"/>
            </a:ext>
          </a:extLst>
        </xdr:cNvPr>
        <xdr:cNvSpPr txBox="1">
          <a:spLocks noChangeArrowheads="1"/>
        </xdr:cNvSpPr>
      </xdr:nvSpPr>
      <xdr:spPr bwMode="auto">
        <a:xfrm rot="10800000" flipV="1">
          <a:off x="9799189" y="7054238"/>
          <a:ext cx="45719" cy="45719"/>
        </a:xfrm>
        <a:prstGeom prst="rect">
          <a:avLst/>
        </a:prstGeom>
        <a:solidFill>
          <a:srgbClr val="FFFFFF"/>
        </a:solidFill>
        <a:ln w="9525">
          <a:solidFill>
            <a:srgbClr val="000000"/>
          </a:solidFill>
          <a:miter lim="800000"/>
          <a:headEnd/>
          <a:tailEnd/>
        </a:ln>
      </xdr:spPr>
      <xdr:txBody>
        <a:bodyPr vertOverflow="clip" wrap="square" lIns="45720" tIns="4114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xdr:col>
      <xdr:colOff>111672</xdr:colOff>
      <xdr:row>55</xdr:row>
      <xdr:rowOff>21897</xdr:rowOff>
    </xdr:from>
    <xdr:to>
      <xdr:col>6</xdr:col>
      <xdr:colOff>503621</xdr:colOff>
      <xdr:row>67</xdr:row>
      <xdr:rowOff>32845</xdr:rowOff>
    </xdr:to>
    <xdr:graphicFrame macro="">
      <xdr:nvGraphicFramePr>
        <xdr:cNvPr id="19" name="Chart 18">
          <a:extLst>
            <a:ext uri="{FF2B5EF4-FFF2-40B4-BE49-F238E27FC236}">
              <a16:creationId xmlns:a16="http://schemas.microsoft.com/office/drawing/2014/main" id="{6F044EEC-2781-A510-E082-4BD629C3D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313388</xdr:colOff>
      <xdr:row>54</xdr:row>
      <xdr:rowOff>142300</xdr:rowOff>
    </xdr:from>
    <xdr:to>
      <xdr:col>10</xdr:col>
      <xdr:colOff>295462</xdr:colOff>
      <xdr:row>66</xdr:row>
      <xdr:rowOff>30725</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2CD41CE9-9B84-A4B7-8082-9746ADAAAC7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75485" y="10220365"/>
              <a:ext cx="1825622" cy="2100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563102</xdr:colOff>
      <xdr:row>75</xdr:row>
      <xdr:rowOff>35437</xdr:rowOff>
    </xdr:from>
    <xdr:to>
      <xdr:col>11</xdr:col>
      <xdr:colOff>548354</xdr:colOff>
      <xdr:row>88</xdr:row>
      <xdr:rowOff>162949</xdr:rowOff>
    </xdr:to>
    <mc:AlternateContent xmlns:mc="http://schemas.openxmlformats.org/markup-compatibility/2006" xmlns:a14="http://schemas.microsoft.com/office/drawing/2010/main">
      <mc:Choice Requires="a14">
        <xdr:graphicFrame macro="">
          <xdr:nvGraphicFramePr>
            <xdr:cNvPr id="24" name="Product_Category">
              <a:extLst>
                <a:ext uri="{FF2B5EF4-FFF2-40B4-BE49-F238E27FC236}">
                  <a16:creationId xmlns:a16="http://schemas.microsoft.com/office/drawing/2014/main" id="{3CB1A8E8-F360-3138-17F1-CF537683421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039715" y="140054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228395</xdr:colOff>
      <xdr:row>70</xdr:row>
      <xdr:rowOff>180053</xdr:rowOff>
    </xdr:from>
    <xdr:to>
      <xdr:col>7</xdr:col>
      <xdr:colOff>375879</xdr:colOff>
      <xdr:row>85</xdr:row>
      <xdr:rowOff>157931</xdr:rowOff>
    </xdr:to>
    <xdr:graphicFrame macro="">
      <xdr:nvGraphicFramePr>
        <xdr:cNvPr id="26" name="Chart 25">
          <a:extLst>
            <a:ext uri="{FF2B5EF4-FFF2-40B4-BE49-F238E27FC236}">
              <a16:creationId xmlns:a16="http://schemas.microsoft.com/office/drawing/2014/main" id="{1E2FF2D9-FF1C-71E6-6523-95C5906E8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commerce_customer_behavior_da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mmerce_customer_behavior_dat"/>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47.550796643518" createdVersion="8" refreshedVersion="8" minRefreshableVersion="3" recordCount="565" xr:uid="{8F3F2495-1596-4A18-AF71-85D81E2FA717}">
  <cacheSource type="worksheet">
    <worksheetSource name="Table1"/>
  </cacheSource>
  <cacheFields count="20">
    <cacheField name="Order_ID" numFmtId="0">
      <sharedItems/>
    </cacheField>
    <cacheField name="Customer_ID" numFmtId="0">
      <sharedItems/>
    </cacheField>
    <cacheField name="Date" numFmtId="164">
      <sharedItems containsSemiMixedTypes="0" containsNonDate="0" containsDate="1" containsString="0" minDate="2023-01-01T00:00:00" maxDate="2023-02-23T00:00:00"/>
    </cacheField>
    <cacheField name="Day_Name" numFmtId="164">
      <sharedItems/>
    </cacheField>
    <cacheField name="Age" numFmtId="0">
      <sharedItems containsSemiMixedTypes="0" containsString="0" containsNumber="1" containsInteger="1" minValue="18" maxValue="66"/>
    </cacheField>
    <cacheField name="Age Group" numFmtId="0">
      <sharedItems count="3">
        <s v="Millennials"/>
        <s v="Gen X/Boomers"/>
        <s v="Gen Z"/>
      </sharedItems>
    </cacheField>
    <cacheField name="Gender" numFmtId="0">
      <sharedItems count="3">
        <s v="Female"/>
        <s v="Male"/>
        <s v="Other"/>
      </sharedItems>
    </cacheField>
    <cacheField name="City" numFmtId="0">
      <sharedItems count="10">
        <s v="Bursa"/>
        <s v="Konya"/>
        <s v="Ankara"/>
        <s v="Istanbul"/>
        <s v="Izmir"/>
        <s v="Eskisehir"/>
        <s v="Antalya"/>
        <s v="Kayseri"/>
        <s v="Gaziantep"/>
        <s v="Adana"/>
      </sharedItems>
    </cacheField>
    <cacheField name="Product_Category" numFmtId="0">
      <sharedItems count="8">
        <s v="Toys"/>
        <s v="Food"/>
        <s v="Electronics"/>
        <s v="Sports"/>
        <s v="Beauty"/>
        <s v="Fashion"/>
        <s v="Home &amp; Garden"/>
        <s v="Books"/>
      </sharedItems>
    </cacheField>
    <cacheField name="Unit_Price" numFmtId="0">
      <sharedItems containsSemiMixedTypes="0" containsString="0" containsNumber="1" minValue="10.86" maxValue="6935.92"/>
    </cacheField>
    <cacheField name="Quantity" numFmtId="0">
      <sharedItems containsSemiMixedTypes="0" containsString="0" containsNumber="1" containsInteger="1" minValue="1" maxValue="5"/>
    </cacheField>
    <cacheField name="Discount_Amount" numFmtId="0">
      <sharedItems containsSemiMixedTypes="0" containsString="0" containsNumber="1" minValue="0" maxValue="1394.26"/>
    </cacheField>
    <cacheField name="Total_Amount" numFmtId="0">
      <sharedItems containsSemiMixedTypes="0" containsString="0" containsNumber="1" minValue="10.86" maxValue="19547.2"/>
    </cacheField>
    <cacheField name="Payment_Method" numFmtId="0">
      <sharedItems count="5">
        <s v="Debit Card"/>
        <s v="Credit Card"/>
        <s v="Cash on Delivery"/>
        <s v="Digital Wallet"/>
        <s v="Bank Transfer"/>
      </sharedItems>
    </cacheField>
    <cacheField name="Device_Type" numFmtId="0">
      <sharedItems/>
    </cacheField>
    <cacheField name="Session_Duration_Minutes" numFmtId="0">
      <sharedItems containsSemiMixedTypes="0" containsString="0" containsNumber="1" containsInteger="1" minValue="1" maxValue="73"/>
    </cacheField>
    <cacheField name="Pages_Viewed" numFmtId="0">
      <sharedItems containsSemiMixedTypes="0" containsString="0" containsNumber="1" containsInteger="1" minValue="1" maxValue="17"/>
    </cacheField>
    <cacheField name="Is_Returning_Customer" numFmtId="0">
      <sharedItems/>
    </cacheField>
    <cacheField name="Delivery_Time_Days" numFmtId="0">
      <sharedItems containsSemiMixedTypes="0" containsString="0" containsNumber="1" containsInteger="1" minValue="1" maxValue="25"/>
    </cacheField>
    <cacheField name="Customer_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673922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5">
  <r>
    <s v="ORD_001337"/>
    <s v="CUST_01337"/>
    <d v="2023-01-01T00:00:00"/>
    <s v="Sunday"/>
    <n v="25"/>
    <x v="0"/>
    <x v="0"/>
    <x v="0"/>
    <x v="0"/>
    <n v="54.28"/>
    <n v="1"/>
    <n v="0"/>
    <n v="54.28"/>
    <x v="0"/>
    <s v="Mobile"/>
    <n v="4"/>
    <n v="14"/>
    <b v="1"/>
    <n v="8"/>
    <n v="5"/>
  </r>
  <r>
    <s v="ORD_004885"/>
    <s v="CUST_04885"/>
    <d v="2023-01-01T00:00:00"/>
    <s v="Sunday"/>
    <n v="42"/>
    <x v="0"/>
    <x v="1"/>
    <x v="1"/>
    <x v="0"/>
    <n v="244.9"/>
    <n v="1"/>
    <n v="0"/>
    <n v="244.9"/>
    <x v="1"/>
    <s v="Mobile"/>
    <n v="11"/>
    <n v="3"/>
    <b v="1"/>
    <n v="3"/>
    <n v="3"/>
  </r>
  <r>
    <s v="ORD_004507"/>
    <s v="CUST_04507"/>
    <d v="2023-01-01T00:00:00"/>
    <s v="Sunday"/>
    <n v="43"/>
    <x v="0"/>
    <x v="0"/>
    <x v="2"/>
    <x v="1"/>
    <n v="48.15"/>
    <n v="5"/>
    <n v="0"/>
    <n v="240.75"/>
    <x v="1"/>
    <s v="Mobile"/>
    <n v="7"/>
    <n v="8"/>
    <b v="1"/>
    <n v="5"/>
    <n v="2"/>
  </r>
  <r>
    <s v="ORD_000645"/>
    <s v="CUST_00645"/>
    <d v="2023-01-01T00:00:00"/>
    <s v="Sunday"/>
    <n v="32"/>
    <x v="0"/>
    <x v="1"/>
    <x v="3"/>
    <x v="2"/>
    <n v="804.06"/>
    <n v="1"/>
    <n v="229.28"/>
    <n v="574.78"/>
    <x v="1"/>
    <s v="Mobile"/>
    <n v="8"/>
    <n v="10"/>
    <b v="0"/>
    <n v="1"/>
    <n v="4"/>
  </r>
  <r>
    <s v="ORD_000690"/>
    <s v="CUST_00690"/>
    <d v="2023-01-01T00:00:00"/>
    <s v="Sunday"/>
    <n v="40"/>
    <x v="0"/>
    <x v="0"/>
    <x v="3"/>
    <x v="3"/>
    <n v="755.61"/>
    <n v="5"/>
    <n v="0"/>
    <n v="3778.05"/>
    <x v="2"/>
    <s v="Desktop"/>
    <n v="21"/>
    <n v="10"/>
    <b v="1"/>
    <n v="7"/>
    <n v="4"/>
  </r>
  <r>
    <s v="ORD_000223"/>
    <s v="CUST_00223"/>
    <d v="2023-01-01T00:00:00"/>
    <s v="Sunday"/>
    <n v="43"/>
    <x v="0"/>
    <x v="0"/>
    <x v="3"/>
    <x v="4"/>
    <n v="122.46"/>
    <n v="1"/>
    <n v="0"/>
    <n v="122.46"/>
    <x v="1"/>
    <s v="Mobile"/>
    <n v="14"/>
    <n v="9"/>
    <b v="1"/>
    <n v="9"/>
    <n v="5"/>
  </r>
  <r>
    <s v="ORD_002506"/>
    <s v="CUST_02506"/>
    <d v="2023-01-01T00:00:00"/>
    <s v="Sunday"/>
    <n v="25"/>
    <x v="0"/>
    <x v="0"/>
    <x v="4"/>
    <x v="2"/>
    <n v="2107.37"/>
    <n v="2"/>
    <n v="0"/>
    <n v="4214.74"/>
    <x v="3"/>
    <s v="Desktop"/>
    <n v="10"/>
    <n v="5"/>
    <b v="0"/>
    <n v="6"/>
    <n v="5"/>
  </r>
  <r>
    <s v="ORD_004540"/>
    <s v="CUST_04540"/>
    <d v="2023-01-01T00:00:00"/>
    <s v="Sunday"/>
    <n v="44"/>
    <x v="0"/>
    <x v="1"/>
    <x v="1"/>
    <x v="1"/>
    <n v="213.64"/>
    <n v="2"/>
    <n v="0"/>
    <n v="427.28"/>
    <x v="1"/>
    <s v="Mobile"/>
    <n v="10"/>
    <n v="16"/>
    <b v="0"/>
    <n v="3"/>
    <n v="5"/>
  </r>
  <r>
    <s v="ORD_001808"/>
    <s v="CUST_01808"/>
    <d v="2023-01-02T00:00:00"/>
    <s v="Monday"/>
    <n v="41"/>
    <x v="0"/>
    <x v="1"/>
    <x v="3"/>
    <x v="5"/>
    <n v="257.62"/>
    <n v="5"/>
    <n v="62.15"/>
    <n v="1225.95"/>
    <x v="1"/>
    <s v="Tablet"/>
    <n v="24"/>
    <n v="7"/>
    <b v="0"/>
    <n v="2"/>
    <n v="4"/>
  </r>
  <r>
    <s v="ORD_003413"/>
    <s v="CUST_03413"/>
    <d v="2023-01-02T00:00:00"/>
    <s v="Monday"/>
    <n v="58"/>
    <x v="1"/>
    <x v="1"/>
    <x v="3"/>
    <x v="3"/>
    <n v="1784.75"/>
    <n v="4"/>
    <n v="490.25"/>
    <n v="6648.75"/>
    <x v="0"/>
    <s v="Desktop"/>
    <n v="8"/>
    <n v="5"/>
    <b v="1"/>
    <n v="5"/>
    <n v="4"/>
  </r>
  <r>
    <s v="ORD_004457"/>
    <s v="CUST_04457"/>
    <d v="2023-01-02T00:00:00"/>
    <s v="Monday"/>
    <n v="21"/>
    <x v="2"/>
    <x v="0"/>
    <x v="3"/>
    <x v="2"/>
    <n v="1091.1099999999999"/>
    <n v="1"/>
    <n v="0"/>
    <n v="1091.1099999999999"/>
    <x v="2"/>
    <s v="Mobile"/>
    <n v="9"/>
    <n v="6"/>
    <b v="1"/>
    <n v="3"/>
    <n v="4"/>
  </r>
  <r>
    <s v="ORD_004797"/>
    <s v="CUST_04797"/>
    <d v="2023-01-02T00:00:00"/>
    <s v="Monday"/>
    <n v="40"/>
    <x v="0"/>
    <x v="1"/>
    <x v="1"/>
    <x v="4"/>
    <n v="77.06"/>
    <n v="2"/>
    <n v="15.22"/>
    <n v="138.9"/>
    <x v="1"/>
    <s v="Mobile"/>
    <n v="5"/>
    <n v="6"/>
    <b v="0"/>
    <n v="4"/>
    <n v="3"/>
  </r>
  <r>
    <s v="ORD_001211"/>
    <s v="CUST_01211"/>
    <d v="2023-01-02T00:00:00"/>
    <s v="Monday"/>
    <n v="20"/>
    <x v="2"/>
    <x v="0"/>
    <x v="0"/>
    <x v="3"/>
    <n v="197.88"/>
    <n v="3"/>
    <n v="0"/>
    <n v="593.64"/>
    <x v="1"/>
    <s v="Mobile"/>
    <n v="9"/>
    <n v="9"/>
    <b v="1"/>
    <n v="3"/>
    <n v="5"/>
  </r>
  <r>
    <s v="ORD_000514"/>
    <s v="CUST_00514"/>
    <d v="2023-01-02T00:00:00"/>
    <s v="Monday"/>
    <n v="24"/>
    <x v="2"/>
    <x v="1"/>
    <x v="5"/>
    <x v="6"/>
    <n v="897.02"/>
    <n v="5"/>
    <n v="0"/>
    <n v="4485.1000000000004"/>
    <x v="3"/>
    <s v="Desktop"/>
    <n v="17"/>
    <n v="7"/>
    <b v="1"/>
    <n v="8"/>
    <n v="4"/>
  </r>
  <r>
    <s v="ORD_003462"/>
    <s v="CUST_03462"/>
    <d v="2023-01-02T00:00:00"/>
    <s v="Monday"/>
    <n v="57"/>
    <x v="1"/>
    <x v="0"/>
    <x v="3"/>
    <x v="7"/>
    <n v="37.19"/>
    <n v="4"/>
    <n v="8.76"/>
    <n v="140"/>
    <x v="1"/>
    <s v="Desktop"/>
    <n v="11"/>
    <n v="8"/>
    <b v="0"/>
    <n v="5"/>
    <n v="5"/>
  </r>
  <r>
    <s v="ORD_001418"/>
    <s v="CUST_01418"/>
    <d v="2023-01-02T00:00:00"/>
    <s v="Monday"/>
    <n v="38"/>
    <x v="0"/>
    <x v="1"/>
    <x v="3"/>
    <x v="1"/>
    <n v="41.21"/>
    <n v="1"/>
    <n v="0"/>
    <n v="41.21"/>
    <x v="3"/>
    <s v="Desktop"/>
    <n v="13"/>
    <n v="7"/>
    <b v="0"/>
    <n v="5"/>
    <n v="5"/>
  </r>
  <r>
    <s v="ORD_000198"/>
    <s v="CUST_00198"/>
    <d v="2023-01-02T00:00:00"/>
    <s v="Monday"/>
    <n v="36"/>
    <x v="0"/>
    <x v="1"/>
    <x v="3"/>
    <x v="7"/>
    <n v="81.91"/>
    <n v="1"/>
    <n v="0"/>
    <n v="81.91"/>
    <x v="1"/>
    <s v="Mobile"/>
    <n v="8"/>
    <n v="14"/>
    <b v="1"/>
    <n v="6"/>
    <n v="4"/>
  </r>
  <r>
    <s v="ORD_000374"/>
    <s v="CUST_00374"/>
    <d v="2023-01-02T00:00:00"/>
    <s v="Monday"/>
    <n v="46"/>
    <x v="1"/>
    <x v="0"/>
    <x v="0"/>
    <x v="3"/>
    <n v="431.85"/>
    <n v="1"/>
    <n v="0"/>
    <n v="431.85"/>
    <x v="0"/>
    <s v="Mobile"/>
    <n v="27"/>
    <n v="11"/>
    <b v="1"/>
    <n v="6"/>
    <n v="4"/>
  </r>
  <r>
    <s v="ORD_003204"/>
    <s v="CUST_03204"/>
    <d v="2023-01-03T00:00:00"/>
    <s v="Tuesday"/>
    <n v="50"/>
    <x v="1"/>
    <x v="0"/>
    <x v="2"/>
    <x v="3"/>
    <n v="696.98"/>
    <n v="1"/>
    <n v="100.24"/>
    <n v="596.74"/>
    <x v="0"/>
    <s v="Desktop"/>
    <n v="30"/>
    <n v="15"/>
    <b v="1"/>
    <n v="14"/>
    <n v="5"/>
  </r>
  <r>
    <s v="ORD_004204"/>
    <s v="CUST_04204"/>
    <d v="2023-01-03T00:00:00"/>
    <s v="Tuesday"/>
    <n v="23"/>
    <x v="2"/>
    <x v="1"/>
    <x v="0"/>
    <x v="2"/>
    <n v="1837.61"/>
    <n v="2"/>
    <n v="156.33000000000001"/>
    <n v="3518.89"/>
    <x v="1"/>
    <s v="Desktop"/>
    <n v="22"/>
    <n v="9"/>
    <b v="1"/>
    <n v="9"/>
    <n v="4"/>
  </r>
  <r>
    <s v="ORD_000751"/>
    <s v="CUST_00751"/>
    <d v="2023-01-03T00:00:00"/>
    <s v="Tuesday"/>
    <n v="23"/>
    <x v="2"/>
    <x v="0"/>
    <x v="6"/>
    <x v="1"/>
    <n v="22.64"/>
    <n v="1"/>
    <n v="1.65"/>
    <n v="20.99"/>
    <x v="1"/>
    <s v="Tablet"/>
    <n v="7"/>
    <n v="11"/>
    <b v="1"/>
    <n v="3"/>
    <n v="4"/>
  </r>
  <r>
    <s v="ORD_002466"/>
    <s v="CUST_02466"/>
    <d v="2023-01-03T00:00:00"/>
    <s v="Tuesday"/>
    <n v="45"/>
    <x v="1"/>
    <x v="1"/>
    <x v="3"/>
    <x v="2"/>
    <n v="930.97"/>
    <n v="1"/>
    <n v="190.12"/>
    <n v="740.85"/>
    <x v="1"/>
    <s v="Desktop"/>
    <n v="9"/>
    <n v="10"/>
    <b v="1"/>
    <n v="2"/>
    <n v="4"/>
  </r>
  <r>
    <s v="ORD_003920"/>
    <s v="CUST_03920"/>
    <d v="2023-01-03T00:00:00"/>
    <s v="Tuesday"/>
    <n v="34"/>
    <x v="0"/>
    <x v="1"/>
    <x v="7"/>
    <x v="5"/>
    <n v="181.48"/>
    <n v="1"/>
    <n v="0"/>
    <n v="181.48"/>
    <x v="3"/>
    <s v="Mobile"/>
    <n v="27"/>
    <n v="5"/>
    <b v="0"/>
    <n v="6"/>
    <n v="4"/>
  </r>
  <r>
    <s v="ORD_000038"/>
    <s v="CUST_00038"/>
    <d v="2023-01-04T00:00:00"/>
    <s v="Wednesday"/>
    <n v="18"/>
    <x v="2"/>
    <x v="0"/>
    <x v="4"/>
    <x v="4"/>
    <n v="78.209999999999994"/>
    <n v="5"/>
    <n v="0"/>
    <n v="391.05"/>
    <x v="3"/>
    <s v="Mobile"/>
    <n v="9"/>
    <n v="7"/>
    <b v="0"/>
    <n v="8"/>
    <n v="4"/>
  </r>
  <r>
    <s v="ORD_003721"/>
    <s v="CUST_03721"/>
    <d v="2023-01-04T00:00:00"/>
    <s v="Wednesday"/>
    <n v="46"/>
    <x v="1"/>
    <x v="1"/>
    <x v="3"/>
    <x v="2"/>
    <n v="4136.9799999999996"/>
    <n v="5"/>
    <n v="1137.7"/>
    <n v="19547.2"/>
    <x v="0"/>
    <s v="Mobile"/>
    <n v="20"/>
    <n v="7"/>
    <b v="1"/>
    <n v="8"/>
    <n v="5"/>
  </r>
  <r>
    <s v="ORD_002069"/>
    <s v="CUST_02069"/>
    <d v="2023-01-04T00:00:00"/>
    <s v="Wednesday"/>
    <n v="52"/>
    <x v="1"/>
    <x v="1"/>
    <x v="2"/>
    <x v="3"/>
    <n v="240.87"/>
    <n v="2"/>
    <n v="36.979999999999997"/>
    <n v="444.76"/>
    <x v="0"/>
    <s v="Mobile"/>
    <n v="19"/>
    <n v="13"/>
    <b v="0"/>
    <n v="8"/>
    <n v="5"/>
  </r>
  <r>
    <s v="ORD_002080"/>
    <s v="CUST_02080"/>
    <d v="2023-01-04T00:00:00"/>
    <s v="Wednesday"/>
    <n v="29"/>
    <x v="0"/>
    <x v="1"/>
    <x v="4"/>
    <x v="2"/>
    <n v="443.53"/>
    <n v="1"/>
    <n v="0"/>
    <n v="443.53"/>
    <x v="0"/>
    <s v="Mobile"/>
    <n v="10"/>
    <n v="7"/>
    <b v="0"/>
    <n v="4"/>
    <n v="5"/>
  </r>
  <r>
    <s v="ORD_000285"/>
    <s v="CUST_00285"/>
    <d v="2023-01-04T00:00:00"/>
    <s v="Wednesday"/>
    <n v="60"/>
    <x v="1"/>
    <x v="1"/>
    <x v="0"/>
    <x v="6"/>
    <n v="912.21"/>
    <n v="4"/>
    <n v="63.68"/>
    <n v="3585.16"/>
    <x v="4"/>
    <s v="Mobile"/>
    <n v="13"/>
    <n v="10"/>
    <b v="1"/>
    <n v="4"/>
    <n v="5"/>
  </r>
  <r>
    <s v="ORD_000846"/>
    <s v="CUST_00846"/>
    <d v="2023-01-04T00:00:00"/>
    <s v="Wednesday"/>
    <n v="40"/>
    <x v="0"/>
    <x v="1"/>
    <x v="1"/>
    <x v="6"/>
    <n v="1375.1"/>
    <n v="2"/>
    <n v="0"/>
    <n v="2750.2"/>
    <x v="0"/>
    <s v="Mobile"/>
    <n v="17"/>
    <n v="6"/>
    <b v="0"/>
    <n v="9"/>
    <n v="5"/>
  </r>
  <r>
    <s v="ORD_003744"/>
    <s v="CUST_03744"/>
    <d v="2023-01-04T00:00:00"/>
    <s v="Wednesday"/>
    <n v="37"/>
    <x v="0"/>
    <x v="0"/>
    <x v="2"/>
    <x v="6"/>
    <n v="453.05"/>
    <n v="3"/>
    <n v="61.33"/>
    <n v="1297.82"/>
    <x v="3"/>
    <s v="Mobile"/>
    <n v="19"/>
    <n v="12"/>
    <b v="1"/>
    <n v="3"/>
    <n v="5"/>
  </r>
  <r>
    <s v="ORD_003991"/>
    <s v="CUST_03991"/>
    <d v="2023-01-04T00:00:00"/>
    <s v="Wednesday"/>
    <n v="18"/>
    <x v="2"/>
    <x v="1"/>
    <x v="6"/>
    <x v="3"/>
    <n v="288.26"/>
    <n v="4"/>
    <n v="0"/>
    <n v="1153.04"/>
    <x v="1"/>
    <s v="Desktop"/>
    <n v="8"/>
    <n v="6"/>
    <b v="1"/>
    <n v="14"/>
    <n v="2"/>
  </r>
  <r>
    <s v="ORD_003301"/>
    <s v="CUST_03301"/>
    <d v="2023-01-04T00:00:00"/>
    <s v="Wednesday"/>
    <n v="39"/>
    <x v="0"/>
    <x v="0"/>
    <x v="2"/>
    <x v="6"/>
    <n v="724.61"/>
    <n v="2"/>
    <n v="74.599999999999994"/>
    <n v="1374.62"/>
    <x v="1"/>
    <s v="Desktop"/>
    <n v="30"/>
    <n v="13"/>
    <b v="0"/>
    <n v="17"/>
    <n v="5"/>
  </r>
  <r>
    <s v="ORD_004873"/>
    <s v="CUST_04873"/>
    <d v="2023-01-04T00:00:00"/>
    <s v="Wednesday"/>
    <n v="20"/>
    <x v="2"/>
    <x v="1"/>
    <x v="6"/>
    <x v="7"/>
    <n v="37.68"/>
    <n v="1"/>
    <n v="0"/>
    <n v="37.68"/>
    <x v="1"/>
    <s v="Desktop"/>
    <n v="13"/>
    <n v="8"/>
    <b v="1"/>
    <n v="3"/>
    <n v="4"/>
  </r>
  <r>
    <s v="ORD_002003"/>
    <s v="CUST_02003"/>
    <d v="2023-01-04T00:00:00"/>
    <s v="Wednesday"/>
    <n v="25"/>
    <x v="0"/>
    <x v="1"/>
    <x v="2"/>
    <x v="2"/>
    <n v="1148.6400000000001"/>
    <n v="1"/>
    <n v="0"/>
    <n v="1148.6400000000001"/>
    <x v="1"/>
    <s v="Mobile"/>
    <n v="20"/>
    <n v="7"/>
    <b v="0"/>
    <n v="10"/>
    <n v="5"/>
  </r>
  <r>
    <s v="ORD_003730"/>
    <s v="CUST_03730"/>
    <d v="2023-01-05T00:00:00"/>
    <s v="Thursday"/>
    <n v="18"/>
    <x v="2"/>
    <x v="0"/>
    <x v="6"/>
    <x v="3"/>
    <n v="544.6"/>
    <n v="1"/>
    <n v="0"/>
    <n v="544.6"/>
    <x v="1"/>
    <s v="Desktop"/>
    <n v="9"/>
    <n v="10"/>
    <b v="1"/>
    <n v="13"/>
    <n v="2"/>
  </r>
  <r>
    <s v="ORD_001602"/>
    <s v="CUST_01602"/>
    <d v="2023-01-05T00:00:00"/>
    <s v="Thursday"/>
    <n v="51"/>
    <x v="1"/>
    <x v="0"/>
    <x v="3"/>
    <x v="4"/>
    <n v="131.04"/>
    <n v="5"/>
    <n v="0"/>
    <n v="655.20000000000005"/>
    <x v="0"/>
    <s v="Desktop"/>
    <n v="27"/>
    <n v="7"/>
    <b v="0"/>
    <n v="8"/>
    <n v="5"/>
  </r>
  <r>
    <s v="ORD_000477"/>
    <s v="CUST_00477"/>
    <d v="2023-01-05T00:00:00"/>
    <s v="Thursday"/>
    <n v="41"/>
    <x v="0"/>
    <x v="1"/>
    <x v="3"/>
    <x v="0"/>
    <n v="181.88"/>
    <n v="1"/>
    <n v="26.42"/>
    <n v="155.46"/>
    <x v="4"/>
    <s v="Mobile"/>
    <n v="14"/>
    <n v="9"/>
    <b v="1"/>
    <n v="9"/>
    <n v="5"/>
  </r>
  <r>
    <s v="ORD_002957"/>
    <s v="CUST_02957"/>
    <d v="2023-01-05T00:00:00"/>
    <s v="Thursday"/>
    <n v="46"/>
    <x v="1"/>
    <x v="0"/>
    <x v="3"/>
    <x v="7"/>
    <n v="46.09"/>
    <n v="4"/>
    <n v="0"/>
    <n v="184.36"/>
    <x v="0"/>
    <s v="Desktop"/>
    <n v="14"/>
    <n v="11"/>
    <b v="1"/>
    <n v="17"/>
    <n v="4"/>
  </r>
  <r>
    <s v="ORD_001565"/>
    <s v="CUST_01565"/>
    <d v="2023-01-05T00:00:00"/>
    <s v="Thursday"/>
    <n v="43"/>
    <x v="0"/>
    <x v="0"/>
    <x v="1"/>
    <x v="0"/>
    <n v="280.39999999999998"/>
    <n v="2"/>
    <n v="0"/>
    <n v="560.79999999999995"/>
    <x v="3"/>
    <s v="Tablet"/>
    <n v="16"/>
    <n v="9"/>
    <b v="1"/>
    <n v="3"/>
    <n v="3"/>
  </r>
  <r>
    <s v="ORD_000527"/>
    <s v="CUST_00527"/>
    <d v="2023-01-05T00:00:00"/>
    <s v="Thursday"/>
    <n v="18"/>
    <x v="2"/>
    <x v="0"/>
    <x v="8"/>
    <x v="5"/>
    <n v="746.9"/>
    <n v="1"/>
    <n v="0"/>
    <n v="746.9"/>
    <x v="1"/>
    <s v="Mobile"/>
    <n v="13"/>
    <n v="6"/>
    <b v="1"/>
    <n v="8"/>
    <n v="5"/>
  </r>
  <r>
    <s v="ORD_004551"/>
    <s v="CUST_04551"/>
    <d v="2023-01-05T00:00:00"/>
    <s v="Thursday"/>
    <n v="51"/>
    <x v="1"/>
    <x v="1"/>
    <x v="6"/>
    <x v="5"/>
    <n v="129.16"/>
    <n v="1"/>
    <n v="14.33"/>
    <n v="114.83"/>
    <x v="1"/>
    <s v="Desktop"/>
    <n v="2"/>
    <n v="8"/>
    <b v="1"/>
    <n v="6"/>
    <n v="5"/>
  </r>
  <r>
    <s v="ORD_004850"/>
    <s v="CUST_04850"/>
    <d v="2023-01-05T00:00:00"/>
    <s v="Thursday"/>
    <n v="40"/>
    <x v="0"/>
    <x v="2"/>
    <x v="6"/>
    <x v="7"/>
    <n v="21.87"/>
    <n v="2"/>
    <n v="0"/>
    <n v="43.74"/>
    <x v="1"/>
    <s v="Mobile"/>
    <n v="16"/>
    <n v="4"/>
    <b v="0"/>
    <n v="8"/>
    <n v="4"/>
  </r>
  <r>
    <s v="ORD_000450"/>
    <s v="CUST_00450"/>
    <d v="2023-01-05T00:00:00"/>
    <s v="Thursday"/>
    <n v="22"/>
    <x v="2"/>
    <x v="0"/>
    <x v="1"/>
    <x v="7"/>
    <n v="77.599999999999994"/>
    <n v="1"/>
    <n v="10.69"/>
    <n v="66.91"/>
    <x v="2"/>
    <s v="Mobile"/>
    <n v="9"/>
    <n v="10"/>
    <b v="1"/>
    <n v="1"/>
    <n v="4"/>
  </r>
  <r>
    <s v="ORD_003803"/>
    <s v="CUST_03803"/>
    <d v="2023-01-05T00:00:00"/>
    <s v="Thursday"/>
    <n v="20"/>
    <x v="2"/>
    <x v="0"/>
    <x v="2"/>
    <x v="2"/>
    <n v="1624.97"/>
    <n v="1"/>
    <n v="0"/>
    <n v="1624.97"/>
    <x v="1"/>
    <s v="Desktop"/>
    <n v="12"/>
    <n v="7"/>
    <b v="0"/>
    <n v="5"/>
    <n v="4"/>
  </r>
  <r>
    <s v="ORD_004585"/>
    <s v="CUST_04585"/>
    <d v="2023-01-05T00:00:00"/>
    <s v="Thursday"/>
    <n v="32"/>
    <x v="0"/>
    <x v="0"/>
    <x v="1"/>
    <x v="4"/>
    <n v="101.55"/>
    <n v="2"/>
    <n v="0"/>
    <n v="203.1"/>
    <x v="0"/>
    <s v="Mobile"/>
    <n v="3"/>
    <n v="6"/>
    <b v="1"/>
    <n v="6"/>
    <n v="3"/>
  </r>
  <r>
    <s v="ORD_003246"/>
    <s v="CUST_03246"/>
    <d v="2023-01-05T00:00:00"/>
    <s v="Thursday"/>
    <n v="44"/>
    <x v="0"/>
    <x v="0"/>
    <x v="3"/>
    <x v="6"/>
    <n v="530.65"/>
    <n v="1"/>
    <n v="0"/>
    <n v="530.65"/>
    <x v="1"/>
    <s v="Mobile"/>
    <n v="25"/>
    <n v="7"/>
    <b v="1"/>
    <n v="11"/>
    <n v="4"/>
  </r>
  <r>
    <s v="ORD_004291"/>
    <s v="CUST_04291"/>
    <d v="2023-01-05T00:00:00"/>
    <s v="Thursday"/>
    <n v="41"/>
    <x v="0"/>
    <x v="0"/>
    <x v="0"/>
    <x v="6"/>
    <n v="182.14"/>
    <n v="1"/>
    <n v="32.659999999999997"/>
    <n v="149.47999999999999"/>
    <x v="0"/>
    <s v="Desktop"/>
    <n v="12"/>
    <n v="4"/>
    <b v="0"/>
    <n v="2"/>
    <n v="5"/>
  </r>
  <r>
    <s v="ORD_004550"/>
    <s v="CUST_04550"/>
    <d v="2023-01-05T00:00:00"/>
    <s v="Thursday"/>
    <n v="32"/>
    <x v="0"/>
    <x v="0"/>
    <x v="3"/>
    <x v="6"/>
    <n v="153.87"/>
    <n v="4"/>
    <n v="0"/>
    <n v="615.48"/>
    <x v="1"/>
    <s v="Desktop"/>
    <n v="7"/>
    <n v="11"/>
    <b v="1"/>
    <n v="8"/>
    <n v="4"/>
  </r>
  <r>
    <s v="ORD_004883"/>
    <s v="CUST_04883"/>
    <d v="2023-01-05T00:00:00"/>
    <s v="Thursday"/>
    <n v="24"/>
    <x v="2"/>
    <x v="1"/>
    <x v="5"/>
    <x v="1"/>
    <n v="103.15"/>
    <n v="4"/>
    <n v="0"/>
    <n v="412.6"/>
    <x v="3"/>
    <s v="Mobile"/>
    <n v="13"/>
    <n v="13"/>
    <b v="1"/>
    <n v="8"/>
    <n v="5"/>
  </r>
  <r>
    <s v="ORD_000182"/>
    <s v="CUST_00182"/>
    <d v="2023-01-06T00:00:00"/>
    <s v="Friday"/>
    <n v="24"/>
    <x v="2"/>
    <x v="0"/>
    <x v="3"/>
    <x v="2"/>
    <n v="164.61"/>
    <n v="1"/>
    <n v="28.42"/>
    <n v="136.19"/>
    <x v="1"/>
    <s v="Mobile"/>
    <n v="15"/>
    <n v="12"/>
    <b v="1"/>
    <n v="7"/>
    <n v="4"/>
  </r>
  <r>
    <s v="ORD_004113"/>
    <s v="CUST_04113"/>
    <d v="2023-01-06T00:00:00"/>
    <s v="Friday"/>
    <n v="53"/>
    <x v="1"/>
    <x v="1"/>
    <x v="4"/>
    <x v="3"/>
    <n v="326.33"/>
    <n v="1"/>
    <n v="0"/>
    <n v="326.33"/>
    <x v="4"/>
    <s v="Mobile"/>
    <n v="20"/>
    <n v="7"/>
    <b v="0"/>
    <n v="3"/>
    <n v="4"/>
  </r>
  <r>
    <s v="ORD_004744"/>
    <s v="CUST_04744"/>
    <d v="2023-01-06T00:00:00"/>
    <s v="Friday"/>
    <n v="39"/>
    <x v="0"/>
    <x v="0"/>
    <x v="3"/>
    <x v="7"/>
    <n v="44.85"/>
    <n v="1"/>
    <n v="0"/>
    <n v="44.85"/>
    <x v="1"/>
    <s v="Mobile"/>
    <n v="20"/>
    <n v="12"/>
    <b v="1"/>
    <n v="3"/>
    <n v="5"/>
  </r>
  <r>
    <s v="ORD_001054"/>
    <s v="CUST_01054"/>
    <d v="2023-01-06T00:00:00"/>
    <s v="Friday"/>
    <n v="38"/>
    <x v="0"/>
    <x v="1"/>
    <x v="2"/>
    <x v="4"/>
    <n v="51.32"/>
    <n v="1"/>
    <n v="0"/>
    <n v="51.32"/>
    <x v="1"/>
    <s v="Tablet"/>
    <n v="7"/>
    <n v="9"/>
    <b v="1"/>
    <n v="9"/>
    <n v="5"/>
  </r>
  <r>
    <s v="ORD_003313"/>
    <s v="CUST_03313"/>
    <d v="2023-01-06T00:00:00"/>
    <s v="Friday"/>
    <n v="60"/>
    <x v="1"/>
    <x v="0"/>
    <x v="8"/>
    <x v="6"/>
    <n v="533.72"/>
    <n v="5"/>
    <n v="0"/>
    <n v="2668.6"/>
    <x v="1"/>
    <s v="Desktop"/>
    <n v="7"/>
    <n v="14"/>
    <b v="0"/>
    <n v="4"/>
    <n v="4"/>
  </r>
  <r>
    <s v="ORD_003948"/>
    <s v="CUST_03948"/>
    <d v="2023-01-07T00:00:00"/>
    <s v="Saturday"/>
    <n v="40"/>
    <x v="0"/>
    <x v="0"/>
    <x v="4"/>
    <x v="5"/>
    <n v="216.82"/>
    <n v="2"/>
    <n v="0"/>
    <n v="433.64"/>
    <x v="0"/>
    <s v="Mobile"/>
    <n v="30"/>
    <n v="10"/>
    <b v="1"/>
    <n v="3"/>
    <n v="3"/>
  </r>
  <r>
    <s v="ORD_000991"/>
    <s v="CUST_00991"/>
    <d v="2023-01-07T00:00:00"/>
    <s v="Saturday"/>
    <n v="37"/>
    <x v="0"/>
    <x v="1"/>
    <x v="8"/>
    <x v="3"/>
    <n v="117.12"/>
    <n v="2"/>
    <n v="31.05"/>
    <n v="203.19"/>
    <x v="2"/>
    <s v="Mobile"/>
    <n v="14"/>
    <n v="11"/>
    <b v="1"/>
    <n v="7"/>
    <n v="4"/>
  </r>
  <r>
    <s v="ORD_004801"/>
    <s v="CUST_04801"/>
    <d v="2023-01-07T00:00:00"/>
    <s v="Saturday"/>
    <n v="41"/>
    <x v="0"/>
    <x v="1"/>
    <x v="4"/>
    <x v="6"/>
    <n v="1016.3"/>
    <n v="2"/>
    <n v="0"/>
    <n v="2032.6"/>
    <x v="1"/>
    <s v="Mobile"/>
    <n v="22"/>
    <n v="10"/>
    <b v="1"/>
    <n v="6"/>
    <n v="3"/>
  </r>
  <r>
    <s v="ORD_001144"/>
    <s v="CUST_01144"/>
    <d v="2023-01-07T00:00:00"/>
    <s v="Saturday"/>
    <n v="36"/>
    <x v="0"/>
    <x v="1"/>
    <x v="3"/>
    <x v="7"/>
    <n v="109.93"/>
    <n v="1"/>
    <n v="0"/>
    <n v="109.93"/>
    <x v="4"/>
    <s v="Mobile"/>
    <n v="48"/>
    <n v="10"/>
    <b v="1"/>
    <n v="6"/>
    <n v="5"/>
  </r>
  <r>
    <s v="ORD_004740"/>
    <s v="CUST_04740"/>
    <d v="2023-01-07T00:00:00"/>
    <s v="Saturday"/>
    <n v="43"/>
    <x v="0"/>
    <x v="0"/>
    <x v="3"/>
    <x v="6"/>
    <n v="1228.33"/>
    <n v="2"/>
    <n v="0"/>
    <n v="2456.66"/>
    <x v="4"/>
    <s v="Desktop"/>
    <n v="6"/>
    <n v="8"/>
    <b v="1"/>
    <n v="11"/>
    <n v="1"/>
  </r>
  <r>
    <s v="ORD_004656"/>
    <s v="CUST_04656"/>
    <d v="2023-01-07T00:00:00"/>
    <s v="Saturday"/>
    <n v="60"/>
    <x v="1"/>
    <x v="0"/>
    <x v="2"/>
    <x v="2"/>
    <n v="674.39"/>
    <n v="2"/>
    <n v="100.41"/>
    <n v="1248.3699999999999"/>
    <x v="3"/>
    <s v="Mobile"/>
    <n v="12"/>
    <n v="10"/>
    <b v="0"/>
    <n v="11"/>
    <n v="3"/>
  </r>
  <r>
    <s v="ORD_003748"/>
    <s v="CUST_03748"/>
    <d v="2023-01-07T00:00:00"/>
    <s v="Saturday"/>
    <n v="37"/>
    <x v="0"/>
    <x v="0"/>
    <x v="3"/>
    <x v="3"/>
    <n v="118.37"/>
    <n v="2"/>
    <n v="0"/>
    <n v="236.74"/>
    <x v="1"/>
    <s v="Mobile"/>
    <n v="12"/>
    <n v="9"/>
    <b v="1"/>
    <n v="2"/>
    <n v="2"/>
  </r>
  <r>
    <s v="ORD_003622"/>
    <s v="CUST_03622"/>
    <d v="2023-01-08T00:00:00"/>
    <s v="Sunday"/>
    <n v="39"/>
    <x v="0"/>
    <x v="0"/>
    <x v="8"/>
    <x v="1"/>
    <n v="145.58000000000001"/>
    <n v="1"/>
    <n v="25.45"/>
    <n v="120.13"/>
    <x v="0"/>
    <s v="Desktop"/>
    <n v="14"/>
    <n v="9"/>
    <b v="0"/>
    <n v="3"/>
    <n v="4"/>
  </r>
  <r>
    <s v="ORD_001373"/>
    <s v="CUST_01373"/>
    <d v="2023-01-08T00:00:00"/>
    <s v="Sunday"/>
    <n v="18"/>
    <x v="2"/>
    <x v="0"/>
    <x v="4"/>
    <x v="5"/>
    <n v="53.25"/>
    <n v="1"/>
    <n v="2.71"/>
    <n v="50.54"/>
    <x v="1"/>
    <s v="Mobile"/>
    <n v="16"/>
    <n v="14"/>
    <b v="1"/>
    <n v="11"/>
    <n v="5"/>
  </r>
  <r>
    <s v="ORD_004676"/>
    <s v="CUST_04676"/>
    <d v="2023-01-08T00:00:00"/>
    <s v="Sunday"/>
    <n v="23"/>
    <x v="2"/>
    <x v="0"/>
    <x v="2"/>
    <x v="4"/>
    <n v="74.510000000000005"/>
    <n v="3"/>
    <n v="0"/>
    <n v="223.53"/>
    <x v="2"/>
    <s v="Desktop"/>
    <n v="25"/>
    <n v="14"/>
    <b v="1"/>
    <n v="5"/>
    <n v="4"/>
  </r>
  <r>
    <s v="ORD_001127"/>
    <s v="CUST_01127"/>
    <d v="2023-01-08T00:00:00"/>
    <s v="Sunday"/>
    <n v="38"/>
    <x v="0"/>
    <x v="0"/>
    <x v="5"/>
    <x v="3"/>
    <n v="536.13"/>
    <n v="1"/>
    <n v="0"/>
    <n v="536.13"/>
    <x v="1"/>
    <s v="Desktop"/>
    <n v="12"/>
    <n v="9"/>
    <b v="0"/>
    <n v="5"/>
    <n v="4"/>
  </r>
  <r>
    <s v="ORD_003274"/>
    <s v="CUST_03274"/>
    <d v="2023-01-08T00:00:00"/>
    <s v="Sunday"/>
    <n v="43"/>
    <x v="0"/>
    <x v="0"/>
    <x v="9"/>
    <x v="2"/>
    <n v="484.14"/>
    <n v="2"/>
    <n v="0"/>
    <n v="968.28"/>
    <x v="0"/>
    <s v="Mobile"/>
    <n v="14"/>
    <n v="4"/>
    <b v="0"/>
    <n v="3"/>
    <n v="5"/>
  </r>
  <r>
    <s v="ORD_001822"/>
    <s v="CUST_01822"/>
    <d v="2023-01-08T00:00:00"/>
    <s v="Sunday"/>
    <n v="35"/>
    <x v="0"/>
    <x v="1"/>
    <x v="3"/>
    <x v="0"/>
    <n v="154.13999999999999"/>
    <n v="2"/>
    <n v="0"/>
    <n v="308.27999999999997"/>
    <x v="0"/>
    <s v="Tablet"/>
    <n v="12"/>
    <n v="12"/>
    <b v="0"/>
    <n v="10"/>
    <n v="3"/>
  </r>
  <r>
    <s v="ORD_000359"/>
    <s v="CUST_00359"/>
    <d v="2023-01-08T00:00:00"/>
    <s v="Sunday"/>
    <n v="38"/>
    <x v="0"/>
    <x v="0"/>
    <x v="2"/>
    <x v="4"/>
    <n v="94.59"/>
    <n v="3"/>
    <n v="0"/>
    <n v="283.77"/>
    <x v="2"/>
    <s v="Mobile"/>
    <n v="24"/>
    <n v="13"/>
    <b v="1"/>
    <n v="2"/>
    <n v="4"/>
  </r>
  <r>
    <s v="ORD_001477"/>
    <s v="CUST_01477"/>
    <d v="2023-01-08T00:00:00"/>
    <s v="Sunday"/>
    <n v="33"/>
    <x v="0"/>
    <x v="1"/>
    <x v="2"/>
    <x v="7"/>
    <n v="71.42"/>
    <n v="3"/>
    <n v="0"/>
    <n v="214.26"/>
    <x v="2"/>
    <s v="Tablet"/>
    <n v="8"/>
    <n v="11"/>
    <b v="1"/>
    <n v="3"/>
    <n v="5"/>
  </r>
  <r>
    <s v="ORD_001690"/>
    <s v="CUST_01690"/>
    <d v="2023-01-08T00:00:00"/>
    <s v="Sunday"/>
    <n v="31"/>
    <x v="0"/>
    <x v="1"/>
    <x v="3"/>
    <x v="6"/>
    <n v="246.03"/>
    <n v="4"/>
    <n v="0"/>
    <n v="984.12"/>
    <x v="4"/>
    <s v="Desktop"/>
    <n v="13"/>
    <n v="9"/>
    <b v="0"/>
    <n v="11"/>
    <n v="4"/>
  </r>
  <r>
    <s v="ORD_003755"/>
    <s v="CUST_03755"/>
    <d v="2023-01-09T00:00:00"/>
    <s v="Monday"/>
    <n v="26"/>
    <x v="0"/>
    <x v="1"/>
    <x v="3"/>
    <x v="4"/>
    <n v="41.21"/>
    <n v="1"/>
    <n v="0"/>
    <n v="41.21"/>
    <x v="1"/>
    <s v="Desktop"/>
    <n v="5"/>
    <n v="10"/>
    <b v="1"/>
    <n v="4"/>
    <n v="3"/>
  </r>
  <r>
    <s v="ORD_003743"/>
    <s v="CUST_03743"/>
    <d v="2023-01-09T00:00:00"/>
    <s v="Monday"/>
    <n v="38"/>
    <x v="0"/>
    <x v="1"/>
    <x v="3"/>
    <x v="3"/>
    <n v="371.2"/>
    <n v="5"/>
    <n v="0"/>
    <n v="1856"/>
    <x v="3"/>
    <s v="Mobile"/>
    <n v="18"/>
    <n v="8"/>
    <b v="1"/>
    <n v="4"/>
    <n v="5"/>
  </r>
  <r>
    <s v="ORD_004501"/>
    <s v="CUST_04501"/>
    <d v="2023-01-09T00:00:00"/>
    <s v="Monday"/>
    <n v="23"/>
    <x v="2"/>
    <x v="0"/>
    <x v="1"/>
    <x v="3"/>
    <n v="402.95"/>
    <n v="3"/>
    <n v="0"/>
    <n v="1208.8499999999999"/>
    <x v="1"/>
    <s v="Mobile"/>
    <n v="14"/>
    <n v="9"/>
    <b v="1"/>
    <n v="4"/>
    <n v="4"/>
  </r>
  <r>
    <s v="ORD_002535"/>
    <s v="CUST_02535"/>
    <d v="2023-01-09T00:00:00"/>
    <s v="Monday"/>
    <n v="29"/>
    <x v="0"/>
    <x v="0"/>
    <x v="8"/>
    <x v="5"/>
    <n v="370.25"/>
    <n v="1"/>
    <n v="0"/>
    <n v="370.25"/>
    <x v="3"/>
    <s v="Mobile"/>
    <n v="18"/>
    <n v="9"/>
    <b v="1"/>
    <n v="8"/>
    <n v="5"/>
  </r>
  <r>
    <s v="ORD_003836"/>
    <s v="CUST_03836"/>
    <d v="2023-01-09T00:00:00"/>
    <s v="Monday"/>
    <n v="30"/>
    <x v="0"/>
    <x v="1"/>
    <x v="3"/>
    <x v="5"/>
    <n v="165.99"/>
    <n v="2"/>
    <n v="21.55"/>
    <n v="310.43"/>
    <x v="4"/>
    <s v="Mobile"/>
    <n v="5"/>
    <n v="12"/>
    <b v="0"/>
    <n v="6"/>
    <n v="3"/>
  </r>
  <r>
    <s v="ORD_003039"/>
    <s v="CUST_03039"/>
    <d v="2023-01-09T00:00:00"/>
    <s v="Monday"/>
    <n v="23"/>
    <x v="2"/>
    <x v="1"/>
    <x v="7"/>
    <x v="1"/>
    <n v="23.55"/>
    <n v="2"/>
    <n v="2.11"/>
    <n v="44.99"/>
    <x v="1"/>
    <s v="Mobile"/>
    <n v="27"/>
    <n v="8"/>
    <b v="0"/>
    <n v="3"/>
    <n v="3"/>
  </r>
  <r>
    <s v="ORD_002497"/>
    <s v="CUST_02497"/>
    <d v="2023-01-09T00:00:00"/>
    <s v="Monday"/>
    <n v="31"/>
    <x v="0"/>
    <x v="0"/>
    <x v="6"/>
    <x v="4"/>
    <n v="105.69"/>
    <n v="1"/>
    <n v="14"/>
    <n v="91.69"/>
    <x v="4"/>
    <s v="Desktop"/>
    <n v="7"/>
    <n v="7"/>
    <b v="1"/>
    <n v="8"/>
    <n v="4"/>
  </r>
  <r>
    <s v="ORD_003749"/>
    <s v="CUST_03749"/>
    <d v="2023-01-09T00:00:00"/>
    <s v="Monday"/>
    <n v="52"/>
    <x v="1"/>
    <x v="1"/>
    <x v="3"/>
    <x v="2"/>
    <n v="476.38"/>
    <n v="1"/>
    <n v="68.97"/>
    <n v="407.41"/>
    <x v="3"/>
    <s v="Desktop"/>
    <n v="6"/>
    <n v="11"/>
    <b v="0"/>
    <n v="2"/>
    <n v="5"/>
  </r>
  <r>
    <s v="ORD_004673"/>
    <s v="CUST_04673"/>
    <d v="2023-01-09T00:00:00"/>
    <s v="Monday"/>
    <n v="40"/>
    <x v="0"/>
    <x v="0"/>
    <x v="0"/>
    <x v="3"/>
    <n v="476.23"/>
    <n v="3"/>
    <n v="0"/>
    <n v="1428.69"/>
    <x v="1"/>
    <s v="Desktop"/>
    <n v="33"/>
    <n v="10"/>
    <b v="0"/>
    <n v="6"/>
    <n v="5"/>
  </r>
  <r>
    <s v="ORD_001072"/>
    <s v="CUST_01072"/>
    <d v="2023-01-09T00:00:00"/>
    <s v="Monday"/>
    <n v="40"/>
    <x v="0"/>
    <x v="0"/>
    <x v="3"/>
    <x v="3"/>
    <n v="450.42"/>
    <n v="2"/>
    <n v="0"/>
    <n v="900.84"/>
    <x v="3"/>
    <s v="Mobile"/>
    <n v="24"/>
    <n v="9"/>
    <b v="0"/>
    <n v="4"/>
    <n v="5"/>
  </r>
  <r>
    <s v="ORD_003669"/>
    <s v="CUST_03669"/>
    <d v="2023-01-09T00:00:00"/>
    <s v="Monday"/>
    <n v="33"/>
    <x v="0"/>
    <x v="1"/>
    <x v="3"/>
    <x v="1"/>
    <n v="32.92"/>
    <n v="1"/>
    <n v="0"/>
    <n v="32.92"/>
    <x v="1"/>
    <s v="Tablet"/>
    <n v="2"/>
    <n v="10"/>
    <b v="0"/>
    <n v="9"/>
    <n v="5"/>
  </r>
  <r>
    <s v="ORD_001829"/>
    <s v="CUST_01829"/>
    <d v="2023-01-09T00:00:00"/>
    <s v="Monday"/>
    <n v="33"/>
    <x v="0"/>
    <x v="1"/>
    <x v="2"/>
    <x v="0"/>
    <n v="131.77000000000001"/>
    <n v="2"/>
    <n v="26.14"/>
    <n v="237.4"/>
    <x v="1"/>
    <s v="Mobile"/>
    <n v="13"/>
    <n v="10"/>
    <b v="1"/>
    <n v="1"/>
    <n v="5"/>
  </r>
  <r>
    <s v="ORD_003491"/>
    <s v="CUST_03491"/>
    <d v="2023-01-09T00:00:00"/>
    <s v="Monday"/>
    <n v="31"/>
    <x v="0"/>
    <x v="1"/>
    <x v="4"/>
    <x v="3"/>
    <n v="105.36"/>
    <n v="5"/>
    <n v="0"/>
    <n v="526.79999999999995"/>
    <x v="0"/>
    <s v="Mobile"/>
    <n v="19"/>
    <n v="12"/>
    <b v="1"/>
    <n v="4"/>
    <n v="2"/>
  </r>
  <r>
    <s v="ORD_003083"/>
    <s v="CUST_03083"/>
    <d v="2023-01-10T00:00:00"/>
    <s v="Tuesday"/>
    <n v="18"/>
    <x v="2"/>
    <x v="0"/>
    <x v="5"/>
    <x v="2"/>
    <n v="1652.27"/>
    <n v="1"/>
    <n v="317.69"/>
    <n v="1334.58"/>
    <x v="3"/>
    <s v="Desktop"/>
    <n v="15"/>
    <n v="5"/>
    <b v="1"/>
    <n v="11"/>
    <n v="4"/>
  </r>
  <r>
    <s v="ORD_000227"/>
    <s v="CUST_00227"/>
    <d v="2023-01-10T00:00:00"/>
    <s v="Tuesday"/>
    <n v="35"/>
    <x v="0"/>
    <x v="1"/>
    <x v="1"/>
    <x v="1"/>
    <n v="78.19"/>
    <n v="1"/>
    <n v="0"/>
    <n v="78.19"/>
    <x v="3"/>
    <s v="Mobile"/>
    <n v="12"/>
    <n v="12"/>
    <b v="1"/>
    <n v="3"/>
    <n v="5"/>
  </r>
  <r>
    <s v="ORD_002321"/>
    <s v="CUST_02321"/>
    <d v="2023-01-10T00:00:00"/>
    <s v="Tuesday"/>
    <n v="40"/>
    <x v="0"/>
    <x v="0"/>
    <x v="2"/>
    <x v="0"/>
    <n v="103.02"/>
    <n v="1"/>
    <n v="0"/>
    <n v="103.02"/>
    <x v="0"/>
    <s v="Mobile"/>
    <n v="29"/>
    <n v="5"/>
    <b v="1"/>
    <n v="7"/>
    <n v="5"/>
  </r>
  <r>
    <s v="ORD_002468"/>
    <s v="CUST_02468"/>
    <d v="2023-01-10T00:00:00"/>
    <s v="Tuesday"/>
    <n v="35"/>
    <x v="0"/>
    <x v="2"/>
    <x v="4"/>
    <x v="3"/>
    <n v="480.97"/>
    <n v="1"/>
    <n v="0"/>
    <n v="480.97"/>
    <x v="3"/>
    <s v="Desktop"/>
    <n v="16"/>
    <n v="5"/>
    <b v="1"/>
    <n v="5"/>
    <n v="4"/>
  </r>
  <r>
    <s v="ORD_002102"/>
    <s v="CUST_02102"/>
    <d v="2023-01-10T00:00:00"/>
    <s v="Tuesday"/>
    <n v="24"/>
    <x v="2"/>
    <x v="1"/>
    <x v="9"/>
    <x v="3"/>
    <n v="428.98"/>
    <n v="1"/>
    <n v="0"/>
    <n v="428.98"/>
    <x v="1"/>
    <s v="Mobile"/>
    <n v="20"/>
    <n v="6"/>
    <b v="0"/>
    <n v="4"/>
    <n v="3"/>
  </r>
  <r>
    <s v="ORD_000912"/>
    <s v="CUST_00912"/>
    <d v="2023-01-10T00:00:00"/>
    <s v="Tuesday"/>
    <n v="37"/>
    <x v="0"/>
    <x v="0"/>
    <x v="3"/>
    <x v="1"/>
    <n v="86.39"/>
    <n v="3"/>
    <n v="6.36"/>
    <n v="252.81"/>
    <x v="1"/>
    <s v="Mobile"/>
    <n v="24"/>
    <n v="10"/>
    <b v="1"/>
    <n v="8"/>
    <n v="5"/>
  </r>
  <r>
    <s v="ORD_001284"/>
    <s v="CUST_01284"/>
    <d v="2023-01-11T00:00:00"/>
    <s v="Wednesday"/>
    <n v="46"/>
    <x v="1"/>
    <x v="1"/>
    <x v="6"/>
    <x v="4"/>
    <n v="54.43"/>
    <n v="3"/>
    <n v="5.89"/>
    <n v="157.4"/>
    <x v="1"/>
    <s v="Tablet"/>
    <n v="7"/>
    <n v="6"/>
    <b v="1"/>
    <n v="3"/>
    <n v="3"/>
  </r>
  <r>
    <s v="ORD_000839"/>
    <s v="CUST_00839"/>
    <d v="2023-01-11T00:00:00"/>
    <s v="Wednesday"/>
    <n v="46"/>
    <x v="1"/>
    <x v="1"/>
    <x v="6"/>
    <x v="0"/>
    <n v="275.70999999999998"/>
    <n v="1"/>
    <n v="64.61"/>
    <n v="211.1"/>
    <x v="1"/>
    <s v="Desktop"/>
    <n v="16"/>
    <n v="11"/>
    <b v="1"/>
    <n v="7"/>
    <n v="4"/>
  </r>
  <r>
    <s v="ORD_002117"/>
    <s v="CUST_02117"/>
    <d v="2023-01-11T00:00:00"/>
    <s v="Wednesday"/>
    <n v="32"/>
    <x v="0"/>
    <x v="0"/>
    <x v="1"/>
    <x v="7"/>
    <n v="53.31"/>
    <n v="1"/>
    <n v="9.0399999999999991"/>
    <n v="44.27"/>
    <x v="0"/>
    <s v="Desktop"/>
    <n v="13"/>
    <n v="8"/>
    <b v="1"/>
    <n v="7"/>
    <n v="5"/>
  </r>
  <r>
    <s v="ORD_002525"/>
    <s v="CUST_02525"/>
    <d v="2023-01-11T00:00:00"/>
    <s v="Wednesday"/>
    <n v="46"/>
    <x v="1"/>
    <x v="0"/>
    <x v="2"/>
    <x v="4"/>
    <n v="97.74"/>
    <n v="1"/>
    <n v="0"/>
    <n v="97.74"/>
    <x v="1"/>
    <s v="Desktop"/>
    <n v="20"/>
    <n v="7"/>
    <b v="1"/>
    <n v="8"/>
    <n v="5"/>
  </r>
  <r>
    <s v="ORD_000279"/>
    <s v="CUST_00279"/>
    <d v="2023-01-11T00:00:00"/>
    <s v="Wednesday"/>
    <n v="35"/>
    <x v="0"/>
    <x v="1"/>
    <x v="3"/>
    <x v="3"/>
    <n v="1148.1099999999999"/>
    <n v="1"/>
    <n v="0"/>
    <n v="1148.1099999999999"/>
    <x v="3"/>
    <s v="Mobile"/>
    <n v="26"/>
    <n v="9"/>
    <b v="0"/>
    <n v="12"/>
    <n v="5"/>
  </r>
  <r>
    <s v="ORD_001784"/>
    <s v="CUST_01784"/>
    <d v="2023-01-11T00:00:00"/>
    <s v="Wednesday"/>
    <n v="44"/>
    <x v="0"/>
    <x v="0"/>
    <x v="3"/>
    <x v="0"/>
    <n v="160.44999999999999"/>
    <n v="3"/>
    <n v="12.05"/>
    <n v="469.3"/>
    <x v="3"/>
    <s v="Mobile"/>
    <n v="10"/>
    <n v="6"/>
    <b v="1"/>
    <n v="4"/>
    <n v="4"/>
  </r>
  <r>
    <s v="ORD_000928"/>
    <s v="CUST_00928"/>
    <d v="2023-01-11T00:00:00"/>
    <s v="Wednesday"/>
    <n v="39"/>
    <x v="0"/>
    <x v="1"/>
    <x v="3"/>
    <x v="4"/>
    <n v="41.11"/>
    <n v="1"/>
    <n v="0"/>
    <n v="41.11"/>
    <x v="1"/>
    <s v="Desktop"/>
    <n v="15"/>
    <n v="12"/>
    <b v="1"/>
    <n v="15"/>
    <n v="4"/>
  </r>
  <r>
    <s v="ORD_001597"/>
    <s v="CUST_01597"/>
    <d v="2023-01-12T00:00:00"/>
    <s v="Thursday"/>
    <n v="42"/>
    <x v="0"/>
    <x v="0"/>
    <x v="0"/>
    <x v="0"/>
    <n v="185.71"/>
    <n v="4"/>
    <n v="54.51"/>
    <n v="688.33"/>
    <x v="3"/>
    <s v="Mobile"/>
    <n v="17"/>
    <n v="9"/>
    <b v="0"/>
    <n v="3"/>
    <n v="5"/>
  </r>
  <r>
    <s v="ORD_003464"/>
    <s v="CUST_03464"/>
    <d v="2023-01-12T00:00:00"/>
    <s v="Thursday"/>
    <n v="47"/>
    <x v="1"/>
    <x v="0"/>
    <x v="9"/>
    <x v="0"/>
    <n v="434.12"/>
    <n v="1"/>
    <n v="0"/>
    <n v="434.12"/>
    <x v="1"/>
    <s v="Desktop"/>
    <n v="26"/>
    <n v="11"/>
    <b v="0"/>
    <n v="9"/>
    <n v="4"/>
  </r>
  <r>
    <s v="ORD_004168"/>
    <s v="CUST_04168"/>
    <d v="2023-01-12T00:00:00"/>
    <s v="Thursday"/>
    <n v="32"/>
    <x v="0"/>
    <x v="1"/>
    <x v="7"/>
    <x v="2"/>
    <n v="1860.25"/>
    <n v="1"/>
    <n v="119.5"/>
    <n v="1740.75"/>
    <x v="1"/>
    <s v="Mobile"/>
    <n v="22"/>
    <n v="7"/>
    <b v="0"/>
    <n v="6"/>
    <n v="4"/>
  </r>
  <r>
    <s v="ORD_002937"/>
    <s v="CUST_02937"/>
    <d v="2023-01-12T00:00:00"/>
    <s v="Thursday"/>
    <n v="27"/>
    <x v="0"/>
    <x v="0"/>
    <x v="3"/>
    <x v="5"/>
    <n v="673.1"/>
    <n v="2"/>
    <n v="143.61000000000001"/>
    <n v="1202.5899999999999"/>
    <x v="4"/>
    <s v="Mobile"/>
    <n v="16"/>
    <n v="11"/>
    <b v="0"/>
    <n v="5"/>
    <n v="2"/>
  </r>
  <r>
    <s v="ORD_003409"/>
    <s v="CUST_03409"/>
    <d v="2023-01-12T00:00:00"/>
    <s v="Thursday"/>
    <n v="32"/>
    <x v="0"/>
    <x v="1"/>
    <x v="3"/>
    <x v="2"/>
    <n v="785.15"/>
    <n v="1"/>
    <n v="66.97"/>
    <n v="718.18"/>
    <x v="1"/>
    <s v="Mobile"/>
    <n v="20"/>
    <n v="13"/>
    <b v="0"/>
    <n v="8"/>
    <n v="5"/>
  </r>
  <r>
    <s v="ORD_000729"/>
    <s v="CUST_00729"/>
    <d v="2023-01-13T00:00:00"/>
    <s v="Friday"/>
    <n v="28"/>
    <x v="0"/>
    <x v="1"/>
    <x v="7"/>
    <x v="4"/>
    <n v="82.07"/>
    <n v="2"/>
    <n v="0"/>
    <n v="164.14"/>
    <x v="3"/>
    <s v="Mobile"/>
    <n v="8"/>
    <n v="10"/>
    <b v="0"/>
    <n v="4"/>
    <n v="2"/>
  </r>
  <r>
    <s v="ORD_004875"/>
    <s v="CUST_04875"/>
    <d v="2023-01-13T00:00:00"/>
    <s v="Friday"/>
    <n v="27"/>
    <x v="0"/>
    <x v="1"/>
    <x v="5"/>
    <x v="3"/>
    <n v="581.30999999999995"/>
    <n v="3"/>
    <n v="158.19"/>
    <n v="1585.74"/>
    <x v="4"/>
    <s v="Mobile"/>
    <n v="21"/>
    <n v="7"/>
    <b v="1"/>
    <n v="9"/>
    <n v="3"/>
  </r>
  <r>
    <s v="ORD_001709"/>
    <s v="CUST_01709"/>
    <d v="2023-01-13T00:00:00"/>
    <s v="Friday"/>
    <n v="33"/>
    <x v="0"/>
    <x v="1"/>
    <x v="4"/>
    <x v="1"/>
    <n v="86.32"/>
    <n v="1"/>
    <n v="0"/>
    <n v="86.32"/>
    <x v="0"/>
    <s v="Desktop"/>
    <n v="10"/>
    <n v="7"/>
    <b v="1"/>
    <n v="3"/>
    <n v="5"/>
  </r>
  <r>
    <s v="ORD_004136"/>
    <s v="CUST_04136"/>
    <d v="2023-01-13T00:00:00"/>
    <s v="Friday"/>
    <n v="30"/>
    <x v="0"/>
    <x v="0"/>
    <x v="9"/>
    <x v="6"/>
    <n v="549.57000000000005"/>
    <n v="1"/>
    <n v="70.349999999999994"/>
    <n v="479.22"/>
    <x v="3"/>
    <s v="Mobile"/>
    <n v="14"/>
    <n v="10"/>
    <b v="1"/>
    <n v="8"/>
    <n v="4"/>
  </r>
  <r>
    <s v="ORD_000568"/>
    <s v="CUST_00568"/>
    <d v="2023-01-13T00:00:00"/>
    <s v="Friday"/>
    <n v="22"/>
    <x v="2"/>
    <x v="0"/>
    <x v="4"/>
    <x v="2"/>
    <n v="2111.5700000000002"/>
    <n v="3"/>
    <n v="0"/>
    <n v="6334.71"/>
    <x v="4"/>
    <s v="Tablet"/>
    <n v="6"/>
    <n v="7"/>
    <b v="0"/>
    <n v="3"/>
    <n v="2"/>
  </r>
  <r>
    <s v="ORD_000601"/>
    <s v="CUST_00601"/>
    <d v="2023-01-13T00:00:00"/>
    <s v="Friday"/>
    <n v="44"/>
    <x v="0"/>
    <x v="1"/>
    <x v="8"/>
    <x v="2"/>
    <n v="952.19"/>
    <n v="1"/>
    <n v="0"/>
    <n v="952.19"/>
    <x v="0"/>
    <s v="Mobile"/>
    <n v="33"/>
    <n v="8"/>
    <b v="1"/>
    <n v="3"/>
    <n v="2"/>
  </r>
  <r>
    <s v="ORD_000003"/>
    <s v="CUST_00003"/>
    <d v="2023-01-13T00:00:00"/>
    <s v="Friday"/>
    <n v="42"/>
    <x v="0"/>
    <x v="1"/>
    <x v="1"/>
    <x v="1"/>
    <n v="66.44"/>
    <n v="1"/>
    <n v="0"/>
    <n v="66.44"/>
    <x v="0"/>
    <s v="Desktop"/>
    <n v="9"/>
    <n v="5"/>
    <b v="0"/>
    <n v="3"/>
    <n v="5"/>
  </r>
  <r>
    <s v="ORD_000024"/>
    <s v="CUST_00024"/>
    <d v="2023-01-14T00:00:00"/>
    <s v="Saturday"/>
    <n v="18"/>
    <x v="2"/>
    <x v="0"/>
    <x v="0"/>
    <x v="3"/>
    <n v="79.59"/>
    <n v="1"/>
    <n v="0"/>
    <n v="79.59"/>
    <x v="4"/>
    <s v="Mobile"/>
    <n v="6"/>
    <n v="11"/>
    <b v="0"/>
    <n v="4"/>
    <n v="3"/>
  </r>
  <r>
    <s v="ORD_000955"/>
    <s v="CUST_00955"/>
    <d v="2023-01-14T00:00:00"/>
    <s v="Saturday"/>
    <n v="34"/>
    <x v="0"/>
    <x v="0"/>
    <x v="4"/>
    <x v="7"/>
    <n v="33.9"/>
    <n v="1"/>
    <n v="0"/>
    <n v="33.9"/>
    <x v="1"/>
    <s v="Mobile"/>
    <n v="3"/>
    <n v="6"/>
    <b v="1"/>
    <n v="5"/>
    <n v="5"/>
  </r>
  <r>
    <s v="ORD_004628"/>
    <s v="CUST_04628"/>
    <d v="2023-01-14T00:00:00"/>
    <s v="Saturday"/>
    <n v="26"/>
    <x v="0"/>
    <x v="1"/>
    <x v="2"/>
    <x v="0"/>
    <n v="199.67"/>
    <n v="1"/>
    <n v="53.91"/>
    <n v="145.76"/>
    <x v="1"/>
    <s v="Tablet"/>
    <n v="19"/>
    <n v="9"/>
    <b v="0"/>
    <n v="7"/>
    <n v="1"/>
  </r>
  <r>
    <s v="ORD_000880"/>
    <s v="CUST_00880"/>
    <d v="2023-01-14T00:00:00"/>
    <s v="Saturday"/>
    <n v="49"/>
    <x v="1"/>
    <x v="0"/>
    <x v="4"/>
    <x v="6"/>
    <n v="301.89999999999998"/>
    <n v="1"/>
    <n v="0"/>
    <n v="301.89999999999998"/>
    <x v="3"/>
    <s v="Mobile"/>
    <n v="22"/>
    <n v="7"/>
    <b v="1"/>
    <n v="3"/>
    <n v="4"/>
  </r>
  <r>
    <s v="ORD_001820"/>
    <s v="CUST_01820"/>
    <d v="2023-01-14T00:00:00"/>
    <s v="Saturday"/>
    <n v="23"/>
    <x v="2"/>
    <x v="1"/>
    <x v="3"/>
    <x v="4"/>
    <n v="34.14"/>
    <n v="5"/>
    <n v="0"/>
    <n v="170.7"/>
    <x v="1"/>
    <s v="Mobile"/>
    <n v="36"/>
    <n v="10"/>
    <b v="1"/>
    <n v="3"/>
    <n v="5"/>
  </r>
  <r>
    <s v="ORD_002701"/>
    <s v="CUST_02701"/>
    <d v="2023-01-14T00:00:00"/>
    <s v="Saturday"/>
    <n v="39"/>
    <x v="0"/>
    <x v="1"/>
    <x v="2"/>
    <x v="1"/>
    <n v="81.790000000000006"/>
    <n v="1"/>
    <n v="0"/>
    <n v="81.790000000000006"/>
    <x v="1"/>
    <s v="Mobile"/>
    <n v="7"/>
    <n v="5"/>
    <b v="1"/>
    <n v="2"/>
    <n v="4"/>
  </r>
  <r>
    <s v="ORD_001989"/>
    <s v="CUST_01989"/>
    <d v="2023-01-14T00:00:00"/>
    <s v="Saturday"/>
    <n v="27"/>
    <x v="0"/>
    <x v="1"/>
    <x v="6"/>
    <x v="5"/>
    <n v="479.68"/>
    <n v="3"/>
    <n v="0"/>
    <n v="1439.04"/>
    <x v="0"/>
    <s v="Mobile"/>
    <n v="13"/>
    <n v="10"/>
    <b v="1"/>
    <n v="4"/>
    <n v="5"/>
  </r>
  <r>
    <s v="ORD_003052"/>
    <s v="CUST_03052"/>
    <d v="2023-01-14T00:00:00"/>
    <s v="Saturday"/>
    <n v="26"/>
    <x v="0"/>
    <x v="1"/>
    <x v="6"/>
    <x v="5"/>
    <n v="96.62"/>
    <n v="2"/>
    <n v="19.5"/>
    <n v="173.74"/>
    <x v="2"/>
    <s v="Desktop"/>
    <n v="10"/>
    <n v="8"/>
    <b v="0"/>
    <n v="5"/>
    <n v="3"/>
  </r>
  <r>
    <s v="ORD_004043"/>
    <s v="CUST_04043"/>
    <d v="2023-01-14T00:00:00"/>
    <s v="Saturday"/>
    <n v="18"/>
    <x v="2"/>
    <x v="0"/>
    <x v="8"/>
    <x v="0"/>
    <n v="106.13"/>
    <n v="1"/>
    <n v="0"/>
    <n v="106.13"/>
    <x v="0"/>
    <s v="Desktop"/>
    <n v="9"/>
    <n v="10"/>
    <b v="1"/>
    <n v="5"/>
    <n v="5"/>
  </r>
  <r>
    <s v="ORD_002433"/>
    <s v="CUST_02433"/>
    <d v="2023-01-14T00:00:00"/>
    <s v="Saturday"/>
    <n v="34"/>
    <x v="0"/>
    <x v="1"/>
    <x v="9"/>
    <x v="4"/>
    <n v="66.28"/>
    <n v="2"/>
    <n v="0"/>
    <n v="132.56"/>
    <x v="1"/>
    <s v="Mobile"/>
    <n v="13"/>
    <n v="12"/>
    <b v="1"/>
    <n v="3"/>
    <n v="5"/>
  </r>
  <r>
    <s v="ORD_002759"/>
    <s v="CUST_02759"/>
    <d v="2023-01-14T00:00:00"/>
    <s v="Saturday"/>
    <n v="21"/>
    <x v="2"/>
    <x v="0"/>
    <x v="6"/>
    <x v="3"/>
    <n v="349.71"/>
    <n v="2"/>
    <n v="57.46"/>
    <n v="641.96"/>
    <x v="3"/>
    <s v="Mobile"/>
    <n v="11"/>
    <n v="10"/>
    <b v="0"/>
    <n v="4"/>
    <n v="4"/>
  </r>
  <r>
    <s v="ORD_003937"/>
    <s v="CUST_03937"/>
    <d v="2023-01-14T00:00:00"/>
    <s v="Saturday"/>
    <n v="49"/>
    <x v="1"/>
    <x v="0"/>
    <x v="2"/>
    <x v="7"/>
    <n v="29.41"/>
    <n v="1"/>
    <n v="0"/>
    <n v="29.41"/>
    <x v="0"/>
    <s v="Desktop"/>
    <n v="34"/>
    <n v="8"/>
    <b v="0"/>
    <n v="3"/>
    <n v="4"/>
  </r>
  <r>
    <s v="ORD_001276"/>
    <s v="CUST_01276"/>
    <d v="2023-01-14T00:00:00"/>
    <s v="Saturday"/>
    <n v="36"/>
    <x v="0"/>
    <x v="1"/>
    <x v="3"/>
    <x v="7"/>
    <n v="47.45"/>
    <n v="1"/>
    <n v="0"/>
    <n v="47.45"/>
    <x v="1"/>
    <s v="Desktop"/>
    <n v="38"/>
    <n v="5"/>
    <b v="1"/>
    <n v="4"/>
    <n v="4"/>
  </r>
  <r>
    <s v="ORD_000885"/>
    <s v="CUST_00885"/>
    <d v="2023-01-14T00:00:00"/>
    <s v="Saturday"/>
    <n v="43"/>
    <x v="0"/>
    <x v="0"/>
    <x v="3"/>
    <x v="3"/>
    <n v="666.91"/>
    <n v="1"/>
    <n v="0"/>
    <n v="666.91"/>
    <x v="0"/>
    <s v="Mobile"/>
    <n v="19"/>
    <n v="8"/>
    <b v="1"/>
    <n v="5"/>
    <n v="3"/>
  </r>
  <r>
    <s v="ORD_000866"/>
    <s v="CUST_00866"/>
    <d v="2023-01-15T00:00:00"/>
    <s v="Sunday"/>
    <n v="30"/>
    <x v="0"/>
    <x v="1"/>
    <x v="8"/>
    <x v="7"/>
    <n v="74.72"/>
    <n v="1"/>
    <n v="0"/>
    <n v="74.72"/>
    <x v="1"/>
    <s v="Tablet"/>
    <n v="12"/>
    <n v="4"/>
    <b v="1"/>
    <n v="7"/>
    <n v="5"/>
  </r>
  <r>
    <s v="ORD_001995"/>
    <s v="CUST_01995"/>
    <d v="2023-01-15T00:00:00"/>
    <s v="Sunday"/>
    <n v="39"/>
    <x v="0"/>
    <x v="0"/>
    <x v="3"/>
    <x v="1"/>
    <n v="33.520000000000003"/>
    <n v="2"/>
    <n v="0"/>
    <n v="67.040000000000006"/>
    <x v="2"/>
    <s v="Mobile"/>
    <n v="22"/>
    <n v="10"/>
    <b v="0"/>
    <n v="4"/>
    <n v="2"/>
  </r>
  <r>
    <s v="ORD_001364"/>
    <s v="CUST_01364"/>
    <d v="2023-01-15T00:00:00"/>
    <s v="Sunday"/>
    <n v="23"/>
    <x v="2"/>
    <x v="1"/>
    <x v="3"/>
    <x v="3"/>
    <n v="292.8"/>
    <n v="1"/>
    <n v="41.69"/>
    <n v="251.11"/>
    <x v="3"/>
    <s v="Desktop"/>
    <n v="19"/>
    <n v="9"/>
    <b v="0"/>
    <n v="8"/>
    <n v="5"/>
  </r>
  <r>
    <s v="ORD_001529"/>
    <s v="CUST_01529"/>
    <d v="2023-01-15T00:00:00"/>
    <s v="Sunday"/>
    <n v="29"/>
    <x v="0"/>
    <x v="1"/>
    <x v="0"/>
    <x v="2"/>
    <n v="2340.15"/>
    <n v="4"/>
    <n v="402.1"/>
    <n v="8958.5"/>
    <x v="1"/>
    <s v="Desktop"/>
    <n v="9"/>
    <n v="14"/>
    <b v="1"/>
    <n v="3"/>
    <n v="5"/>
  </r>
  <r>
    <s v="ORD_001036"/>
    <s v="CUST_01036"/>
    <d v="2023-01-15T00:00:00"/>
    <s v="Sunday"/>
    <n v="53"/>
    <x v="1"/>
    <x v="0"/>
    <x v="2"/>
    <x v="2"/>
    <n v="1121.67"/>
    <n v="5"/>
    <n v="0"/>
    <n v="5608.35"/>
    <x v="2"/>
    <s v="Desktop"/>
    <n v="18"/>
    <n v="8"/>
    <b v="0"/>
    <n v="4"/>
    <n v="3"/>
  </r>
  <r>
    <s v="ORD_004196"/>
    <s v="CUST_04196"/>
    <d v="2023-01-15T00:00:00"/>
    <s v="Sunday"/>
    <n v="29"/>
    <x v="0"/>
    <x v="0"/>
    <x v="6"/>
    <x v="7"/>
    <n v="27.13"/>
    <n v="4"/>
    <n v="5.54"/>
    <n v="102.98"/>
    <x v="0"/>
    <s v="Mobile"/>
    <n v="14"/>
    <n v="7"/>
    <b v="1"/>
    <n v="5"/>
    <n v="2"/>
  </r>
  <r>
    <s v="ORD_000619"/>
    <s v="CUST_00619"/>
    <d v="2023-01-15T00:00:00"/>
    <s v="Sunday"/>
    <n v="40"/>
    <x v="0"/>
    <x v="0"/>
    <x v="8"/>
    <x v="2"/>
    <n v="1239.23"/>
    <n v="1"/>
    <n v="0"/>
    <n v="1239.23"/>
    <x v="1"/>
    <s v="Desktop"/>
    <n v="31"/>
    <n v="13"/>
    <b v="1"/>
    <n v="12"/>
    <n v="5"/>
  </r>
  <r>
    <s v="ORD_002849"/>
    <s v="CUST_02849"/>
    <d v="2023-01-15T00:00:00"/>
    <s v="Sunday"/>
    <n v="27"/>
    <x v="0"/>
    <x v="0"/>
    <x v="0"/>
    <x v="5"/>
    <n v="118.65"/>
    <n v="3"/>
    <n v="0"/>
    <n v="355.95"/>
    <x v="0"/>
    <s v="Mobile"/>
    <n v="4"/>
    <n v="7"/>
    <b v="0"/>
    <n v="8"/>
    <n v="4"/>
  </r>
  <r>
    <s v="ORD_002444"/>
    <s v="CUST_02444"/>
    <d v="2023-01-15T00:00:00"/>
    <s v="Sunday"/>
    <n v="43"/>
    <x v="0"/>
    <x v="1"/>
    <x v="6"/>
    <x v="1"/>
    <n v="140.01"/>
    <n v="1"/>
    <n v="23.2"/>
    <n v="116.81"/>
    <x v="3"/>
    <s v="Desktop"/>
    <n v="13"/>
    <n v="9"/>
    <b v="0"/>
    <n v="7"/>
    <n v="4"/>
  </r>
  <r>
    <s v="ORD_001860"/>
    <s v="CUST_01860"/>
    <d v="2023-01-16T00:00:00"/>
    <s v="Monday"/>
    <n v="38"/>
    <x v="0"/>
    <x v="1"/>
    <x v="8"/>
    <x v="6"/>
    <n v="1469.76"/>
    <n v="1"/>
    <n v="0"/>
    <n v="1469.76"/>
    <x v="4"/>
    <s v="Desktop"/>
    <n v="13"/>
    <n v="13"/>
    <b v="0"/>
    <n v="4"/>
    <n v="3"/>
  </r>
  <r>
    <s v="ORD_002014"/>
    <s v="CUST_02014"/>
    <d v="2023-01-16T00:00:00"/>
    <s v="Monday"/>
    <n v="23"/>
    <x v="2"/>
    <x v="0"/>
    <x v="4"/>
    <x v="0"/>
    <n v="25.11"/>
    <n v="2"/>
    <n v="0"/>
    <n v="50.22"/>
    <x v="4"/>
    <s v="Mobile"/>
    <n v="12"/>
    <n v="6"/>
    <b v="0"/>
    <n v="7"/>
    <n v="5"/>
  </r>
  <r>
    <s v="ORD_000924"/>
    <s v="CUST_00924"/>
    <d v="2023-01-16T00:00:00"/>
    <s v="Monday"/>
    <n v="26"/>
    <x v="0"/>
    <x v="1"/>
    <x v="8"/>
    <x v="0"/>
    <n v="130.84"/>
    <n v="2"/>
    <n v="7.16"/>
    <n v="254.52"/>
    <x v="3"/>
    <s v="Mobile"/>
    <n v="14"/>
    <n v="8"/>
    <b v="1"/>
    <n v="6"/>
    <n v="4"/>
  </r>
  <r>
    <s v="ORD_000018"/>
    <s v="CUST_00018"/>
    <d v="2023-01-16T00:00:00"/>
    <s v="Monday"/>
    <n v="38"/>
    <x v="0"/>
    <x v="0"/>
    <x v="0"/>
    <x v="5"/>
    <n v="198.21"/>
    <n v="1"/>
    <n v="0"/>
    <n v="198.21"/>
    <x v="4"/>
    <s v="Desktop"/>
    <n v="20"/>
    <n v="6"/>
    <b v="1"/>
    <n v="2"/>
    <n v="2"/>
  </r>
  <r>
    <s v="ORD_002863"/>
    <s v="CUST_02863"/>
    <d v="2023-01-16T00:00:00"/>
    <s v="Monday"/>
    <n v="21"/>
    <x v="2"/>
    <x v="0"/>
    <x v="9"/>
    <x v="4"/>
    <n v="153.06"/>
    <n v="4"/>
    <n v="20.83"/>
    <n v="591.41"/>
    <x v="0"/>
    <s v="Desktop"/>
    <n v="10"/>
    <n v="2"/>
    <b v="1"/>
    <n v="4"/>
    <n v="2"/>
  </r>
  <r>
    <s v="ORD_004995"/>
    <s v="CUST_04995"/>
    <d v="2023-01-16T00:00:00"/>
    <s v="Monday"/>
    <n v="27"/>
    <x v="0"/>
    <x v="0"/>
    <x v="3"/>
    <x v="2"/>
    <n v="1783.81"/>
    <n v="2"/>
    <n v="501.44"/>
    <n v="3066.18"/>
    <x v="0"/>
    <s v="Desktop"/>
    <n v="7"/>
    <n v="5"/>
    <b v="1"/>
    <n v="5"/>
    <n v="4"/>
  </r>
  <r>
    <s v="ORD_004312"/>
    <s v="CUST_04312"/>
    <d v="2023-01-16T00:00:00"/>
    <s v="Monday"/>
    <n v="18"/>
    <x v="2"/>
    <x v="0"/>
    <x v="8"/>
    <x v="5"/>
    <n v="498.6"/>
    <n v="1"/>
    <n v="0"/>
    <n v="498.6"/>
    <x v="3"/>
    <s v="Mobile"/>
    <n v="1"/>
    <n v="5"/>
    <b v="1"/>
    <n v="1"/>
    <n v="5"/>
  </r>
  <r>
    <s v="ORD_003882"/>
    <s v="CUST_03882"/>
    <d v="2023-01-16T00:00:00"/>
    <s v="Monday"/>
    <n v="37"/>
    <x v="0"/>
    <x v="1"/>
    <x v="3"/>
    <x v="6"/>
    <n v="656.04"/>
    <n v="2"/>
    <n v="0"/>
    <n v="1312.08"/>
    <x v="0"/>
    <s v="Desktop"/>
    <n v="4"/>
    <n v="8"/>
    <b v="1"/>
    <n v="8"/>
    <n v="2"/>
  </r>
  <r>
    <s v="ORD_004764"/>
    <s v="CUST_04764"/>
    <d v="2023-01-16T00:00:00"/>
    <s v="Monday"/>
    <n v="39"/>
    <x v="0"/>
    <x v="2"/>
    <x v="1"/>
    <x v="4"/>
    <n v="27.5"/>
    <n v="2"/>
    <n v="0"/>
    <n v="55"/>
    <x v="3"/>
    <s v="Mobile"/>
    <n v="13"/>
    <n v="11"/>
    <b v="1"/>
    <n v="2"/>
    <n v="5"/>
  </r>
  <r>
    <s v="ORD_002664"/>
    <s v="CUST_02664"/>
    <d v="2023-01-16T00:00:00"/>
    <s v="Monday"/>
    <n v="23"/>
    <x v="2"/>
    <x v="0"/>
    <x v="9"/>
    <x v="6"/>
    <n v="159.75"/>
    <n v="3"/>
    <n v="0"/>
    <n v="479.25"/>
    <x v="1"/>
    <s v="Mobile"/>
    <n v="10"/>
    <n v="9"/>
    <b v="1"/>
    <n v="2"/>
    <n v="5"/>
  </r>
  <r>
    <s v="ORD_001755"/>
    <s v="CUST_01755"/>
    <d v="2023-01-17T00:00:00"/>
    <s v="Tuesday"/>
    <n v="41"/>
    <x v="0"/>
    <x v="0"/>
    <x v="3"/>
    <x v="0"/>
    <n v="107.19"/>
    <n v="3"/>
    <n v="0"/>
    <n v="321.57"/>
    <x v="1"/>
    <s v="Desktop"/>
    <n v="4"/>
    <n v="7"/>
    <b v="0"/>
    <n v="8"/>
    <n v="2"/>
  </r>
  <r>
    <s v="ORD_003078"/>
    <s v="CUST_03078"/>
    <d v="2023-01-17T00:00:00"/>
    <s v="Tuesday"/>
    <n v="41"/>
    <x v="0"/>
    <x v="1"/>
    <x v="3"/>
    <x v="6"/>
    <n v="724.84"/>
    <n v="3"/>
    <n v="140.57"/>
    <n v="2033.95"/>
    <x v="3"/>
    <s v="Desktop"/>
    <n v="7"/>
    <n v="9"/>
    <b v="1"/>
    <n v="8"/>
    <n v="3"/>
  </r>
  <r>
    <s v="ORD_003427"/>
    <s v="CUST_03427"/>
    <d v="2023-01-17T00:00:00"/>
    <s v="Tuesday"/>
    <n v="38"/>
    <x v="0"/>
    <x v="0"/>
    <x v="3"/>
    <x v="4"/>
    <n v="207.5"/>
    <n v="1"/>
    <n v="0"/>
    <n v="207.5"/>
    <x v="1"/>
    <s v="Mobile"/>
    <n v="10"/>
    <n v="6"/>
    <b v="1"/>
    <n v="10"/>
    <n v="4"/>
  </r>
  <r>
    <s v="ORD_004358"/>
    <s v="CUST_04358"/>
    <d v="2023-01-17T00:00:00"/>
    <s v="Tuesday"/>
    <n v="31"/>
    <x v="0"/>
    <x v="1"/>
    <x v="3"/>
    <x v="3"/>
    <n v="1397.66"/>
    <n v="1"/>
    <n v="0"/>
    <n v="1397.66"/>
    <x v="1"/>
    <s v="Desktop"/>
    <n v="3"/>
    <n v="13"/>
    <b v="0"/>
    <n v="7"/>
    <n v="4"/>
  </r>
  <r>
    <s v="ORD_002681"/>
    <s v="CUST_02681"/>
    <d v="2023-01-17T00:00:00"/>
    <s v="Tuesday"/>
    <n v="43"/>
    <x v="0"/>
    <x v="1"/>
    <x v="7"/>
    <x v="4"/>
    <n v="286.68"/>
    <n v="2"/>
    <n v="0"/>
    <n v="573.36"/>
    <x v="3"/>
    <s v="Desktop"/>
    <n v="28"/>
    <n v="6"/>
    <b v="1"/>
    <n v="5"/>
    <n v="5"/>
  </r>
  <r>
    <s v="ORD_001218"/>
    <s v="CUST_01218"/>
    <d v="2023-01-17T00:00:00"/>
    <s v="Tuesday"/>
    <n v="38"/>
    <x v="0"/>
    <x v="1"/>
    <x v="6"/>
    <x v="2"/>
    <n v="2594.0700000000002"/>
    <n v="3"/>
    <n v="344.88"/>
    <n v="7437.33"/>
    <x v="0"/>
    <s v="Mobile"/>
    <n v="14"/>
    <n v="3"/>
    <b v="0"/>
    <n v="4"/>
    <n v="4"/>
  </r>
  <r>
    <s v="ORD_003794"/>
    <s v="CUST_03794"/>
    <d v="2023-01-17T00:00:00"/>
    <s v="Tuesday"/>
    <n v="32"/>
    <x v="0"/>
    <x v="0"/>
    <x v="2"/>
    <x v="3"/>
    <n v="194.41"/>
    <n v="1"/>
    <n v="0"/>
    <n v="194.41"/>
    <x v="1"/>
    <s v="Mobile"/>
    <n v="26"/>
    <n v="8"/>
    <b v="0"/>
    <n v="8"/>
    <n v="3"/>
  </r>
  <r>
    <s v="ORD_003485"/>
    <s v="CUST_03485"/>
    <d v="2023-01-17T00:00:00"/>
    <s v="Tuesday"/>
    <n v="22"/>
    <x v="2"/>
    <x v="0"/>
    <x v="2"/>
    <x v="6"/>
    <n v="234.69"/>
    <n v="1"/>
    <n v="0"/>
    <n v="234.69"/>
    <x v="2"/>
    <s v="Mobile"/>
    <n v="15"/>
    <n v="7"/>
    <b v="0"/>
    <n v="11"/>
    <n v="1"/>
  </r>
  <r>
    <s v="ORD_003832"/>
    <s v="CUST_03832"/>
    <d v="2023-01-17T00:00:00"/>
    <s v="Tuesday"/>
    <n v="28"/>
    <x v="0"/>
    <x v="1"/>
    <x v="3"/>
    <x v="0"/>
    <n v="198.69"/>
    <n v="3"/>
    <n v="0"/>
    <n v="596.07000000000005"/>
    <x v="3"/>
    <s v="Mobile"/>
    <n v="8"/>
    <n v="5"/>
    <b v="0"/>
    <n v="6"/>
    <n v="3"/>
  </r>
  <r>
    <s v="ORD_004317"/>
    <s v="CUST_04317"/>
    <d v="2023-01-17T00:00:00"/>
    <s v="Tuesday"/>
    <n v="21"/>
    <x v="2"/>
    <x v="0"/>
    <x v="9"/>
    <x v="4"/>
    <n v="167.43"/>
    <n v="5"/>
    <n v="0"/>
    <n v="837.15"/>
    <x v="2"/>
    <s v="Mobile"/>
    <n v="20"/>
    <n v="9"/>
    <b v="1"/>
    <n v="8"/>
    <n v="1"/>
  </r>
  <r>
    <s v="ORD_000292"/>
    <s v="CUST_00292"/>
    <d v="2023-01-17T00:00:00"/>
    <s v="Tuesday"/>
    <n v="29"/>
    <x v="0"/>
    <x v="0"/>
    <x v="4"/>
    <x v="4"/>
    <n v="140.69"/>
    <n v="1"/>
    <n v="0"/>
    <n v="140.69"/>
    <x v="1"/>
    <s v="Mobile"/>
    <n v="22"/>
    <n v="12"/>
    <b v="0"/>
    <n v="5"/>
    <n v="5"/>
  </r>
  <r>
    <s v="ORD_000126"/>
    <s v="CUST_00126"/>
    <d v="2023-01-17T00:00:00"/>
    <s v="Tuesday"/>
    <n v="61"/>
    <x v="1"/>
    <x v="0"/>
    <x v="3"/>
    <x v="0"/>
    <n v="185.75"/>
    <n v="1"/>
    <n v="0"/>
    <n v="185.75"/>
    <x v="3"/>
    <s v="Mobile"/>
    <n v="24"/>
    <n v="12"/>
    <b v="0"/>
    <n v="10"/>
    <n v="5"/>
  </r>
  <r>
    <s v="ORD_000017"/>
    <s v="CUST_00017"/>
    <d v="2023-01-17T00:00:00"/>
    <s v="Tuesday"/>
    <n v="22"/>
    <x v="2"/>
    <x v="1"/>
    <x v="2"/>
    <x v="4"/>
    <n v="67.22"/>
    <n v="1"/>
    <n v="0"/>
    <n v="67.22"/>
    <x v="4"/>
    <s v="Mobile"/>
    <n v="3"/>
    <n v="8"/>
    <b v="1"/>
    <n v="6"/>
    <n v="5"/>
  </r>
  <r>
    <s v="ORD_003713"/>
    <s v="CUST_03713"/>
    <d v="2023-01-18T00:00:00"/>
    <s v="Wednesday"/>
    <n v="38"/>
    <x v="0"/>
    <x v="0"/>
    <x v="2"/>
    <x v="2"/>
    <n v="1597.61"/>
    <n v="2"/>
    <n v="407.84"/>
    <n v="2787.38"/>
    <x v="0"/>
    <s v="Mobile"/>
    <n v="7"/>
    <n v="10"/>
    <b v="1"/>
    <n v="7"/>
    <n v="5"/>
  </r>
  <r>
    <s v="ORD_002671"/>
    <s v="CUST_02671"/>
    <d v="2023-01-18T00:00:00"/>
    <s v="Wednesday"/>
    <n v="26"/>
    <x v="0"/>
    <x v="1"/>
    <x v="2"/>
    <x v="7"/>
    <n v="51.77"/>
    <n v="1"/>
    <n v="4.1900000000000004"/>
    <n v="47.58"/>
    <x v="0"/>
    <s v="Desktop"/>
    <n v="13"/>
    <n v="10"/>
    <b v="0"/>
    <n v="2"/>
    <n v="5"/>
  </r>
  <r>
    <s v="ORD_001641"/>
    <s v="CUST_01641"/>
    <d v="2023-01-18T00:00:00"/>
    <s v="Wednesday"/>
    <n v="35"/>
    <x v="0"/>
    <x v="0"/>
    <x v="3"/>
    <x v="4"/>
    <n v="128.91"/>
    <n v="2"/>
    <n v="11.32"/>
    <n v="246.5"/>
    <x v="1"/>
    <s v="Desktop"/>
    <n v="20"/>
    <n v="5"/>
    <b v="0"/>
    <n v="6"/>
    <n v="4"/>
  </r>
  <r>
    <s v="ORD_003497"/>
    <s v="CUST_03497"/>
    <d v="2023-01-18T00:00:00"/>
    <s v="Wednesday"/>
    <n v="44"/>
    <x v="0"/>
    <x v="1"/>
    <x v="8"/>
    <x v="3"/>
    <n v="701.14"/>
    <n v="5"/>
    <n v="0"/>
    <n v="3505.7"/>
    <x v="1"/>
    <s v="Mobile"/>
    <n v="17"/>
    <n v="7"/>
    <b v="0"/>
    <n v="1"/>
    <n v="5"/>
  </r>
  <r>
    <s v="ORD_003235"/>
    <s v="CUST_03235"/>
    <d v="2023-01-19T00:00:00"/>
    <s v="Thursday"/>
    <n v="19"/>
    <x v="2"/>
    <x v="1"/>
    <x v="3"/>
    <x v="1"/>
    <n v="104.98"/>
    <n v="1"/>
    <n v="0"/>
    <n v="104.98"/>
    <x v="4"/>
    <s v="Mobile"/>
    <n v="13"/>
    <n v="5"/>
    <b v="1"/>
    <n v="6"/>
    <n v="4"/>
  </r>
  <r>
    <s v="ORD_001508"/>
    <s v="CUST_01508"/>
    <d v="2023-01-19T00:00:00"/>
    <s v="Thursday"/>
    <n v="46"/>
    <x v="1"/>
    <x v="1"/>
    <x v="3"/>
    <x v="2"/>
    <n v="547.73"/>
    <n v="4"/>
    <n v="111.92"/>
    <n v="2079"/>
    <x v="1"/>
    <s v="Desktop"/>
    <n v="11"/>
    <n v="9"/>
    <b v="0"/>
    <n v="4"/>
    <n v="1"/>
  </r>
  <r>
    <s v="ORD_002572"/>
    <s v="CUST_02572"/>
    <d v="2023-01-19T00:00:00"/>
    <s v="Thursday"/>
    <n v="18"/>
    <x v="2"/>
    <x v="0"/>
    <x v="3"/>
    <x v="4"/>
    <n v="143.88"/>
    <n v="2"/>
    <n v="0"/>
    <n v="287.76"/>
    <x v="1"/>
    <s v="Mobile"/>
    <n v="1"/>
    <n v="6"/>
    <b v="1"/>
    <n v="4"/>
    <n v="4"/>
  </r>
  <r>
    <s v="ORD_001325"/>
    <s v="CUST_01325"/>
    <d v="2023-01-19T00:00:00"/>
    <s v="Thursday"/>
    <n v="35"/>
    <x v="0"/>
    <x v="1"/>
    <x v="2"/>
    <x v="3"/>
    <n v="87.07"/>
    <n v="3"/>
    <n v="0"/>
    <n v="261.20999999999998"/>
    <x v="0"/>
    <s v="Desktop"/>
    <n v="6"/>
    <n v="8"/>
    <b v="0"/>
    <n v="6"/>
    <n v="3"/>
  </r>
  <r>
    <s v="ORD_000533"/>
    <s v="CUST_00533"/>
    <d v="2023-01-19T00:00:00"/>
    <s v="Thursday"/>
    <n v="34"/>
    <x v="0"/>
    <x v="0"/>
    <x v="6"/>
    <x v="1"/>
    <n v="61.34"/>
    <n v="1"/>
    <n v="13.77"/>
    <n v="47.57"/>
    <x v="3"/>
    <s v="Desktop"/>
    <n v="27"/>
    <n v="9"/>
    <b v="0"/>
    <n v="16"/>
    <n v="4"/>
  </r>
  <r>
    <s v="ORD_001464"/>
    <s v="CUST_01464"/>
    <d v="2023-01-19T00:00:00"/>
    <s v="Thursday"/>
    <n v="24"/>
    <x v="2"/>
    <x v="1"/>
    <x v="4"/>
    <x v="1"/>
    <n v="79.58"/>
    <n v="2"/>
    <n v="0"/>
    <n v="159.16"/>
    <x v="3"/>
    <s v="Mobile"/>
    <n v="18"/>
    <n v="10"/>
    <b v="1"/>
    <n v="4"/>
    <n v="5"/>
  </r>
  <r>
    <s v="ORD_004810"/>
    <s v="CUST_04810"/>
    <d v="2023-01-19T00:00:00"/>
    <s v="Thursday"/>
    <n v="29"/>
    <x v="0"/>
    <x v="0"/>
    <x v="3"/>
    <x v="3"/>
    <n v="521.91"/>
    <n v="1"/>
    <n v="0"/>
    <n v="521.91"/>
    <x v="1"/>
    <s v="Mobile"/>
    <n v="27"/>
    <n v="10"/>
    <b v="1"/>
    <n v="6"/>
    <n v="4"/>
  </r>
  <r>
    <s v="ORD_002587"/>
    <s v="CUST_02587"/>
    <d v="2023-01-19T00:00:00"/>
    <s v="Thursday"/>
    <n v="19"/>
    <x v="2"/>
    <x v="0"/>
    <x v="3"/>
    <x v="7"/>
    <n v="62.09"/>
    <n v="2"/>
    <n v="0"/>
    <n v="124.18"/>
    <x v="3"/>
    <s v="Mobile"/>
    <n v="23"/>
    <n v="11"/>
    <b v="1"/>
    <n v="12"/>
    <n v="5"/>
  </r>
  <r>
    <s v="ORD_004084"/>
    <s v="CUST_04084"/>
    <d v="2023-01-19T00:00:00"/>
    <s v="Thursday"/>
    <n v="18"/>
    <x v="2"/>
    <x v="0"/>
    <x v="2"/>
    <x v="2"/>
    <n v="3218.66"/>
    <n v="2"/>
    <n v="0"/>
    <n v="6437.32"/>
    <x v="3"/>
    <s v="Mobile"/>
    <n v="19"/>
    <n v="7"/>
    <b v="0"/>
    <n v="8"/>
    <n v="4"/>
  </r>
  <r>
    <s v="ORD_001727"/>
    <s v="CUST_01727"/>
    <d v="2023-01-20T00:00:00"/>
    <s v="Friday"/>
    <n v="28"/>
    <x v="0"/>
    <x v="0"/>
    <x v="3"/>
    <x v="0"/>
    <n v="127.29"/>
    <n v="2"/>
    <n v="0"/>
    <n v="254.58"/>
    <x v="0"/>
    <s v="Desktop"/>
    <n v="9"/>
    <n v="15"/>
    <b v="1"/>
    <n v="8"/>
    <n v="5"/>
  </r>
  <r>
    <s v="ORD_002344"/>
    <s v="CUST_02344"/>
    <d v="2023-01-20T00:00:00"/>
    <s v="Friday"/>
    <n v="28"/>
    <x v="0"/>
    <x v="1"/>
    <x v="2"/>
    <x v="3"/>
    <n v="491.27"/>
    <n v="1"/>
    <n v="0"/>
    <n v="491.27"/>
    <x v="1"/>
    <s v="Desktop"/>
    <n v="10"/>
    <n v="7"/>
    <b v="1"/>
    <n v="4"/>
    <n v="5"/>
  </r>
  <r>
    <s v="ORD_003230"/>
    <s v="CUST_03230"/>
    <d v="2023-01-20T00:00:00"/>
    <s v="Friday"/>
    <n v="34"/>
    <x v="0"/>
    <x v="1"/>
    <x v="3"/>
    <x v="7"/>
    <n v="87.03"/>
    <n v="1"/>
    <n v="0"/>
    <n v="87.03"/>
    <x v="4"/>
    <s v="Desktop"/>
    <n v="21"/>
    <n v="13"/>
    <b v="0"/>
    <n v="8"/>
    <n v="5"/>
  </r>
  <r>
    <s v="ORD_000626"/>
    <s v="CUST_00626"/>
    <d v="2023-01-20T00:00:00"/>
    <s v="Friday"/>
    <n v="28"/>
    <x v="0"/>
    <x v="1"/>
    <x v="8"/>
    <x v="7"/>
    <n v="60.16"/>
    <n v="1"/>
    <n v="13.38"/>
    <n v="46.78"/>
    <x v="0"/>
    <s v="Desktop"/>
    <n v="10"/>
    <n v="3"/>
    <b v="1"/>
    <n v="16"/>
    <n v="4"/>
  </r>
  <r>
    <s v="ORD_002454"/>
    <s v="CUST_02454"/>
    <d v="2023-01-20T00:00:00"/>
    <s v="Friday"/>
    <n v="26"/>
    <x v="0"/>
    <x v="0"/>
    <x v="6"/>
    <x v="4"/>
    <n v="134.9"/>
    <n v="1"/>
    <n v="0"/>
    <n v="134.9"/>
    <x v="4"/>
    <s v="Mobile"/>
    <n v="1"/>
    <n v="11"/>
    <b v="1"/>
    <n v="5"/>
    <n v="4"/>
  </r>
  <r>
    <s v="ORD_003245"/>
    <s v="CUST_03245"/>
    <d v="2023-01-20T00:00:00"/>
    <s v="Friday"/>
    <n v="32"/>
    <x v="0"/>
    <x v="1"/>
    <x v="4"/>
    <x v="5"/>
    <n v="197.92"/>
    <n v="1"/>
    <n v="0"/>
    <n v="197.92"/>
    <x v="1"/>
    <s v="Desktop"/>
    <n v="23"/>
    <n v="8"/>
    <b v="0"/>
    <n v="6"/>
    <n v="1"/>
  </r>
  <r>
    <s v="ORD_002208"/>
    <s v="CUST_02208"/>
    <d v="2023-01-20T00:00:00"/>
    <s v="Friday"/>
    <n v="39"/>
    <x v="0"/>
    <x v="0"/>
    <x v="1"/>
    <x v="1"/>
    <n v="146.34"/>
    <n v="5"/>
    <n v="32.090000000000003"/>
    <n v="699.61"/>
    <x v="3"/>
    <s v="Mobile"/>
    <n v="19"/>
    <n v="9"/>
    <b v="1"/>
    <n v="6"/>
    <n v="3"/>
  </r>
  <r>
    <s v="ORD_000587"/>
    <s v="CUST_00587"/>
    <d v="2023-01-20T00:00:00"/>
    <s v="Friday"/>
    <n v="29"/>
    <x v="0"/>
    <x v="1"/>
    <x v="3"/>
    <x v="6"/>
    <n v="923.93"/>
    <n v="1"/>
    <n v="0"/>
    <n v="923.93"/>
    <x v="1"/>
    <s v="Mobile"/>
    <n v="30"/>
    <n v="11"/>
    <b v="0"/>
    <n v="2"/>
    <n v="5"/>
  </r>
  <r>
    <s v="ORD_003006"/>
    <s v="CUST_03006"/>
    <d v="2023-01-20T00:00:00"/>
    <s v="Friday"/>
    <n v="18"/>
    <x v="2"/>
    <x v="0"/>
    <x v="3"/>
    <x v="1"/>
    <n v="126.38"/>
    <n v="4"/>
    <n v="0"/>
    <n v="505.52"/>
    <x v="0"/>
    <s v="Desktop"/>
    <n v="34"/>
    <n v="9"/>
    <b v="0"/>
    <n v="13"/>
    <n v="5"/>
  </r>
  <r>
    <s v="ORD_001290"/>
    <s v="CUST_01290"/>
    <d v="2023-01-21T00:00:00"/>
    <s v="Saturday"/>
    <n v="18"/>
    <x v="2"/>
    <x v="0"/>
    <x v="3"/>
    <x v="3"/>
    <n v="449.73"/>
    <n v="1"/>
    <n v="91.42"/>
    <n v="358.31"/>
    <x v="0"/>
    <s v="Desktop"/>
    <n v="14"/>
    <n v="12"/>
    <b v="1"/>
    <n v="6"/>
    <n v="4"/>
  </r>
  <r>
    <s v="ORD_001270"/>
    <s v="CUST_01270"/>
    <d v="2023-01-21T00:00:00"/>
    <s v="Saturday"/>
    <n v="49"/>
    <x v="1"/>
    <x v="0"/>
    <x v="4"/>
    <x v="6"/>
    <n v="1633.66"/>
    <n v="1"/>
    <n v="0"/>
    <n v="1633.66"/>
    <x v="1"/>
    <s v="Mobile"/>
    <n v="8"/>
    <n v="12"/>
    <b v="1"/>
    <n v="1"/>
    <n v="3"/>
  </r>
  <r>
    <s v="ORD_000546"/>
    <s v="CUST_00546"/>
    <d v="2023-01-21T00:00:00"/>
    <s v="Saturday"/>
    <n v="25"/>
    <x v="0"/>
    <x v="1"/>
    <x v="3"/>
    <x v="5"/>
    <n v="169.49"/>
    <n v="1"/>
    <n v="0"/>
    <n v="169.49"/>
    <x v="1"/>
    <s v="Desktop"/>
    <n v="12"/>
    <n v="9"/>
    <b v="1"/>
    <n v="2"/>
    <n v="5"/>
  </r>
  <r>
    <s v="ORD_002249"/>
    <s v="CUST_02249"/>
    <d v="2023-01-21T00:00:00"/>
    <s v="Saturday"/>
    <n v="32"/>
    <x v="0"/>
    <x v="1"/>
    <x v="2"/>
    <x v="3"/>
    <n v="428.67"/>
    <n v="2"/>
    <n v="0"/>
    <n v="857.34"/>
    <x v="1"/>
    <s v="Mobile"/>
    <n v="8"/>
    <n v="6"/>
    <b v="1"/>
    <n v="12"/>
    <n v="3"/>
  </r>
  <r>
    <s v="ORD_004977"/>
    <s v="CUST_04977"/>
    <d v="2023-01-21T00:00:00"/>
    <s v="Saturday"/>
    <n v="51"/>
    <x v="1"/>
    <x v="1"/>
    <x v="3"/>
    <x v="4"/>
    <n v="60.69"/>
    <n v="1"/>
    <n v="0"/>
    <n v="60.69"/>
    <x v="1"/>
    <s v="Tablet"/>
    <n v="4"/>
    <n v="5"/>
    <b v="1"/>
    <n v="6"/>
    <n v="4"/>
  </r>
  <r>
    <s v="ORD_004679"/>
    <s v="CUST_04679"/>
    <d v="2023-01-21T00:00:00"/>
    <s v="Saturday"/>
    <n v="45"/>
    <x v="1"/>
    <x v="0"/>
    <x v="3"/>
    <x v="4"/>
    <n v="130.44"/>
    <n v="1"/>
    <n v="25.02"/>
    <n v="105.42"/>
    <x v="1"/>
    <s v="Mobile"/>
    <n v="13"/>
    <n v="12"/>
    <b v="1"/>
    <n v="6"/>
    <n v="4"/>
  </r>
  <r>
    <s v="ORD_003606"/>
    <s v="CUST_03606"/>
    <d v="2023-01-21T00:00:00"/>
    <s v="Saturday"/>
    <n v="25"/>
    <x v="0"/>
    <x v="1"/>
    <x v="3"/>
    <x v="4"/>
    <n v="231.31"/>
    <n v="3"/>
    <n v="0"/>
    <n v="693.93"/>
    <x v="0"/>
    <s v="Desktop"/>
    <n v="9"/>
    <n v="8"/>
    <b v="0"/>
    <n v="13"/>
    <n v="5"/>
  </r>
  <r>
    <s v="ORD_000922"/>
    <s v="CUST_00922"/>
    <d v="2023-01-21T00:00:00"/>
    <s v="Saturday"/>
    <n v="22"/>
    <x v="2"/>
    <x v="1"/>
    <x v="0"/>
    <x v="1"/>
    <n v="132.72"/>
    <n v="4"/>
    <n v="0"/>
    <n v="530.88"/>
    <x v="3"/>
    <s v="Mobile"/>
    <n v="19"/>
    <n v="9"/>
    <b v="0"/>
    <n v="14"/>
    <n v="5"/>
  </r>
  <r>
    <s v="ORD_001637"/>
    <s v="CUST_01637"/>
    <d v="2023-01-21T00:00:00"/>
    <s v="Saturday"/>
    <n v="23"/>
    <x v="2"/>
    <x v="1"/>
    <x v="8"/>
    <x v="0"/>
    <n v="64.55"/>
    <n v="3"/>
    <n v="0"/>
    <n v="193.65"/>
    <x v="0"/>
    <s v="Desktop"/>
    <n v="10"/>
    <n v="6"/>
    <b v="1"/>
    <n v="4"/>
    <n v="5"/>
  </r>
  <r>
    <s v="ORD_003004"/>
    <s v="CUST_03004"/>
    <d v="2023-01-21T00:00:00"/>
    <s v="Saturday"/>
    <n v="57"/>
    <x v="1"/>
    <x v="1"/>
    <x v="4"/>
    <x v="2"/>
    <n v="487.6"/>
    <n v="1"/>
    <n v="0"/>
    <n v="487.6"/>
    <x v="1"/>
    <s v="Mobile"/>
    <n v="7"/>
    <n v="13"/>
    <b v="1"/>
    <n v="3"/>
    <n v="4"/>
  </r>
  <r>
    <s v="ORD_000425"/>
    <s v="CUST_00425"/>
    <d v="2023-01-21T00:00:00"/>
    <s v="Saturday"/>
    <n v="42"/>
    <x v="0"/>
    <x v="1"/>
    <x v="6"/>
    <x v="7"/>
    <n v="36.1"/>
    <n v="3"/>
    <n v="5.01"/>
    <n v="103.29"/>
    <x v="0"/>
    <s v="Tablet"/>
    <n v="52"/>
    <n v="7"/>
    <b v="1"/>
    <n v="4"/>
    <n v="4"/>
  </r>
  <r>
    <s v="ORD_002227"/>
    <s v="CUST_02227"/>
    <d v="2023-01-22T00:00:00"/>
    <s v="Sunday"/>
    <n v="52"/>
    <x v="1"/>
    <x v="0"/>
    <x v="0"/>
    <x v="2"/>
    <n v="387.29"/>
    <n v="1"/>
    <n v="0"/>
    <n v="387.29"/>
    <x v="3"/>
    <s v="Mobile"/>
    <n v="4"/>
    <n v="7"/>
    <b v="1"/>
    <n v="5"/>
    <n v="5"/>
  </r>
  <r>
    <s v="ORD_003817"/>
    <s v="CUST_03817"/>
    <d v="2023-01-22T00:00:00"/>
    <s v="Sunday"/>
    <n v="30"/>
    <x v="0"/>
    <x v="1"/>
    <x v="7"/>
    <x v="2"/>
    <n v="885.38"/>
    <n v="1"/>
    <n v="0"/>
    <n v="885.38"/>
    <x v="0"/>
    <s v="Mobile"/>
    <n v="11"/>
    <n v="14"/>
    <b v="1"/>
    <n v="5"/>
    <n v="5"/>
  </r>
  <r>
    <s v="ORD_004343"/>
    <s v="CUST_04343"/>
    <d v="2023-01-22T00:00:00"/>
    <s v="Sunday"/>
    <n v="58"/>
    <x v="1"/>
    <x v="1"/>
    <x v="7"/>
    <x v="4"/>
    <n v="39.42"/>
    <n v="3"/>
    <n v="0"/>
    <n v="118.26"/>
    <x v="2"/>
    <s v="Tablet"/>
    <n v="11"/>
    <n v="7"/>
    <b v="1"/>
    <n v="13"/>
    <n v="4"/>
  </r>
  <r>
    <s v="ORD_000981"/>
    <s v="CUST_00981"/>
    <d v="2023-01-22T00:00:00"/>
    <s v="Sunday"/>
    <n v="44"/>
    <x v="0"/>
    <x v="1"/>
    <x v="4"/>
    <x v="1"/>
    <n v="32.049999999999997"/>
    <n v="5"/>
    <n v="0"/>
    <n v="160.25"/>
    <x v="1"/>
    <s v="Mobile"/>
    <n v="6"/>
    <n v="11"/>
    <b v="1"/>
    <n v="5"/>
    <n v="4"/>
  </r>
  <r>
    <s v="ORD_002100"/>
    <s v="CUST_02100"/>
    <d v="2023-01-22T00:00:00"/>
    <s v="Sunday"/>
    <n v="44"/>
    <x v="0"/>
    <x v="1"/>
    <x v="7"/>
    <x v="6"/>
    <n v="677"/>
    <n v="3"/>
    <n v="0"/>
    <n v="2031"/>
    <x v="3"/>
    <s v="Mobile"/>
    <n v="14"/>
    <n v="10"/>
    <b v="1"/>
    <n v="3"/>
    <n v="5"/>
  </r>
  <r>
    <s v="ORD_003163"/>
    <s v="CUST_03163"/>
    <d v="2023-01-22T00:00:00"/>
    <s v="Sunday"/>
    <n v="29"/>
    <x v="0"/>
    <x v="0"/>
    <x v="2"/>
    <x v="3"/>
    <n v="118.19"/>
    <n v="4"/>
    <n v="30.78"/>
    <n v="441.98"/>
    <x v="0"/>
    <s v="Mobile"/>
    <n v="16"/>
    <n v="8"/>
    <b v="1"/>
    <n v="5"/>
    <n v="1"/>
  </r>
  <r>
    <s v="ORD_002578"/>
    <s v="CUST_02578"/>
    <d v="2023-01-22T00:00:00"/>
    <s v="Sunday"/>
    <n v="46"/>
    <x v="1"/>
    <x v="1"/>
    <x v="1"/>
    <x v="6"/>
    <n v="1310.5899999999999"/>
    <n v="1"/>
    <n v="0"/>
    <n v="1310.5899999999999"/>
    <x v="0"/>
    <s v="Desktop"/>
    <n v="18"/>
    <n v="11"/>
    <b v="1"/>
    <n v="10"/>
    <n v="3"/>
  </r>
  <r>
    <s v="ORD_000541"/>
    <s v="CUST_00541"/>
    <d v="2023-01-22T00:00:00"/>
    <s v="Sunday"/>
    <n v="45"/>
    <x v="1"/>
    <x v="1"/>
    <x v="8"/>
    <x v="2"/>
    <n v="609.04"/>
    <n v="1"/>
    <n v="0"/>
    <n v="609.04"/>
    <x v="3"/>
    <s v="Mobile"/>
    <n v="15"/>
    <n v="14"/>
    <b v="1"/>
    <n v="4"/>
    <n v="5"/>
  </r>
  <r>
    <s v="ORD_002644"/>
    <s v="CUST_02644"/>
    <d v="2023-01-22T00:00:00"/>
    <s v="Sunday"/>
    <n v="27"/>
    <x v="0"/>
    <x v="1"/>
    <x v="3"/>
    <x v="3"/>
    <n v="245.99"/>
    <n v="4"/>
    <n v="50.97"/>
    <n v="932.99"/>
    <x v="0"/>
    <s v="Mobile"/>
    <n v="16"/>
    <n v="9"/>
    <b v="0"/>
    <n v="5"/>
    <n v="2"/>
  </r>
  <r>
    <s v="ORD_002846"/>
    <s v="CUST_02846"/>
    <d v="2023-01-22T00:00:00"/>
    <s v="Sunday"/>
    <n v="21"/>
    <x v="2"/>
    <x v="1"/>
    <x v="2"/>
    <x v="6"/>
    <n v="269"/>
    <n v="1"/>
    <n v="24.28"/>
    <n v="244.72"/>
    <x v="3"/>
    <s v="Mobile"/>
    <n v="11"/>
    <n v="13"/>
    <b v="1"/>
    <n v="10"/>
    <n v="2"/>
  </r>
  <r>
    <s v="ORD_004904"/>
    <s v="CUST_04904"/>
    <d v="2023-01-23T00:00:00"/>
    <s v="Monday"/>
    <n v="30"/>
    <x v="0"/>
    <x v="1"/>
    <x v="9"/>
    <x v="3"/>
    <n v="387.6"/>
    <n v="1"/>
    <n v="0"/>
    <n v="387.6"/>
    <x v="1"/>
    <s v="Mobile"/>
    <n v="8"/>
    <n v="7"/>
    <b v="1"/>
    <n v="10"/>
    <n v="4"/>
  </r>
  <r>
    <s v="ORD_000513"/>
    <s v="CUST_00513"/>
    <d v="2023-01-23T00:00:00"/>
    <s v="Monday"/>
    <n v="32"/>
    <x v="0"/>
    <x v="0"/>
    <x v="2"/>
    <x v="7"/>
    <n v="63.89"/>
    <n v="2"/>
    <n v="11.91"/>
    <n v="115.87"/>
    <x v="4"/>
    <s v="Tablet"/>
    <n v="21"/>
    <n v="13"/>
    <b v="1"/>
    <n v="7"/>
    <n v="1"/>
  </r>
  <r>
    <s v="ORD_004102"/>
    <s v="CUST_04102"/>
    <d v="2023-01-23T00:00:00"/>
    <s v="Monday"/>
    <n v="25"/>
    <x v="0"/>
    <x v="0"/>
    <x v="3"/>
    <x v="3"/>
    <n v="245.18"/>
    <n v="1"/>
    <n v="0"/>
    <n v="245.18"/>
    <x v="0"/>
    <s v="Desktop"/>
    <n v="15"/>
    <n v="5"/>
    <b v="1"/>
    <n v="7"/>
    <n v="5"/>
  </r>
  <r>
    <s v="ORD_002575"/>
    <s v="CUST_02575"/>
    <d v="2023-01-23T00:00:00"/>
    <s v="Monday"/>
    <n v="66"/>
    <x v="1"/>
    <x v="0"/>
    <x v="8"/>
    <x v="7"/>
    <n v="50.52"/>
    <n v="2"/>
    <n v="12.25"/>
    <n v="88.79"/>
    <x v="0"/>
    <s v="Mobile"/>
    <n v="12"/>
    <n v="5"/>
    <b v="1"/>
    <n v="2"/>
    <n v="2"/>
  </r>
  <r>
    <s v="ORD_000060"/>
    <s v="CUST_00060"/>
    <d v="2023-01-23T00:00:00"/>
    <s v="Monday"/>
    <n v="46"/>
    <x v="1"/>
    <x v="1"/>
    <x v="2"/>
    <x v="7"/>
    <n v="19.739999999999998"/>
    <n v="1"/>
    <n v="0"/>
    <n v="19.739999999999998"/>
    <x v="3"/>
    <s v="Mobile"/>
    <n v="28"/>
    <n v="8"/>
    <b v="1"/>
    <n v="3"/>
    <n v="5"/>
  </r>
  <r>
    <s v="ORD_000642"/>
    <s v="CUST_00642"/>
    <d v="2023-01-23T00:00:00"/>
    <s v="Monday"/>
    <n v="55"/>
    <x v="1"/>
    <x v="0"/>
    <x v="7"/>
    <x v="2"/>
    <n v="3242.84"/>
    <n v="5"/>
    <n v="0"/>
    <n v="16214.2"/>
    <x v="1"/>
    <s v="Desktop"/>
    <n v="2"/>
    <n v="10"/>
    <b v="1"/>
    <n v="5"/>
    <n v="5"/>
  </r>
  <r>
    <s v="ORD_004164"/>
    <s v="CUST_04164"/>
    <d v="2023-01-23T00:00:00"/>
    <s v="Monday"/>
    <n v="18"/>
    <x v="2"/>
    <x v="1"/>
    <x v="1"/>
    <x v="3"/>
    <n v="1052.01"/>
    <n v="4"/>
    <n v="245.44"/>
    <n v="3962.6"/>
    <x v="1"/>
    <s v="Desktop"/>
    <n v="9"/>
    <n v="8"/>
    <b v="1"/>
    <n v="9"/>
    <n v="4"/>
  </r>
  <r>
    <s v="ORD_004798"/>
    <s v="CUST_04798"/>
    <d v="2023-01-23T00:00:00"/>
    <s v="Monday"/>
    <n v="18"/>
    <x v="2"/>
    <x v="0"/>
    <x v="3"/>
    <x v="3"/>
    <n v="764.79"/>
    <n v="1"/>
    <n v="0"/>
    <n v="764.79"/>
    <x v="0"/>
    <s v="Mobile"/>
    <n v="20"/>
    <n v="5"/>
    <b v="1"/>
    <n v="10"/>
    <n v="1"/>
  </r>
  <r>
    <s v="ORD_001450"/>
    <s v="CUST_01450"/>
    <d v="2023-01-23T00:00:00"/>
    <s v="Monday"/>
    <n v="35"/>
    <x v="0"/>
    <x v="0"/>
    <x v="8"/>
    <x v="3"/>
    <n v="1926.52"/>
    <n v="2"/>
    <n v="222.93"/>
    <n v="3630.11"/>
    <x v="1"/>
    <s v="Desktop"/>
    <n v="12"/>
    <n v="6"/>
    <b v="1"/>
    <n v="9"/>
    <n v="5"/>
  </r>
  <r>
    <s v="ORD_003506"/>
    <s v="CUST_03506"/>
    <d v="2023-01-23T00:00:00"/>
    <s v="Monday"/>
    <n v="18"/>
    <x v="2"/>
    <x v="2"/>
    <x v="2"/>
    <x v="7"/>
    <n v="35.4"/>
    <n v="2"/>
    <n v="3.14"/>
    <n v="67.66"/>
    <x v="0"/>
    <s v="Desktop"/>
    <n v="26"/>
    <n v="8"/>
    <b v="0"/>
    <n v="3"/>
    <n v="4"/>
  </r>
  <r>
    <s v="ORD_001851"/>
    <s v="CUST_01851"/>
    <d v="2023-01-23T00:00:00"/>
    <s v="Monday"/>
    <n v="27"/>
    <x v="0"/>
    <x v="1"/>
    <x v="3"/>
    <x v="3"/>
    <n v="450.37"/>
    <n v="1"/>
    <n v="0"/>
    <n v="450.37"/>
    <x v="1"/>
    <s v="Mobile"/>
    <n v="22"/>
    <n v="9"/>
    <b v="0"/>
    <n v="3"/>
    <n v="5"/>
  </r>
  <r>
    <s v="ORD_002551"/>
    <s v="CUST_02551"/>
    <d v="2023-01-23T00:00:00"/>
    <s v="Monday"/>
    <n v="18"/>
    <x v="2"/>
    <x v="0"/>
    <x v="6"/>
    <x v="1"/>
    <n v="57.48"/>
    <n v="2"/>
    <n v="10.25"/>
    <n v="104.71"/>
    <x v="3"/>
    <s v="Mobile"/>
    <n v="19"/>
    <n v="7"/>
    <b v="1"/>
    <n v="7"/>
    <n v="5"/>
  </r>
  <r>
    <s v="ORD_002364"/>
    <s v="CUST_02364"/>
    <d v="2023-01-23T00:00:00"/>
    <s v="Monday"/>
    <n v="48"/>
    <x v="1"/>
    <x v="0"/>
    <x v="3"/>
    <x v="6"/>
    <n v="113.93"/>
    <n v="2"/>
    <n v="0"/>
    <n v="227.86"/>
    <x v="1"/>
    <s v="Tablet"/>
    <n v="13"/>
    <n v="10"/>
    <b v="1"/>
    <n v="3"/>
    <n v="2"/>
  </r>
  <r>
    <s v="ORD_002529"/>
    <s v="CUST_02529"/>
    <d v="2023-01-23T00:00:00"/>
    <s v="Monday"/>
    <n v="59"/>
    <x v="1"/>
    <x v="1"/>
    <x v="9"/>
    <x v="0"/>
    <n v="112.82"/>
    <n v="2"/>
    <n v="0"/>
    <n v="225.64"/>
    <x v="0"/>
    <s v="Desktop"/>
    <n v="3"/>
    <n v="5"/>
    <b v="0"/>
    <n v="6"/>
    <n v="4"/>
  </r>
  <r>
    <s v="ORD_001530"/>
    <s v="CUST_01530"/>
    <d v="2023-01-24T00:00:00"/>
    <s v="Tuesday"/>
    <n v="21"/>
    <x v="2"/>
    <x v="0"/>
    <x v="9"/>
    <x v="2"/>
    <n v="4879.1400000000003"/>
    <n v="1"/>
    <n v="0"/>
    <n v="4879.1400000000003"/>
    <x v="0"/>
    <s v="Mobile"/>
    <n v="8"/>
    <n v="15"/>
    <b v="1"/>
    <n v="5"/>
    <n v="1"/>
  </r>
  <r>
    <s v="ORD_003663"/>
    <s v="CUST_03663"/>
    <d v="2023-01-24T00:00:00"/>
    <s v="Tuesday"/>
    <n v="39"/>
    <x v="0"/>
    <x v="1"/>
    <x v="6"/>
    <x v="3"/>
    <n v="656.63"/>
    <n v="1"/>
    <n v="0"/>
    <n v="656.63"/>
    <x v="1"/>
    <s v="Mobile"/>
    <n v="7"/>
    <n v="7"/>
    <b v="0"/>
    <n v="11"/>
    <n v="4"/>
  </r>
  <r>
    <s v="ORD_002968"/>
    <s v="CUST_02968"/>
    <d v="2023-01-24T00:00:00"/>
    <s v="Tuesday"/>
    <n v="28"/>
    <x v="0"/>
    <x v="0"/>
    <x v="3"/>
    <x v="2"/>
    <n v="953.09"/>
    <n v="5"/>
    <n v="0"/>
    <n v="4765.45"/>
    <x v="1"/>
    <s v="Desktop"/>
    <n v="7"/>
    <n v="5"/>
    <b v="0"/>
    <n v="6"/>
    <n v="2"/>
  </r>
  <r>
    <s v="ORD_002851"/>
    <s v="CUST_02851"/>
    <d v="2023-01-24T00:00:00"/>
    <s v="Tuesday"/>
    <n v="28"/>
    <x v="0"/>
    <x v="0"/>
    <x v="4"/>
    <x v="7"/>
    <n v="96.67"/>
    <n v="2"/>
    <n v="19.579999999999998"/>
    <n v="173.76"/>
    <x v="3"/>
    <s v="Mobile"/>
    <n v="13"/>
    <n v="13"/>
    <b v="0"/>
    <n v="5"/>
    <n v="5"/>
  </r>
  <r>
    <s v="ORD_002064"/>
    <s v="CUST_02064"/>
    <d v="2023-01-24T00:00:00"/>
    <s v="Tuesday"/>
    <n v="33"/>
    <x v="0"/>
    <x v="0"/>
    <x v="3"/>
    <x v="3"/>
    <n v="630.02"/>
    <n v="4"/>
    <n v="42.15"/>
    <n v="2477.9299999999998"/>
    <x v="0"/>
    <s v="Mobile"/>
    <n v="36"/>
    <n v="10"/>
    <b v="1"/>
    <n v="10"/>
    <n v="3"/>
  </r>
  <r>
    <s v="ORD_000730"/>
    <s v="CUST_00730"/>
    <d v="2023-01-24T00:00:00"/>
    <s v="Tuesday"/>
    <n v="25"/>
    <x v="0"/>
    <x v="0"/>
    <x v="4"/>
    <x v="2"/>
    <n v="929.21"/>
    <n v="5"/>
    <n v="0"/>
    <n v="4646.05"/>
    <x v="3"/>
    <s v="Mobile"/>
    <n v="14"/>
    <n v="10"/>
    <b v="1"/>
    <n v="10"/>
    <n v="5"/>
  </r>
  <r>
    <s v="ORD_001132"/>
    <s v="CUST_01132"/>
    <d v="2023-01-24T00:00:00"/>
    <s v="Tuesday"/>
    <n v="40"/>
    <x v="0"/>
    <x v="0"/>
    <x v="3"/>
    <x v="6"/>
    <n v="484.43"/>
    <n v="1"/>
    <n v="0"/>
    <n v="484.43"/>
    <x v="0"/>
    <s v="Mobile"/>
    <n v="24"/>
    <n v="6"/>
    <b v="0"/>
    <n v="4"/>
    <n v="3"/>
  </r>
  <r>
    <s v="ORD_004803"/>
    <s v="CUST_04803"/>
    <d v="2023-01-24T00:00:00"/>
    <s v="Tuesday"/>
    <n v="18"/>
    <x v="2"/>
    <x v="0"/>
    <x v="7"/>
    <x v="1"/>
    <n v="25.92"/>
    <n v="2"/>
    <n v="0"/>
    <n v="51.84"/>
    <x v="1"/>
    <s v="Desktop"/>
    <n v="20"/>
    <n v="6"/>
    <b v="0"/>
    <n v="3"/>
    <n v="4"/>
  </r>
  <r>
    <s v="ORD_003418"/>
    <s v="CUST_03418"/>
    <d v="2023-01-24T00:00:00"/>
    <s v="Tuesday"/>
    <n v="37"/>
    <x v="0"/>
    <x v="0"/>
    <x v="0"/>
    <x v="5"/>
    <n v="656.43"/>
    <n v="2"/>
    <n v="35.67"/>
    <n v="1277.19"/>
    <x v="1"/>
    <s v="Desktop"/>
    <n v="1"/>
    <n v="12"/>
    <b v="1"/>
    <n v="5"/>
    <n v="5"/>
  </r>
  <r>
    <s v="ORD_004495"/>
    <s v="CUST_04495"/>
    <d v="2023-01-24T00:00:00"/>
    <s v="Tuesday"/>
    <n v="45"/>
    <x v="1"/>
    <x v="1"/>
    <x v="9"/>
    <x v="7"/>
    <n v="24.48"/>
    <n v="2"/>
    <n v="6.69"/>
    <n v="42.27"/>
    <x v="0"/>
    <s v="Mobile"/>
    <n v="13"/>
    <n v="6"/>
    <b v="1"/>
    <n v="8"/>
    <n v="3"/>
  </r>
  <r>
    <s v="ORD_003005"/>
    <s v="CUST_03005"/>
    <d v="2023-01-24T00:00:00"/>
    <s v="Tuesday"/>
    <n v="41"/>
    <x v="0"/>
    <x v="0"/>
    <x v="2"/>
    <x v="0"/>
    <n v="114.64"/>
    <n v="1"/>
    <n v="0"/>
    <n v="114.64"/>
    <x v="1"/>
    <s v="Mobile"/>
    <n v="1"/>
    <n v="14"/>
    <b v="1"/>
    <n v="4"/>
    <n v="4"/>
  </r>
  <r>
    <s v="ORD_001726"/>
    <s v="CUST_01726"/>
    <d v="2023-01-24T00:00:00"/>
    <s v="Tuesday"/>
    <n v="48"/>
    <x v="1"/>
    <x v="1"/>
    <x v="2"/>
    <x v="2"/>
    <n v="475.66"/>
    <n v="1"/>
    <n v="0"/>
    <n v="475.66"/>
    <x v="2"/>
    <s v="Mobile"/>
    <n v="4"/>
    <n v="3"/>
    <b v="1"/>
    <n v="16"/>
    <n v="5"/>
  </r>
  <r>
    <s v="ORD_000078"/>
    <s v="CUST_00078"/>
    <d v="2023-01-24T00:00:00"/>
    <s v="Tuesday"/>
    <n v="31"/>
    <x v="0"/>
    <x v="1"/>
    <x v="3"/>
    <x v="7"/>
    <n v="39.770000000000003"/>
    <n v="1"/>
    <n v="0"/>
    <n v="39.770000000000003"/>
    <x v="3"/>
    <s v="Mobile"/>
    <n v="12"/>
    <n v="6"/>
    <b v="0"/>
    <n v="9"/>
    <n v="5"/>
  </r>
  <r>
    <s v="ORD_003825"/>
    <s v="CUST_03825"/>
    <d v="2023-01-24T00:00:00"/>
    <s v="Tuesday"/>
    <n v="26"/>
    <x v="0"/>
    <x v="0"/>
    <x v="4"/>
    <x v="6"/>
    <n v="529.51"/>
    <n v="3"/>
    <n v="114.28"/>
    <n v="1474.25"/>
    <x v="2"/>
    <s v="Mobile"/>
    <n v="15"/>
    <n v="9"/>
    <b v="0"/>
    <n v="3"/>
    <n v="5"/>
  </r>
  <r>
    <s v="ORD_004836"/>
    <s v="CUST_04836"/>
    <d v="2023-01-24T00:00:00"/>
    <s v="Tuesday"/>
    <n v="36"/>
    <x v="0"/>
    <x v="0"/>
    <x v="6"/>
    <x v="3"/>
    <n v="588.71"/>
    <n v="2"/>
    <n v="46.14"/>
    <n v="1131.28"/>
    <x v="3"/>
    <s v="Mobile"/>
    <n v="20"/>
    <n v="6"/>
    <b v="1"/>
    <n v="4"/>
    <n v="5"/>
  </r>
  <r>
    <s v="ORD_003719"/>
    <s v="CUST_03719"/>
    <d v="2023-01-25T00:00:00"/>
    <s v="Wednesday"/>
    <n v="32"/>
    <x v="0"/>
    <x v="0"/>
    <x v="4"/>
    <x v="4"/>
    <n v="270.97000000000003"/>
    <n v="1"/>
    <n v="0"/>
    <n v="270.97000000000003"/>
    <x v="1"/>
    <s v="Mobile"/>
    <n v="12"/>
    <n v="11"/>
    <b v="0"/>
    <n v="9"/>
    <n v="4"/>
  </r>
  <r>
    <s v="ORD_002595"/>
    <s v="CUST_02595"/>
    <d v="2023-01-25T00:00:00"/>
    <s v="Wednesday"/>
    <n v="45"/>
    <x v="1"/>
    <x v="1"/>
    <x v="2"/>
    <x v="7"/>
    <n v="72.72"/>
    <n v="2"/>
    <n v="0"/>
    <n v="145.44"/>
    <x v="3"/>
    <s v="Mobile"/>
    <n v="12"/>
    <n v="10"/>
    <b v="0"/>
    <n v="8"/>
    <n v="5"/>
  </r>
  <r>
    <s v="ORD_003551"/>
    <s v="CUST_03551"/>
    <d v="2023-01-25T00:00:00"/>
    <s v="Wednesday"/>
    <n v="28"/>
    <x v="0"/>
    <x v="0"/>
    <x v="4"/>
    <x v="0"/>
    <n v="252.88"/>
    <n v="1"/>
    <n v="0"/>
    <n v="252.88"/>
    <x v="0"/>
    <s v="Mobile"/>
    <n v="14"/>
    <n v="12"/>
    <b v="0"/>
    <n v="2"/>
    <n v="5"/>
  </r>
  <r>
    <s v="ORD_000163"/>
    <s v="CUST_00163"/>
    <d v="2023-01-25T00:00:00"/>
    <s v="Wednesday"/>
    <n v="48"/>
    <x v="1"/>
    <x v="1"/>
    <x v="2"/>
    <x v="6"/>
    <n v="1049.78"/>
    <n v="2"/>
    <n v="0"/>
    <n v="2099.56"/>
    <x v="3"/>
    <s v="Mobile"/>
    <n v="10"/>
    <n v="7"/>
    <b v="1"/>
    <n v="11"/>
    <n v="5"/>
  </r>
  <r>
    <s v="ORD_003503"/>
    <s v="CUST_03503"/>
    <d v="2023-01-25T00:00:00"/>
    <s v="Wednesday"/>
    <n v="35"/>
    <x v="0"/>
    <x v="0"/>
    <x v="3"/>
    <x v="3"/>
    <n v="457.88"/>
    <n v="2"/>
    <n v="0"/>
    <n v="915.76"/>
    <x v="1"/>
    <s v="Desktop"/>
    <n v="5"/>
    <n v="8"/>
    <b v="1"/>
    <n v="6"/>
    <n v="4"/>
  </r>
  <r>
    <s v="ORD_004494"/>
    <s v="CUST_04494"/>
    <d v="2023-01-25T00:00:00"/>
    <s v="Wednesday"/>
    <n v="29"/>
    <x v="0"/>
    <x v="0"/>
    <x v="3"/>
    <x v="3"/>
    <n v="293.77"/>
    <n v="1"/>
    <n v="0"/>
    <n v="293.77"/>
    <x v="4"/>
    <s v="Mobile"/>
    <n v="17"/>
    <n v="15"/>
    <b v="1"/>
    <n v="9"/>
    <n v="5"/>
  </r>
  <r>
    <s v="ORD_002484"/>
    <s v="CUST_02484"/>
    <d v="2023-01-25T00:00:00"/>
    <s v="Wednesday"/>
    <n v="25"/>
    <x v="0"/>
    <x v="1"/>
    <x v="3"/>
    <x v="5"/>
    <n v="186.51"/>
    <n v="4"/>
    <n v="54.02"/>
    <n v="692.02"/>
    <x v="1"/>
    <s v="Mobile"/>
    <n v="4"/>
    <n v="7"/>
    <b v="0"/>
    <n v="11"/>
    <n v="5"/>
  </r>
  <r>
    <s v="ORD_002946"/>
    <s v="CUST_02946"/>
    <d v="2023-01-25T00:00:00"/>
    <s v="Wednesday"/>
    <n v="21"/>
    <x v="2"/>
    <x v="0"/>
    <x v="6"/>
    <x v="5"/>
    <n v="242.04"/>
    <n v="5"/>
    <n v="0"/>
    <n v="1210.2"/>
    <x v="2"/>
    <s v="Desktop"/>
    <n v="24"/>
    <n v="9"/>
    <b v="0"/>
    <n v="5"/>
    <n v="4"/>
  </r>
  <r>
    <s v="ORD_002947"/>
    <s v="CUST_02947"/>
    <d v="2023-01-26T00:00:00"/>
    <s v="Thursday"/>
    <n v="36"/>
    <x v="0"/>
    <x v="0"/>
    <x v="6"/>
    <x v="4"/>
    <n v="81.97"/>
    <n v="2"/>
    <n v="0"/>
    <n v="163.94"/>
    <x v="1"/>
    <s v="Mobile"/>
    <n v="18"/>
    <n v="11"/>
    <b v="0"/>
    <n v="7"/>
    <n v="1"/>
  </r>
  <r>
    <s v="ORD_001785"/>
    <s v="CUST_01785"/>
    <d v="2023-01-26T00:00:00"/>
    <s v="Thursday"/>
    <n v="35"/>
    <x v="0"/>
    <x v="1"/>
    <x v="6"/>
    <x v="0"/>
    <n v="128.44999999999999"/>
    <n v="1"/>
    <n v="0"/>
    <n v="128.44999999999999"/>
    <x v="2"/>
    <s v="Desktop"/>
    <n v="13"/>
    <n v="7"/>
    <b v="0"/>
    <n v="3"/>
    <n v="4"/>
  </r>
  <r>
    <s v="ORD_001608"/>
    <s v="CUST_01608"/>
    <d v="2023-01-26T00:00:00"/>
    <s v="Thursday"/>
    <n v="54"/>
    <x v="1"/>
    <x v="1"/>
    <x v="9"/>
    <x v="4"/>
    <n v="145.91999999999999"/>
    <n v="5"/>
    <n v="23.31"/>
    <n v="706.29"/>
    <x v="1"/>
    <s v="Mobile"/>
    <n v="11"/>
    <n v="12"/>
    <b v="0"/>
    <n v="5"/>
    <n v="4"/>
  </r>
  <r>
    <s v="ORD_003188"/>
    <s v="CUST_03188"/>
    <d v="2023-01-26T00:00:00"/>
    <s v="Thursday"/>
    <n v="45"/>
    <x v="1"/>
    <x v="0"/>
    <x v="3"/>
    <x v="5"/>
    <n v="333.67"/>
    <n v="1"/>
    <n v="42.36"/>
    <n v="291.31"/>
    <x v="1"/>
    <s v="Mobile"/>
    <n v="2"/>
    <n v="11"/>
    <b v="0"/>
    <n v="3"/>
    <n v="5"/>
  </r>
  <r>
    <s v="ORD_000764"/>
    <s v="CUST_00764"/>
    <d v="2023-01-26T00:00:00"/>
    <s v="Thursday"/>
    <n v="33"/>
    <x v="0"/>
    <x v="0"/>
    <x v="6"/>
    <x v="6"/>
    <n v="219.03"/>
    <n v="3"/>
    <n v="0"/>
    <n v="657.09"/>
    <x v="0"/>
    <s v="Desktop"/>
    <n v="14"/>
    <n v="10"/>
    <b v="0"/>
    <n v="9"/>
    <n v="1"/>
  </r>
  <r>
    <s v="ORD_004989"/>
    <s v="CUST_04989"/>
    <d v="2023-01-26T00:00:00"/>
    <s v="Thursday"/>
    <n v="37"/>
    <x v="0"/>
    <x v="0"/>
    <x v="1"/>
    <x v="3"/>
    <n v="307.39999999999998"/>
    <n v="4"/>
    <n v="0"/>
    <n v="1229.5999999999999"/>
    <x v="4"/>
    <s v="Mobile"/>
    <n v="11"/>
    <n v="8"/>
    <b v="0"/>
    <n v="6"/>
    <n v="5"/>
  </r>
  <r>
    <s v="ORD_002037"/>
    <s v="CUST_02037"/>
    <d v="2023-01-26T00:00:00"/>
    <s v="Thursday"/>
    <n v="39"/>
    <x v="0"/>
    <x v="1"/>
    <x v="3"/>
    <x v="2"/>
    <n v="1493.28"/>
    <n v="1"/>
    <n v="0"/>
    <n v="1493.28"/>
    <x v="1"/>
    <s v="Mobile"/>
    <n v="8"/>
    <n v="8"/>
    <b v="1"/>
    <n v="7"/>
    <n v="5"/>
  </r>
  <r>
    <s v="ORD_000401"/>
    <s v="CUST_00401"/>
    <d v="2023-01-26T00:00:00"/>
    <s v="Thursday"/>
    <n v="18"/>
    <x v="2"/>
    <x v="0"/>
    <x v="6"/>
    <x v="3"/>
    <n v="118.11"/>
    <n v="1"/>
    <n v="0"/>
    <n v="118.11"/>
    <x v="1"/>
    <s v="Desktop"/>
    <n v="45"/>
    <n v="7"/>
    <b v="1"/>
    <n v="2"/>
    <n v="5"/>
  </r>
  <r>
    <s v="ORD_000355"/>
    <s v="CUST_00355"/>
    <d v="2023-01-26T00:00:00"/>
    <s v="Thursday"/>
    <n v="34"/>
    <x v="0"/>
    <x v="0"/>
    <x v="2"/>
    <x v="0"/>
    <n v="412.45"/>
    <n v="2"/>
    <n v="0"/>
    <n v="824.9"/>
    <x v="4"/>
    <s v="Mobile"/>
    <n v="30"/>
    <n v="10"/>
    <b v="1"/>
    <n v="2"/>
    <n v="4"/>
  </r>
  <r>
    <s v="ORD_000893"/>
    <s v="CUST_00893"/>
    <d v="2023-01-26T00:00:00"/>
    <s v="Thursday"/>
    <n v="47"/>
    <x v="1"/>
    <x v="0"/>
    <x v="0"/>
    <x v="0"/>
    <n v="101.84"/>
    <n v="2"/>
    <n v="0"/>
    <n v="203.68"/>
    <x v="1"/>
    <s v="Desktop"/>
    <n v="16"/>
    <n v="11"/>
    <b v="1"/>
    <n v="3"/>
    <n v="4"/>
  </r>
  <r>
    <s v="ORD_002913"/>
    <s v="CUST_02913"/>
    <d v="2023-01-26T00:00:00"/>
    <s v="Thursday"/>
    <n v="26"/>
    <x v="0"/>
    <x v="1"/>
    <x v="4"/>
    <x v="7"/>
    <n v="36.97"/>
    <n v="1"/>
    <n v="0"/>
    <n v="36.97"/>
    <x v="0"/>
    <s v="Mobile"/>
    <n v="12"/>
    <n v="9"/>
    <b v="1"/>
    <n v="3"/>
    <n v="5"/>
  </r>
  <r>
    <s v="ORD_001353"/>
    <s v="CUST_01353"/>
    <d v="2023-01-27T00:00:00"/>
    <s v="Friday"/>
    <n v="41"/>
    <x v="0"/>
    <x v="1"/>
    <x v="6"/>
    <x v="2"/>
    <n v="606.28"/>
    <n v="1"/>
    <n v="0"/>
    <n v="606.28"/>
    <x v="1"/>
    <s v="Mobile"/>
    <n v="33"/>
    <n v="10"/>
    <b v="1"/>
    <n v="4"/>
    <n v="4"/>
  </r>
  <r>
    <s v="ORD_004831"/>
    <s v="CUST_04831"/>
    <d v="2023-01-27T00:00:00"/>
    <s v="Friday"/>
    <n v="45"/>
    <x v="1"/>
    <x v="1"/>
    <x v="4"/>
    <x v="2"/>
    <n v="1168.95"/>
    <n v="1"/>
    <n v="0"/>
    <n v="1168.95"/>
    <x v="1"/>
    <s v="Mobile"/>
    <n v="14"/>
    <n v="13"/>
    <b v="1"/>
    <n v="3"/>
    <n v="4"/>
  </r>
  <r>
    <s v="ORD_001152"/>
    <s v="CUST_01152"/>
    <d v="2023-01-27T00:00:00"/>
    <s v="Friday"/>
    <n v="18"/>
    <x v="2"/>
    <x v="0"/>
    <x v="3"/>
    <x v="1"/>
    <n v="73.45"/>
    <n v="1"/>
    <n v="0"/>
    <n v="73.45"/>
    <x v="0"/>
    <s v="Mobile"/>
    <n v="7"/>
    <n v="7"/>
    <b v="0"/>
    <n v="5"/>
    <n v="5"/>
  </r>
  <r>
    <s v="ORD_000915"/>
    <s v="CUST_00915"/>
    <d v="2023-01-27T00:00:00"/>
    <s v="Friday"/>
    <n v="33"/>
    <x v="0"/>
    <x v="0"/>
    <x v="6"/>
    <x v="5"/>
    <n v="301.27999999999997"/>
    <n v="1"/>
    <n v="20.45"/>
    <n v="280.83"/>
    <x v="2"/>
    <s v="Mobile"/>
    <n v="31"/>
    <n v="9"/>
    <b v="1"/>
    <n v="4"/>
    <n v="2"/>
  </r>
  <r>
    <s v="ORD_003600"/>
    <s v="CUST_03600"/>
    <d v="2023-01-27T00:00:00"/>
    <s v="Friday"/>
    <n v="32"/>
    <x v="0"/>
    <x v="1"/>
    <x v="7"/>
    <x v="2"/>
    <n v="584.24"/>
    <n v="5"/>
    <n v="75.17"/>
    <n v="2846.03"/>
    <x v="0"/>
    <s v="Mobile"/>
    <n v="8"/>
    <n v="7"/>
    <b v="0"/>
    <n v="4"/>
    <n v="2"/>
  </r>
  <r>
    <s v="ORD_001832"/>
    <s v="CUST_01832"/>
    <d v="2023-01-27T00:00:00"/>
    <s v="Friday"/>
    <n v="37"/>
    <x v="0"/>
    <x v="0"/>
    <x v="3"/>
    <x v="4"/>
    <n v="27.48"/>
    <n v="1"/>
    <n v="0"/>
    <n v="27.48"/>
    <x v="1"/>
    <s v="Desktop"/>
    <n v="15"/>
    <n v="5"/>
    <b v="1"/>
    <n v="5"/>
    <n v="3"/>
  </r>
  <r>
    <s v="ORD_001954"/>
    <s v="CUST_01954"/>
    <d v="2023-01-27T00:00:00"/>
    <s v="Friday"/>
    <n v="27"/>
    <x v="0"/>
    <x v="0"/>
    <x v="3"/>
    <x v="3"/>
    <n v="1015.66"/>
    <n v="1"/>
    <n v="0"/>
    <n v="1015.66"/>
    <x v="3"/>
    <s v="Mobile"/>
    <n v="19"/>
    <n v="12"/>
    <b v="1"/>
    <n v="4"/>
    <n v="5"/>
  </r>
  <r>
    <s v="ORD_004527"/>
    <s v="CUST_04527"/>
    <d v="2023-01-27T00:00:00"/>
    <s v="Friday"/>
    <n v="18"/>
    <x v="2"/>
    <x v="1"/>
    <x v="0"/>
    <x v="7"/>
    <n v="116.76"/>
    <n v="3"/>
    <n v="0"/>
    <n v="350.28"/>
    <x v="2"/>
    <s v="Mobile"/>
    <n v="8"/>
    <n v="15"/>
    <b v="1"/>
    <n v="8"/>
    <n v="4"/>
  </r>
  <r>
    <s v="ORD_000507"/>
    <s v="CUST_00507"/>
    <d v="2023-01-27T00:00:00"/>
    <s v="Friday"/>
    <n v="27"/>
    <x v="0"/>
    <x v="1"/>
    <x v="1"/>
    <x v="2"/>
    <n v="503.88"/>
    <n v="5"/>
    <n v="0"/>
    <n v="2519.4"/>
    <x v="3"/>
    <s v="Desktop"/>
    <n v="14"/>
    <n v="4"/>
    <b v="1"/>
    <n v="7"/>
    <n v="5"/>
  </r>
  <r>
    <s v="ORD_003194"/>
    <s v="CUST_03194"/>
    <d v="2023-01-27T00:00:00"/>
    <s v="Friday"/>
    <n v="27"/>
    <x v="0"/>
    <x v="0"/>
    <x v="4"/>
    <x v="5"/>
    <n v="820.57"/>
    <n v="1"/>
    <n v="0"/>
    <n v="820.57"/>
    <x v="0"/>
    <s v="Mobile"/>
    <n v="21"/>
    <n v="16"/>
    <b v="1"/>
    <n v="4"/>
    <n v="3"/>
  </r>
  <r>
    <s v="ORD_002970"/>
    <s v="CUST_02970"/>
    <d v="2023-01-27T00:00:00"/>
    <s v="Friday"/>
    <n v="38"/>
    <x v="0"/>
    <x v="1"/>
    <x v="6"/>
    <x v="6"/>
    <n v="839.72"/>
    <n v="4"/>
    <n v="122.08"/>
    <n v="3236.8"/>
    <x v="0"/>
    <s v="Mobile"/>
    <n v="8"/>
    <n v="10"/>
    <b v="1"/>
    <n v="8"/>
    <n v="5"/>
  </r>
  <r>
    <s v="ORD_002267"/>
    <s v="CUST_02267"/>
    <d v="2023-01-27T00:00:00"/>
    <s v="Friday"/>
    <n v="18"/>
    <x v="2"/>
    <x v="0"/>
    <x v="4"/>
    <x v="0"/>
    <n v="82.08"/>
    <n v="1"/>
    <n v="0"/>
    <n v="82.08"/>
    <x v="0"/>
    <s v="Mobile"/>
    <n v="16"/>
    <n v="11"/>
    <b v="0"/>
    <n v="9"/>
    <n v="1"/>
  </r>
  <r>
    <s v="ORD_002032"/>
    <s v="CUST_02032"/>
    <d v="2023-01-27T00:00:00"/>
    <s v="Friday"/>
    <n v="23"/>
    <x v="2"/>
    <x v="0"/>
    <x v="8"/>
    <x v="5"/>
    <n v="230.7"/>
    <n v="2"/>
    <n v="0"/>
    <n v="461.4"/>
    <x v="3"/>
    <s v="Desktop"/>
    <n v="6"/>
    <n v="12"/>
    <b v="0"/>
    <n v="2"/>
    <n v="3"/>
  </r>
  <r>
    <s v="ORD_002406"/>
    <s v="CUST_02406"/>
    <d v="2023-01-27T00:00:00"/>
    <s v="Friday"/>
    <n v="51"/>
    <x v="1"/>
    <x v="1"/>
    <x v="3"/>
    <x v="0"/>
    <n v="186.08"/>
    <n v="4"/>
    <n v="0"/>
    <n v="744.32"/>
    <x v="1"/>
    <s v="Mobile"/>
    <n v="10"/>
    <n v="8"/>
    <b v="0"/>
    <n v="7"/>
    <n v="4"/>
  </r>
  <r>
    <s v="ORD_003063"/>
    <s v="CUST_03063"/>
    <d v="2023-01-27T00:00:00"/>
    <s v="Friday"/>
    <n v="33"/>
    <x v="0"/>
    <x v="0"/>
    <x v="9"/>
    <x v="7"/>
    <n v="65.180000000000007"/>
    <n v="5"/>
    <n v="0"/>
    <n v="325.89999999999998"/>
    <x v="0"/>
    <s v="Desktop"/>
    <n v="9"/>
    <n v="10"/>
    <b v="0"/>
    <n v="5"/>
    <n v="1"/>
  </r>
  <r>
    <s v="ORD_002435"/>
    <s v="CUST_02435"/>
    <d v="2023-01-28T00:00:00"/>
    <s v="Saturday"/>
    <n v="37"/>
    <x v="0"/>
    <x v="1"/>
    <x v="0"/>
    <x v="0"/>
    <n v="92.73"/>
    <n v="1"/>
    <n v="25"/>
    <n v="67.73"/>
    <x v="1"/>
    <s v="Desktop"/>
    <n v="12"/>
    <n v="3"/>
    <b v="0"/>
    <n v="11"/>
    <n v="2"/>
  </r>
  <r>
    <s v="ORD_001133"/>
    <s v="CUST_01133"/>
    <d v="2023-01-28T00:00:00"/>
    <s v="Saturday"/>
    <n v="54"/>
    <x v="1"/>
    <x v="0"/>
    <x v="0"/>
    <x v="0"/>
    <n v="96.77"/>
    <n v="4"/>
    <n v="0"/>
    <n v="387.08"/>
    <x v="0"/>
    <s v="Mobile"/>
    <n v="4"/>
    <n v="8"/>
    <b v="1"/>
    <n v="7"/>
    <n v="4"/>
  </r>
  <r>
    <s v="ORD_001343"/>
    <s v="CUST_01343"/>
    <d v="2023-01-28T00:00:00"/>
    <s v="Saturday"/>
    <n v="40"/>
    <x v="0"/>
    <x v="1"/>
    <x v="9"/>
    <x v="7"/>
    <n v="69.53"/>
    <n v="2"/>
    <n v="0"/>
    <n v="139.06"/>
    <x v="1"/>
    <s v="Desktop"/>
    <n v="29"/>
    <n v="9"/>
    <b v="0"/>
    <n v="8"/>
    <n v="3"/>
  </r>
  <r>
    <s v="ORD_000324"/>
    <s v="CUST_00324"/>
    <d v="2023-01-28T00:00:00"/>
    <s v="Saturday"/>
    <n v="60"/>
    <x v="1"/>
    <x v="1"/>
    <x v="2"/>
    <x v="1"/>
    <n v="49.39"/>
    <n v="1"/>
    <n v="0"/>
    <n v="49.39"/>
    <x v="0"/>
    <s v="Tablet"/>
    <n v="14"/>
    <n v="12"/>
    <b v="1"/>
    <n v="6"/>
    <n v="4"/>
  </r>
  <r>
    <s v="ORD_004288"/>
    <s v="CUST_04288"/>
    <d v="2023-01-28T00:00:00"/>
    <s v="Saturday"/>
    <n v="37"/>
    <x v="0"/>
    <x v="0"/>
    <x v="9"/>
    <x v="3"/>
    <n v="831.65"/>
    <n v="2"/>
    <n v="184.33"/>
    <n v="1478.97"/>
    <x v="0"/>
    <s v="Mobile"/>
    <n v="24"/>
    <n v="10"/>
    <b v="1"/>
    <n v="6"/>
    <n v="4"/>
  </r>
  <r>
    <s v="ORD_001165"/>
    <s v="CUST_01165"/>
    <d v="2023-01-28T00:00:00"/>
    <s v="Saturday"/>
    <n v="47"/>
    <x v="1"/>
    <x v="0"/>
    <x v="8"/>
    <x v="1"/>
    <n v="45.81"/>
    <n v="1"/>
    <n v="0"/>
    <n v="45.81"/>
    <x v="1"/>
    <s v="Mobile"/>
    <n v="19"/>
    <n v="8"/>
    <b v="0"/>
    <n v="5"/>
    <n v="5"/>
  </r>
  <r>
    <s v="ORD_004643"/>
    <s v="CUST_04643"/>
    <d v="2023-01-28T00:00:00"/>
    <s v="Saturday"/>
    <n v="32"/>
    <x v="0"/>
    <x v="1"/>
    <x v="3"/>
    <x v="7"/>
    <n v="56.2"/>
    <n v="1"/>
    <n v="6.23"/>
    <n v="49.97"/>
    <x v="4"/>
    <s v="Tablet"/>
    <n v="4"/>
    <n v="9"/>
    <b v="1"/>
    <n v="8"/>
    <n v="3"/>
  </r>
  <r>
    <s v="ORD_003868"/>
    <s v="CUST_03868"/>
    <d v="2023-01-28T00:00:00"/>
    <s v="Saturday"/>
    <n v="54"/>
    <x v="1"/>
    <x v="1"/>
    <x v="3"/>
    <x v="5"/>
    <n v="431.67"/>
    <n v="2"/>
    <n v="0"/>
    <n v="863.34"/>
    <x v="3"/>
    <s v="Mobile"/>
    <n v="9"/>
    <n v="17"/>
    <b v="1"/>
    <n v="3"/>
    <n v="3"/>
  </r>
  <r>
    <s v="ORD_000123"/>
    <s v="CUST_00123"/>
    <d v="2023-01-29T00:00:00"/>
    <s v="Sunday"/>
    <n v="51"/>
    <x v="1"/>
    <x v="1"/>
    <x v="1"/>
    <x v="7"/>
    <n v="13.38"/>
    <n v="1"/>
    <n v="2.36"/>
    <n v="11.02"/>
    <x v="2"/>
    <s v="Mobile"/>
    <n v="11"/>
    <n v="9"/>
    <b v="1"/>
    <n v="5"/>
    <n v="1"/>
  </r>
  <r>
    <s v="ORD_004732"/>
    <s v="CUST_04732"/>
    <d v="2023-01-29T00:00:00"/>
    <s v="Sunday"/>
    <n v="34"/>
    <x v="0"/>
    <x v="1"/>
    <x v="3"/>
    <x v="4"/>
    <n v="150.19"/>
    <n v="1"/>
    <n v="0"/>
    <n v="150.19"/>
    <x v="0"/>
    <s v="Mobile"/>
    <n v="31"/>
    <n v="4"/>
    <b v="1"/>
    <n v="1"/>
    <n v="4"/>
  </r>
  <r>
    <s v="ORD_002805"/>
    <s v="CUST_02805"/>
    <d v="2023-01-29T00:00:00"/>
    <s v="Sunday"/>
    <n v="33"/>
    <x v="0"/>
    <x v="1"/>
    <x v="2"/>
    <x v="3"/>
    <n v="252.02"/>
    <n v="2"/>
    <n v="46.12"/>
    <n v="457.92"/>
    <x v="3"/>
    <s v="Mobile"/>
    <n v="15"/>
    <n v="7"/>
    <b v="0"/>
    <n v="7"/>
    <n v="5"/>
  </r>
  <r>
    <s v="ORD_003515"/>
    <s v="CUST_03515"/>
    <d v="2023-01-29T00:00:00"/>
    <s v="Sunday"/>
    <n v="40"/>
    <x v="0"/>
    <x v="0"/>
    <x v="8"/>
    <x v="7"/>
    <n v="64.040000000000006"/>
    <n v="3"/>
    <n v="18.47"/>
    <n v="173.65"/>
    <x v="0"/>
    <s v="Desktop"/>
    <n v="16"/>
    <n v="10"/>
    <b v="0"/>
    <n v="18"/>
    <n v="2"/>
  </r>
  <r>
    <s v="ORD_002201"/>
    <s v="CUST_02201"/>
    <d v="2023-01-29T00:00:00"/>
    <s v="Sunday"/>
    <n v="56"/>
    <x v="1"/>
    <x v="1"/>
    <x v="2"/>
    <x v="1"/>
    <n v="40.83"/>
    <n v="2"/>
    <n v="0"/>
    <n v="81.66"/>
    <x v="0"/>
    <s v="Tablet"/>
    <n v="11"/>
    <n v="7"/>
    <b v="1"/>
    <n v="2"/>
    <n v="2"/>
  </r>
  <r>
    <s v="ORD_002068"/>
    <s v="CUST_02068"/>
    <d v="2023-01-29T00:00:00"/>
    <s v="Sunday"/>
    <n v="33"/>
    <x v="0"/>
    <x v="0"/>
    <x v="4"/>
    <x v="2"/>
    <n v="5164.6400000000003"/>
    <n v="3"/>
    <n v="1394.26"/>
    <n v="14099.66"/>
    <x v="0"/>
    <s v="Mobile"/>
    <n v="11"/>
    <n v="8"/>
    <b v="1"/>
    <n v="5"/>
    <n v="1"/>
  </r>
  <r>
    <s v="ORD_003395"/>
    <s v="CUST_03395"/>
    <d v="2023-01-29T00:00:00"/>
    <s v="Sunday"/>
    <n v="58"/>
    <x v="1"/>
    <x v="1"/>
    <x v="5"/>
    <x v="2"/>
    <n v="1263.25"/>
    <n v="1"/>
    <n v="0"/>
    <n v="1263.25"/>
    <x v="4"/>
    <s v="Mobile"/>
    <n v="34"/>
    <n v="8"/>
    <b v="0"/>
    <n v="4"/>
    <n v="5"/>
  </r>
  <r>
    <s v="ORD_004780"/>
    <s v="CUST_04780"/>
    <d v="2023-01-29T00:00:00"/>
    <s v="Sunday"/>
    <n v="18"/>
    <x v="2"/>
    <x v="0"/>
    <x v="1"/>
    <x v="4"/>
    <n v="52.51"/>
    <n v="3"/>
    <n v="0"/>
    <n v="157.53"/>
    <x v="1"/>
    <s v="Mobile"/>
    <n v="37"/>
    <n v="12"/>
    <b v="0"/>
    <n v="1"/>
    <n v="5"/>
  </r>
  <r>
    <s v="ORD_003801"/>
    <s v="CUST_03801"/>
    <d v="2023-01-29T00:00:00"/>
    <s v="Sunday"/>
    <n v="18"/>
    <x v="2"/>
    <x v="1"/>
    <x v="3"/>
    <x v="1"/>
    <n v="79.510000000000005"/>
    <n v="4"/>
    <n v="0"/>
    <n v="318.04000000000002"/>
    <x v="0"/>
    <s v="Desktop"/>
    <n v="5"/>
    <n v="9"/>
    <b v="1"/>
    <n v="5"/>
    <n v="1"/>
  </r>
  <r>
    <s v="ORD_001533"/>
    <s v="CUST_01533"/>
    <d v="2023-01-29T00:00:00"/>
    <s v="Sunday"/>
    <n v="38"/>
    <x v="0"/>
    <x v="1"/>
    <x v="0"/>
    <x v="0"/>
    <n v="222.64"/>
    <n v="1"/>
    <n v="0"/>
    <n v="222.64"/>
    <x v="1"/>
    <s v="Mobile"/>
    <n v="6"/>
    <n v="12"/>
    <b v="0"/>
    <n v="7"/>
    <n v="3"/>
  </r>
  <r>
    <s v="ORD_000393"/>
    <s v="CUST_00393"/>
    <d v="2023-01-30T00:00:00"/>
    <s v="Monday"/>
    <n v="19"/>
    <x v="2"/>
    <x v="0"/>
    <x v="3"/>
    <x v="1"/>
    <n v="17.809999999999999"/>
    <n v="1"/>
    <n v="1.41"/>
    <n v="16.399999999999999"/>
    <x v="0"/>
    <s v="Mobile"/>
    <n v="17"/>
    <n v="11"/>
    <b v="1"/>
    <n v="6"/>
    <n v="5"/>
  </r>
  <r>
    <s v="ORD_002209"/>
    <s v="CUST_02209"/>
    <d v="2023-01-30T00:00:00"/>
    <s v="Monday"/>
    <n v="31"/>
    <x v="0"/>
    <x v="1"/>
    <x v="3"/>
    <x v="1"/>
    <n v="71.28"/>
    <n v="1"/>
    <n v="0"/>
    <n v="71.28"/>
    <x v="4"/>
    <s v="Tablet"/>
    <n v="12"/>
    <n v="7"/>
    <b v="1"/>
    <n v="5"/>
    <n v="5"/>
  </r>
  <r>
    <s v="ORD_000235"/>
    <s v="CUST_00235"/>
    <d v="2023-01-30T00:00:00"/>
    <s v="Monday"/>
    <n v="60"/>
    <x v="1"/>
    <x v="0"/>
    <x v="2"/>
    <x v="3"/>
    <n v="785.55"/>
    <n v="1"/>
    <n v="0"/>
    <n v="785.55"/>
    <x v="1"/>
    <s v="Mobile"/>
    <n v="1"/>
    <n v="11"/>
    <b v="1"/>
    <n v="9"/>
    <n v="4"/>
  </r>
  <r>
    <s v="ORD_003402"/>
    <s v="CUST_03402"/>
    <d v="2023-01-30T00:00:00"/>
    <s v="Monday"/>
    <n v="41"/>
    <x v="0"/>
    <x v="1"/>
    <x v="1"/>
    <x v="0"/>
    <n v="221.16"/>
    <n v="2"/>
    <n v="0"/>
    <n v="442.32"/>
    <x v="2"/>
    <s v="Desktop"/>
    <n v="9"/>
    <n v="2"/>
    <b v="0"/>
    <n v="10"/>
    <n v="4"/>
  </r>
  <r>
    <s v="ORD_002653"/>
    <s v="CUST_02653"/>
    <d v="2023-01-30T00:00:00"/>
    <s v="Monday"/>
    <n v="41"/>
    <x v="0"/>
    <x v="0"/>
    <x v="3"/>
    <x v="0"/>
    <n v="238.51"/>
    <n v="1"/>
    <n v="0"/>
    <n v="238.51"/>
    <x v="1"/>
    <s v="Mobile"/>
    <n v="11"/>
    <n v="16"/>
    <b v="1"/>
    <n v="7"/>
    <n v="1"/>
  </r>
  <r>
    <s v="ORD_000408"/>
    <s v="CUST_00408"/>
    <d v="2023-01-30T00:00:00"/>
    <s v="Monday"/>
    <n v="33"/>
    <x v="0"/>
    <x v="0"/>
    <x v="5"/>
    <x v="3"/>
    <n v="235.02"/>
    <n v="2"/>
    <n v="0"/>
    <n v="470.04"/>
    <x v="0"/>
    <s v="Tablet"/>
    <n v="11"/>
    <n v="13"/>
    <b v="1"/>
    <n v="12"/>
    <n v="4"/>
  </r>
  <r>
    <s v="ORD_003578"/>
    <s v="CUST_03578"/>
    <d v="2023-01-30T00:00:00"/>
    <s v="Monday"/>
    <n v="27"/>
    <x v="0"/>
    <x v="0"/>
    <x v="0"/>
    <x v="0"/>
    <n v="190.94"/>
    <n v="4"/>
    <n v="28.38"/>
    <n v="735.38"/>
    <x v="3"/>
    <s v="Desktop"/>
    <n v="19"/>
    <n v="5"/>
    <b v="1"/>
    <n v="6"/>
    <n v="5"/>
  </r>
  <r>
    <s v="ORD_004724"/>
    <s v="CUST_04724"/>
    <d v="2023-01-30T00:00:00"/>
    <s v="Monday"/>
    <n v="31"/>
    <x v="0"/>
    <x v="0"/>
    <x v="3"/>
    <x v="0"/>
    <n v="110.26"/>
    <n v="1"/>
    <n v="0"/>
    <n v="110.26"/>
    <x v="1"/>
    <s v="Mobile"/>
    <n v="1"/>
    <n v="10"/>
    <b v="1"/>
    <n v="4"/>
    <n v="5"/>
  </r>
  <r>
    <s v="ORD_000400"/>
    <s v="CUST_00400"/>
    <d v="2023-01-30T00:00:00"/>
    <s v="Monday"/>
    <n v="49"/>
    <x v="1"/>
    <x v="0"/>
    <x v="9"/>
    <x v="4"/>
    <n v="178.19"/>
    <n v="2"/>
    <n v="0"/>
    <n v="356.38"/>
    <x v="0"/>
    <s v="Mobile"/>
    <n v="16"/>
    <n v="9"/>
    <b v="1"/>
    <n v="4"/>
    <n v="3"/>
  </r>
  <r>
    <s v="ORD_003424"/>
    <s v="CUST_03424"/>
    <d v="2023-01-31T00:00:00"/>
    <s v="Tuesday"/>
    <n v="40"/>
    <x v="0"/>
    <x v="0"/>
    <x v="3"/>
    <x v="3"/>
    <n v="178.93"/>
    <n v="1"/>
    <n v="15.22"/>
    <n v="163.71"/>
    <x v="1"/>
    <s v="Mobile"/>
    <n v="15"/>
    <n v="8"/>
    <b v="1"/>
    <n v="10"/>
    <n v="4"/>
  </r>
  <r>
    <s v="ORD_003711"/>
    <s v="CUST_03711"/>
    <d v="2023-01-31T00:00:00"/>
    <s v="Tuesday"/>
    <n v="18"/>
    <x v="2"/>
    <x v="1"/>
    <x v="3"/>
    <x v="0"/>
    <n v="158.02000000000001"/>
    <n v="1"/>
    <n v="21.85"/>
    <n v="136.16999999999999"/>
    <x v="1"/>
    <s v="Desktop"/>
    <n v="36"/>
    <n v="9"/>
    <b v="0"/>
    <n v="9"/>
    <n v="1"/>
  </r>
  <r>
    <s v="ORD_004413"/>
    <s v="CUST_04413"/>
    <d v="2023-01-31T00:00:00"/>
    <s v="Tuesday"/>
    <n v="22"/>
    <x v="2"/>
    <x v="1"/>
    <x v="3"/>
    <x v="5"/>
    <n v="485.83"/>
    <n v="1"/>
    <n v="0"/>
    <n v="485.83"/>
    <x v="1"/>
    <s v="Mobile"/>
    <n v="24"/>
    <n v="12"/>
    <b v="1"/>
    <n v="6"/>
    <n v="4"/>
  </r>
  <r>
    <s v="ORD_003220"/>
    <s v="CUST_03220"/>
    <d v="2023-01-31T00:00:00"/>
    <s v="Tuesday"/>
    <n v="43"/>
    <x v="0"/>
    <x v="0"/>
    <x v="4"/>
    <x v="4"/>
    <n v="28.39"/>
    <n v="1"/>
    <n v="0"/>
    <n v="28.39"/>
    <x v="1"/>
    <s v="Mobile"/>
    <n v="13"/>
    <n v="10"/>
    <b v="1"/>
    <n v="12"/>
    <n v="5"/>
  </r>
  <r>
    <s v="ORD_004390"/>
    <s v="CUST_04390"/>
    <d v="2023-01-31T00:00:00"/>
    <s v="Tuesday"/>
    <n v="42"/>
    <x v="0"/>
    <x v="1"/>
    <x v="3"/>
    <x v="5"/>
    <n v="274.43"/>
    <n v="3"/>
    <n v="47.04"/>
    <n v="776.25"/>
    <x v="0"/>
    <s v="Mobile"/>
    <n v="27"/>
    <n v="9"/>
    <b v="1"/>
    <n v="12"/>
    <n v="4"/>
  </r>
  <r>
    <s v="ORD_004899"/>
    <s v="CUST_04899"/>
    <d v="2023-01-31T00:00:00"/>
    <s v="Tuesday"/>
    <n v="43"/>
    <x v="0"/>
    <x v="1"/>
    <x v="9"/>
    <x v="1"/>
    <n v="76.5"/>
    <n v="1"/>
    <n v="6.92"/>
    <n v="69.58"/>
    <x v="1"/>
    <s v="Desktop"/>
    <n v="16"/>
    <n v="12"/>
    <b v="0"/>
    <n v="5"/>
    <n v="4"/>
  </r>
  <r>
    <s v="ORD_000289"/>
    <s v="CUST_00289"/>
    <d v="2023-01-31T00:00:00"/>
    <s v="Tuesday"/>
    <n v="38"/>
    <x v="0"/>
    <x v="0"/>
    <x v="3"/>
    <x v="5"/>
    <n v="66.84"/>
    <n v="4"/>
    <n v="0"/>
    <n v="267.36"/>
    <x v="1"/>
    <s v="Desktop"/>
    <n v="27"/>
    <n v="7"/>
    <b v="0"/>
    <n v="5"/>
    <n v="4"/>
  </r>
  <r>
    <s v="ORD_004680"/>
    <s v="CUST_04680"/>
    <d v="2023-01-31T00:00:00"/>
    <s v="Tuesday"/>
    <n v="38"/>
    <x v="0"/>
    <x v="0"/>
    <x v="0"/>
    <x v="6"/>
    <n v="589.21"/>
    <n v="2"/>
    <n v="0"/>
    <n v="1178.42"/>
    <x v="0"/>
    <s v="Mobile"/>
    <n v="12"/>
    <n v="6"/>
    <b v="1"/>
    <n v="7"/>
    <n v="5"/>
  </r>
  <r>
    <s v="ORD_002880"/>
    <s v="CUST_02880"/>
    <d v="2023-01-31T00:00:00"/>
    <s v="Tuesday"/>
    <n v="32"/>
    <x v="0"/>
    <x v="1"/>
    <x v="3"/>
    <x v="1"/>
    <n v="61.49"/>
    <n v="5"/>
    <n v="0"/>
    <n v="307.45"/>
    <x v="1"/>
    <s v="Desktop"/>
    <n v="11"/>
    <n v="6"/>
    <b v="0"/>
    <n v="4"/>
    <n v="4"/>
  </r>
  <r>
    <s v="ORD_003735"/>
    <s v="CUST_03735"/>
    <d v="2023-01-31T00:00:00"/>
    <s v="Tuesday"/>
    <n v="44"/>
    <x v="0"/>
    <x v="0"/>
    <x v="7"/>
    <x v="7"/>
    <n v="38.979999999999997"/>
    <n v="4"/>
    <n v="0"/>
    <n v="155.91999999999999"/>
    <x v="1"/>
    <s v="Mobile"/>
    <n v="4"/>
    <n v="12"/>
    <b v="0"/>
    <n v="7"/>
    <n v="5"/>
  </r>
  <r>
    <s v="ORD_001939"/>
    <s v="CUST_01939"/>
    <d v="2023-01-31T00:00:00"/>
    <s v="Tuesday"/>
    <n v="48"/>
    <x v="1"/>
    <x v="0"/>
    <x v="9"/>
    <x v="4"/>
    <n v="42.57"/>
    <n v="1"/>
    <n v="11.98"/>
    <n v="30.59"/>
    <x v="4"/>
    <s v="Mobile"/>
    <n v="22"/>
    <n v="7"/>
    <b v="0"/>
    <n v="4"/>
    <n v="5"/>
  </r>
  <r>
    <s v="ORD_001194"/>
    <s v="CUST_01194"/>
    <d v="2023-01-31T00:00:00"/>
    <s v="Tuesday"/>
    <n v="38"/>
    <x v="0"/>
    <x v="1"/>
    <x v="3"/>
    <x v="4"/>
    <n v="187.86"/>
    <n v="1"/>
    <n v="49.94"/>
    <n v="137.91999999999999"/>
    <x v="4"/>
    <s v="Desktop"/>
    <n v="17"/>
    <n v="12"/>
    <b v="1"/>
    <n v="5"/>
    <n v="5"/>
  </r>
  <r>
    <s v="ORD_001247"/>
    <s v="CUST_01247"/>
    <d v="2023-01-31T00:00:00"/>
    <s v="Tuesday"/>
    <n v="35"/>
    <x v="0"/>
    <x v="1"/>
    <x v="9"/>
    <x v="6"/>
    <n v="118.78"/>
    <n v="1"/>
    <n v="0"/>
    <n v="118.78"/>
    <x v="0"/>
    <s v="Mobile"/>
    <n v="3"/>
    <n v="13"/>
    <b v="1"/>
    <n v="6"/>
    <n v="3"/>
  </r>
  <r>
    <s v="ORD_000371"/>
    <s v="CUST_00371"/>
    <d v="2023-01-31T00:00:00"/>
    <s v="Tuesday"/>
    <n v="35"/>
    <x v="0"/>
    <x v="0"/>
    <x v="7"/>
    <x v="7"/>
    <n v="51.94"/>
    <n v="1"/>
    <n v="14.38"/>
    <n v="37.56"/>
    <x v="3"/>
    <s v="Desktop"/>
    <n v="1"/>
    <n v="8"/>
    <b v="0"/>
    <n v="7"/>
    <n v="3"/>
  </r>
  <r>
    <s v="ORD_000397"/>
    <s v="CUST_00397"/>
    <d v="2023-02-01T00:00:00"/>
    <s v="Wednesday"/>
    <n v="18"/>
    <x v="2"/>
    <x v="0"/>
    <x v="2"/>
    <x v="2"/>
    <n v="1201.31"/>
    <n v="1"/>
    <n v="177.05"/>
    <n v="1024.26"/>
    <x v="1"/>
    <s v="Desktop"/>
    <n v="20"/>
    <n v="10"/>
    <b v="1"/>
    <n v="12"/>
    <n v="5"/>
  </r>
  <r>
    <s v="ORD_003372"/>
    <s v="CUST_03372"/>
    <d v="2023-02-01T00:00:00"/>
    <s v="Wednesday"/>
    <n v="20"/>
    <x v="2"/>
    <x v="1"/>
    <x v="4"/>
    <x v="6"/>
    <n v="419.96"/>
    <n v="5"/>
    <n v="0"/>
    <n v="2099.8000000000002"/>
    <x v="4"/>
    <s v="Desktop"/>
    <n v="30"/>
    <n v="14"/>
    <b v="0"/>
    <n v="6"/>
    <n v="5"/>
  </r>
  <r>
    <s v="ORD_002238"/>
    <s v="CUST_02238"/>
    <d v="2023-02-01T00:00:00"/>
    <s v="Wednesday"/>
    <n v="23"/>
    <x v="2"/>
    <x v="1"/>
    <x v="0"/>
    <x v="1"/>
    <n v="61.2"/>
    <n v="2"/>
    <n v="0"/>
    <n v="122.4"/>
    <x v="0"/>
    <s v="Mobile"/>
    <n v="8"/>
    <n v="11"/>
    <b v="1"/>
    <n v="4"/>
    <n v="5"/>
  </r>
  <r>
    <s v="ORD_003540"/>
    <s v="CUST_03540"/>
    <d v="2023-02-01T00:00:00"/>
    <s v="Wednesday"/>
    <n v="33"/>
    <x v="0"/>
    <x v="1"/>
    <x v="0"/>
    <x v="7"/>
    <n v="43.59"/>
    <n v="2"/>
    <n v="0"/>
    <n v="87.18"/>
    <x v="3"/>
    <s v="Mobile"/>
    <n v="5"/>
    <n v="8"/>
    <b v="1"/>
    <n v="10"/>
    <n v="4"/>
  </r>
  <r>
    <s v="ORD_004924"/>
    <s v="CUST_04924"/>
    <d v="2023-02-01T00:00:00"/>
    <s v="Wednesday"/>
    <n v="51"/>
    <x v="1"/>
    <x v="1"/>
    <x v="9"/>
    <x v="7"/>
    <n v="80.38"/>
    <n v="2"/>
    <n v="4.2300000000000004"/>
    <n v="156.53"/>
    <x v="1"/>
    <s v="Mobile"/>
    <n v="2"/>
    <n v="10"/>
    <b v="1"/>
    <n v="4"/>
    <n v="5"/>
  </r>
  <r>
    <s v="ORD_001861"/>
    <s v="CUST_01861"/>
    <d v="2023-02-01T00:00:00"/>
    <s v="Wednesday"/>
    <n v="33"/>
    <x v="0"/>
    <x v="0"/>
    <x v="5"/>
    <x v="0"/>
    <n v="247.72"/>
    <n v="1"/>
    <n v="0"/>
    <n v="247.72"/>
    <x v="2"/>
    <s v="Tablet"/>
    <n v="54"/>
    <n v="10"/>
    <b v="1"/>
    <n v="8"/>
    <n v="5"/>
  </r>
  <r>
    <s v="ORD_003319"/>
    <s v="CUST_03319"/>
    <d v="2023-02-01T00:00:00"/>
    <s v="Wednesday"/>
    <n v="48"/>
    <x v="1"/>
    <x v="0"/>
    <x v="4"/>
    <x v="0"/>
    <n v="368.72"/>
    <n v="1"/>
    <n v="0"/>
    <n v="368.72"/>
    <x v="0"/>
    <s v="Desktop"/>
    <n v="15"/>
    <n v="8"/>
    <b v="0"/>
    <n v="5"/>
    <n v="3"/>
  </r>
  <r>
    <s v="ORD_000329"/>
    <s v="CUST_00329"/>
    <d v="2023-02-01T00:00:00"/>
    <s v="Wednesday"/>
    <n v="42"/>
    <x v="0"/>
    <x v="0"/>
    <x v="8"/>
    <x v="5"/>
    <n v="394.76"/>
    <n v="1"/>
    <n v="0"/>
    <n v="394.76"/>
    <x v="0"/>
    <s v="Mobile"/>
    <n v="21"/>
    <n v="13"/>
    <b v="1"/>
    <n v="3"/>
    <n v="5"/>
  </r>
  <r>
    <s v="ORD_001770"/>
    <s v="CUST_01770"/>
    <d v="2023-02-01T00:00:00"/>
    <s v="Wednesday"/>
    <n v="41"/>
    <x v="0"/>
    <x v="0"/>
    <x v="6"/>
    <x v="3"/>
    <n v="367.76"/>
    <n v="2"/>
    <n v="0"/>
    <n v="735.52"/>
    <x v="1"/>
    <s v="Tablet"/>
    <n v="3"/>
    <n v="7"/>
    <b v="1"/>
    <n v="8"/>
    <n v="3"/>
  </r>
  <r>
    <s v="ORD_000831"/>
    <s v="CUST_00831"/>
    <d v="2023-02-01T00:00:00"/>
    <s v="Wednesday"/>
    <n v="18"/>
    <x v="2"/>
    <x v="0"/>
    <x v="1"/>
    <x v="6"/>
    <n v="278.52999999999997"/>
    <n v="4"/>
    <n v="0"/>
    <n v="1114.1199999999999"/>
    <x v="1"/>
    <s v="Mobile"/>
    <n v="7"/>
    <n v="7"/>
    <b v="0"/>
    <n v="2"/>
    <n v="5"/>
  </r>
  <r>
    <s v="ORD_003100"/>
    <s v="CUST_03100"/>
    <d v="2023-02-01T00:00:00"/>
    <s v="Wednesday"/>
    <n v="41"/>
    <x v="0"/>
    <x v="1"/>
    <x v="2"/>
    <x v="3"/>
    <n v="249.14"/>
    <n v="5"/>
    <n v="51.02"/>
    <n v="1194.68"/>
    <x v="1"/>
    <s v="Mobile"/>
    <n v="12"/>
    <n v="6"/>
    <b v="0"/>
    <n v="9"/>
    <n v="4"/>
  </r>
  <r>
    <s v="ORD_003969"/>
    <s v="CUST_03969"/>
    <d v="2023-02-02T00:00:00"/>
    <s v="Thursday"/>
    <n v="59"/>
    <x v="1"/>
    <x v="1"/>
    <x v="6"/>
    <x v="4"/>
    <n v="64.72"/>
    <n v="1"/>
    <n v="0"/>
    <n v="64.72"/>
    <x v="0"/>
    <s v="Tablet"/>
    <n v="7"/>
    <n v="8"/>
    <b v="1"/>
    <n v="8"/>
    <n v="5"/>
  </r>
  <r>
    <s v="ORD_004213"/>
    <s v="CUST_04213"/>
    <d v="2023-02-02T00:00:00"/>
    <s v="Thursday"/>
    <n v="44"/>
    <x v="0"/>
    <x v="1"/>
    <x v="3"/>
    <x v="4"/>
    <n v="132.63"/>
    <n v="1"/>
    <n v="15.04"/>
    <n v="117.59"/>
    <x v="1"/>
    <s v="Desktop"/>
    <n v="13"/>
    <n v="11"/>
    <b v="0"/>
    <n v="10"/>
    <n v="5"/>
  </r>
  <r>
    <s v="ORD_000824"/>
    <s v="CUST_00824"/>
    <d v="2023-02-02T00:00:00"/>
    <s v="Thursday"/>
    <n v="30"/>
    <x v="0"/>
    <x v="0"/>
    <x v="3"/>
    <x v="7"/>
    <n v="49.54"/>
    <n v="1"/>
    <n v="0"/>
    <n v="49.54"/>
    <x v="3"/>
    <s v="Desktop"/>
    <n v="14"/>
    <n v="11"/>
    <b v="1"/>
    <n v="5"/>
    <n v="5"/>
  </r>
  <r>
    <s v="ORD_000173"/>
    <s v="CUST_00173"/>
    <d v="2023-02-02T00:00:00"/>
    <s v="Thursday"/>
    <n v="34"/>
    <x v="0"/>
    <x v="0"/>
    <x v="2"/>
    <x v="2"/>
    <n v="1563.53"/>
    <n v="3"/>
    <n v="0"/>
    <n v="4690.59"/>
    <x v="2"/>
    <s v="Desktop"/>
    <n v="5"/>
    <n v="8"/>
    <b v="1"/>
    <n v="7"/>
    <n v="4"/>
  </r>
  <r>
    <s v="ORD_001839"/>
    <s v="CUST_01839"/>
    <d v="2023-02-02T00:00:00"/>
    <s v="Thursday"/>
    <n v="34"/>
    <x v="0"/>
    <x v="0"/>
    <x v="3"/>
    <x v="6"/>
    <n v="1613.69"/>
    <n v="4"/>
    <n v="0"/>
    <n v="6454.76"/>
    <x v="1"/>
    <s v="Desktop"/>
    <n v="9"/>
    <n v="8"/>
    <b v="0"/>
    <n v="7"/>
    <n v="4"/>
  </r>
  <r>
    <s v="ORD_002568"/>
    <s v="CUST_02568"/>
    <d v="2023-02-02T00:00:00"/>
    <s v="Thursday"/>
    <n v="42"/>
    <x v="0"/>
    <x v="0"/>
    <x v="8"/>
    <x v="5"/>
    <n v="167.43"/>
    <n v="1"/>
    <n v="0"/>
    <n v="167.43"/>
    <x v="1"/>
    <s v="Desktop"/>
    <n v="18"/>
    <n v="7"/>
    <b v="0"/>
    <n v="11"/>
    <n v="4"/>
  </r>
  <r>
    <s v="ORD_002491"/>
    <s v="CUST_02491"/>
    <d v="2023-02-02T00:00:00"/>
    <s v="Thursday"/>
    <n v="34"/>
    <x v="0"/>
    <x v="0"/>
    <x v="4"/>
    <x v="6"/>
    <n v="580"/>
    <n v="1"/>
    <n v="0"/>
    <n v="580"/>
    <x v="2"/>
    <s v="Mobile"/>
    <n v="8"/>
    <n v="8"/>
    <b v="0"/>
    <n v="3"/>
    <n v="5"/>
  </r>
  <r>
    <s v="ORD_004470"/>
    <s v="CUST_04470"/>
    <d v="2023-02-02T00:00:00"/>
    <s v="Thursday"/>
    <n v="39"/>
    <x v="0"/>
    <x v="1"/>
    <x v="3"/>
    <x v="1"/>
    <n v="102.74"/>
    <n v="3"/>
    <n v="0"/>
    <n v="308.22000000000003"/>
    <x v="3"/>
    <s v="Mobile"/>
    <n v="16"/>
    <n v="15"/>
    <b v="0"/>
    <n v="6"/>
    <n v="1"/>
  </r>
  <r>
    <s v="ORD_003422"/>
    <s v="CUST_03422"/>
    <d v="2023-02-02T00:00:00"/>
    <s v="Thursday"/>
    <n v="34"/>
    <x v="0"/>
    <x v="2"/>
    <x v="0"/>
    <x v="3"/>
    <n v="1046.76"/>
    <n v="2"/>
    <n v="0"/>
    <n v="2093.52"/>
    <x v="3"/>
    <s v="Tablet"/>
    <n v="5"/>
    <n v="7"/>
    <b v="1"/>
    <n v="5"/>
    <n v="4"/>
  </r>
  <r>
    <s v="ORD_001716"/>
    <s v="CUST_01716"/>
    <d v="2023-02-02T00:00:00"/>
    <s v="Thursday"/>
    <n v="33"/>
    <x v="0"/>
    <x v="1"/>
    <x v="4"/>
    <x v="7"/>
    <n v="31.44"/>
    <n v="1"/>
    <n v="0"/>
    <n v="31.44"/>
    <x v="3"/>
    <s v="Mobile"/>
    <n v="10"/>
    <n v="6"/>
    <b v="1"/>
    <n v="7"/>
    <n v="3"/>
  </r>
  <r>
    <s v="ORD_004770"/>
    <s v="CUST_04770"/>
    <d v="2023-02-02T00:00:00"/>
    <s v="Thursday"/>
    <n v="44"/>
    <x v="0"/>
    <x v="1"/>
    <x v="2"/>
    <x v="1"/>
    <n v="76.58"/>
    <n v="2"/>
    <n v="0"/>
    <n v="153.16"/>
    <x v="4"/>
    <s v="Desktop"/>
    <n v="19"/>
    <n v="12"/>
    <b v="1"/>
    <n v="7"/>
    <n v="2"/>
  </r>
  <r>
    <s v="ORD_000277"/>
    <s v="CUST_00277"/>
    <d v="2023-02-02T00:00:00"/>
    <s v="Thursday"/>
    <n v="37"/>
    <x v="0"/>
    <x v="1"/>
    <x v="3"/>
    <x v="5"/>
    <n v="114.14"/>
    <n v="2"/>
    <n v="0"/>
    <n v="228.28"/>
    <x v="4"/>
    <s v="Mobile"/>
    <n v="5"/>
    <n v="10"/>
    <b v="1"/>
    <n v="9"/>
    <n v="5"/>
  </r>
  <r>
    <s v="ORD_002736"/>
    <s v="CUST_02736"/>
    <d v="2023-02-03T00:00:00"/>
    <s v="Friday"/>
    <n v="28"/>
    <x v="0"/>
    <x v="0"/>
    <x v="3"/>
    <x v="7"/>
    <n v="76.709999999999994"/>
    <n v="5"/>
    <n v="0"/>
    <n v="383.55"/>
    <x v="1"/>
    <s v="Mobile"/>
    <n v="14"/>
    <n v="8"/>
    <b v="1"/>
    <n v="10"/>
    <n v="5"/>
  </r>
  <r>
    <s v="ORD_001876"/>
    <s v="CUST_01876"/>
    <d v="2023-02-03T00:00:00"/>
    <s v="Friday"/>
    <n v="51"/>
    <x v="1"/>
    <x v="0"/>
    <x v="3"/>
    <x v="5"/>
    <n v="179.02"/>
    <n v="4"/>
    <n v="0"/>
    <n v="716.08"/>
    <x v="0"/>
    <s v="Mobile"/>
    <n v="30"/>
    <n v="10"/>
    <b v="1"/>
    <n v="3"/>
    <n v="2"/>
  </r>
  <r>
    <s v="ORD_002272"/>
    <s v="CUST_02272"/>
    <d v="2023-02-03T00:00:00"/>
    <s v="Friday"/>
    <n v="29"/>
    <x v="0"/>
    <x v="1"/>
    <x v="6"/>
    <x v="1"/>
    <n v="51.69"/>
    <n v="3"/>
    <n v="2.68"/>
    <n v="152.38999999999999"/>
    <x v="4"/>
    <s v="Desktop"/>
    <n v="13"/>
    <n v="9"/>
    <b v="1"/>
    <n v="3"/>
    <n v="5"/>
  </r>
  <r>
    <s v="ORD_001158"/>
    <s v="CUST_01158"/>
    <d v="2023-02-03T00:00:00"/>
    <s v="Friday"/>
    <n v="62"/>
    <x v="1"/>
    <x v="0"/>
    <x v="3"/>
    <x v="5"/>
    <n v="692.89"/>
    <n v="1"/>
    <n v="0"/>
    <n v="692.89"/>
    <x v="4"/>
    <s v="Mobile"/>
    <n v="36"/>
    <n v="8"/>
    <b v="1"/>
    <n v="5"/>
    <n v="4"/>
  </r>
  <r>
    <s v="ORD_004717"/>
    <s v="CUST_04717"/>
    <d v="2023-02-03T00:00:00"/>
    <s v="Friday"/>
    <n v="63"/>
    <x v="1"/>
    <x v="0"/>
    <x v="6"/>
    <x v="4"/>
    <n v="124.94"/>
    <n v="2"/>
    <n v="26.52"/>
    <n v="223.36"/>
    <x v="3"/>
    <s v="Mobile"/>
    <n v="25"/>
    <n v="10"/>
    <b v="1"/>
    <n v="5"/>
    <n v="5"/>
  </r>
  <r>
    <s v="ORD_002770"/>
    <s v="CUST_02770"/>
    <d v="2023-02-03T00:00:00"/>
    <s v="Friday"/>
    <n v="32"/>
    <x v="0"/>
    <x v="1"/>
    <x v="2"/>
    <x v="1"/>
    <n v="54.08"/>
    <n v="5"/>
    <n v="0"/>
    <n v="270.39999999999998"/>
    <x v="1"/>
    <s v="Tablet"/>
    <n v="22"/>
    <n v="10"/>
    <b v="1"/>
    <n v="11"/>
    <n v="1"/>
  </r>
  <r>
    <s v="ORD_000131"/>
    <s v="CUST_00131"/>
    <d v="2023-02-03T00:00:00"/>
    <s v="Friday"/>
    <n v="18"/>
    <x v="2"/>
    <x v="0"/>
    <x v="3"/>
    <x v="3"/>
    <n v="117.22"/>
    <n v="2"/>
    <n v="0"/>
    <n v="234.44"/>
    <x v="0"/>
    <s v="Tablet"/>
    <n v="17"/>
    <n v="8"/>
    <b v="0"/>
    <n v="3"/>
    <n v="4"/>
  </r>
  <r>
    <s v="ORD_003494"/>
    <s v="CUST_03494"/>
    <d v="2023-02-04T00:00:00"/>
    <s v="Saturday"/>
    <n v="28"/>
    <x v="0"/>
    <x v="0"/>
    <x v="8"/>
    <x v="2"/>
    <n v="3602.91"/>
    <n v="5"/>
    <n v="0"/>
    <n v="18014.55"/>
    <x v="1"/>
    <s v="Desktop"/>
    <n v="16"/>
    <n v="13"/>
    <b v="1"/>
    <n v="4"/>
    <n v="5"/>
  </r>
  <r>
    <s v="ORD_004675"/>
    <s v="CUST_04675"/>
    <d v="2023-02-04T00:00:00"/>
    <s v="Saturday"/>
    <n v="44"/>
    <x v="0"/>
    <x v="0"/>
    <x v="3"/>
    <x v="0"/>
    <n v="341.09"/>
    <n v="2"/>
    <n v="0"/>
    <n v="682.18"/>
    <x v="0"/>
    <s v="Desktop"/>
    <n v="15"/>
    <n v="11"/>
    <b v="0"/>
    <n v="7"/>
    <n v="1"/>
  </r>
  <r>
    <s v="ORD_000415"/>
    <s v="CUST_00415"/>
    <d v="2023-02-04T00:00:00"/>
    <s v="Saturday"/>
    <n v="38"/>
    <x v="0"/>
    <x v="1"/>
    <x v="0"/>
    <x v="4"/>
    <n v="135.88"/>
    <n v="4"/>
    <n v="16.14"/>
    <n v="527.38"/>
    <x v="1"/>
    <s v="Desktop"/>
    <n v="13"/>
    <n v="15"/>
    <b v="0"/>
    <n v="7"/>
    <n v="4"/>
  </r>
  <r>
    <s v="ORD_004162"/>
    <s v="CUST_04162"/>
    <d v="2023-02-04T00:00:00"/>
    <s v="Saturday"/>
    <n v="40"/>
    <x v="0"/>
    <x v="0"/>
    <x v="3"/>
    <x v="7"/>
    <n v="19.37"/>
    <n v="1"/>
    <n v="0"/>
    <n v="19.37"/>
    <x v="3"/>
    <s v="Mobile"/>
    <n v="16"/>
    <n v="12"/>
    <b v="1"/>
    <n v="2"/>
    <n v="4"/>
  </r>
  <r>
    <s v="ORD_002538"/>
    <s v="CUST_02538"/>
    <d v="2023-02-04T00:00:00"/>
    <s v="Saturday"/>
    <n v="46"/>
    <x v="1"/>
    <x v="1"/>
    <x v="1"/>
    <x v="2"/>
    <n v="2222.5"/>
    <n v="4"/>
    <n v="0"/>
    <n v="8890"/>
    <x v="3"/>
    <s v="Desktop"/>
    <n v="4"/>
    <n v="10"/>
    <b v="1"/>
    <n v="6"/>
    <n v="5"/>
  </r>
  <r>
    <s v="ORD_001926"/>
    <s v="CUST_01926"/>
    <d v="2023-02-04T00:00:00"/>
    <s v="Saturday"/>
    <n v="23"/>
    <x v="2"/>
    <x v="1"/>
    <x v="2"/>
    <x v="4"/>
    <n v="109.83"/>
    <n v="2"/>
    <n v="30.49"/>
    <n v="189.17"/>
    <x v="0"/>
    <s v="Mobile"/>
    <n v="23"/>
    <n v="5"/>
    <b v="0"/>
    <n v="4"/>
    <n v="4"/>
  </r>
  <r>
    <s v="ORD_002673"/>
    <s v="CUST_02673"/>
    <d v="2023-02-04T00:00:00"/>
    <s v="Saturday"/>
    <n v="38"/>
    <x v="0"/>
    <x v="0"/>
    <x v="4"/>
    <x v="0"/>
    <n v="79.3"/>
    <n v="2"/>
    <n v="0"/>
    <n v="158.6"/>
    <x v="1"/>
    <s v="Tablet"/>
    <n v="31"/>
    <n v="7"/>
    <b v="0"/>
    <n v="8"/>
    <n v="3"/>
  </r>
  <r>
    <s v="ORD_002518"/>
    <s v="CUST_02518"/>
    <d v="2023-02-04T00:00:00"/>
    <s v="Saturday"/>
    <n v="18"/>
    <x v="2"/>
    <x v="0"/>
    <x v="3"/>
    <x v="2"/>
    <n v="342.48"/>
    <n v="1"/>
    <n v="0"/>
    <n v="342.48"/>
    <x v="1"/>
    <s v="Mobile"/>
    <n v="6"/>
    <n v="9"/>
    <b v="1"/>
    <n v="12"/>
    <n v="5"/>
  </r>
  <r>
    <s v="ORD_002193"/>
    <s v="CUST_02193"/>
    <d v="2023-02-04T00:00:00"/>
    <s v="Saturday"/>
    <n v="59"/>
    <x v="1"/>
    <x v="0"/>
    <x v="0"/>
    <x v="0"/>
    <n v="78.11"/>
    <n v="1"/>
    <n v="0"/>
    <n v="78.11"/>
    <x v="1"/>
    <s v="Mobile"/>
    <n v="15"/>
    <n v="7"/>
    <b v="0"/>
    <n v="18"/>
    <n v="5"/>
  </r>
  <r>
    <s v="ORD_000291"/>
    <s v="CUST_00291"/>
    <d v="2023-02-04T00:00:00"/>
    <s v="Saturday"/>
    <n v="32"/>
    <x v="0"/>
    <x v="0"/>
    <x v="9"/>
    <x v="6"/>
    <n v="349.92"/>
    <n v="1"/>
    <n v="0"/>
    <n v="349.92"/>
    <x v="3"/>
    <s v="Mobile"/>
    <n v="12"/>
    <n v="7"/>
    <b v="1"/>
    <n v="3"/>
    <n v="5"/>
  </r>
  <r>
    <s v="ORD_003727"/>
    <s v="CUST_03727"/>
    <d v="2023-02-04T00:00:00"/>
    <s v="Saturday"/>
    <n v="40"/>
    <x v="0"/>
    <x v="0"/>
    <x v="3"/>
    <x v="6"/>
    <n v="440.83"/>
    <n v="2"/>
    <n v="0"/>
    <n v="881.66"/>
    <x v="1"/>
    <s v="Desktop"/>
    <n v="3"/>
    <n v="11"/>
    <b v="1"/>
    <n v="4"/>
    <n v="1"/>
  </r>
  <r>
    <s v="ORD_000462"/>
    <s v="CUST_00462"/>
    <d v="2023-02-05T00:00:00"/>
    <s v="Sunday"/>
    <n v="35"/>
    <x v="0"/>
    <x v="1"/>
    <x v="4"/>
    <x v="6"/>
    <n v="205.05"/>
    <n v="2"/>
    <n v="0"/>
    <n v="410.1"/>
    <x v="1"/>
    <s v="Desktop"/>
    <n v="22"/>
    <n v="6"/>
    <b v="1"/>
    <n v="5"/>
    <n v="5"/>
  </r>
  <r>
    <s v="ORD_000077"/>
    <s v="CUST_00077"/>
    <d v="2023-02-05T00:00:00"/>
    <s v="Sunday"/>
    <n v="36"/>
    <x v="0"/>
    <x v="0"/>
    <x v="3"/>
    <x v="5"/>
    <n v="165.02"/>
    <n v="1"/>
    <n v="0"/>
    <n v="165.02"/>
    <x v="3"/>
    <s v="Desktop"/>
    <n v="7"/>
    <n v="13"/>
    <b v="1"/>
    <n v="3"/>
    <n v="2"/>
  </r>
  <r>
    <s v="ORD_004053"/>
    <s v="CUST_04053"/>
    <d v="2023-02-05T00:00:00"/>
    <s v="Sunday"/>
    <n v="40"/>
    <x v="0"/>
    <x v="0"/>
    <x v="4"/>
    <x v="3"/>
    <n v="493.49"/>
    <n v="2"/>
    <n v="0"/>
    <n v="986.98"/>
    <x v="1"/>
    <s v="Mobile"/>
    <n v="18"/>
    <n v="9"/>
    <b v="1"/>
    <n v="4"/>
    <n v="3"/>
  </r>
  <r>
    <s v="ORD_000244"/>
    <s v="CUST_00244"/>
    <d v="2023-02-05T00:00:00"/>
    <s v="Sunday"/>
    <n v="45"/>
    <x v="1"/>
    <x v="0"/>
    <x v="8"/>
    <x v="5"/>
    <n v="21.76"/>
    <n v="1"/>
    <n v="0"/>
    <n v="21.76"/>
    <x v="4"/>
    <s v="Desktop"/>
    <n v="8"/>
    <n v="9"/>
    <b v="0"/>
    <n v="9"/>
    <n v="4"/>
  </r>
  <r>
    <s v="ORD_000987"/>
    <s v="CUST_00987"/>
    <d v="2023-02-05T00:00:00"/>
    <s v="Sunday"/>
    <n v="53"/>
    <x v="1"/>
    <x v="0"/>
    <x v="3"/>
    <x v="3"/>
    <n v="288.88"/>
    <n v="1"/>
    <n v="71.209999999999994"/>
    <n v="217.67"/>
    <x v="1"/>
    <s v="Mobile"/>
    <n v="29"/>
    <n v="9"/>
    <b v="1"/>
    <n v="12"/>
    <n v="3"/>
  </r>
  <r>
    <s v="ORD_000608"/>
    <s v="CUST_00608"/>
    <d v="2023-02-05T00:00:00"/>
    <s v="Sunday"/>
    <n v="20"/>
    <x v="2"/>
    <x v="1"/>
    <x v="1"/>
    <x v="6"/>
    <n v="1119.96"/>
    <n v="1"/>
    <n v="0"/>
    <n v="1119.96"/>
    <x v="4"/>
    <s v="Desktop"/>
    <n v="16"/>
    <n v="12"/>
    <b v="0"/>
    <n v="5"/>
    <n v="5"/>
  </r>
  <r>
    <s v="ORD_003425"/>
    <s v="CUST_03425"/>
    <d v="2023-02-05T00:00:00"/>
    <s v="Sunday"/>
    <n v="18"/>
    <x v="2"/>
    <x v="0"/>
    <x v="0"/>
    <x v="3"/>
    <n v="1125.06"/>
    <n v="3"/>
    <n v="0"/>
    <n v="3375.18"/>
    <x v="4"/>
    <s v="Desktop"/>
    <n v="5"/>
    <n v="7"/>
    <b v="1"/>
    <n v="14"/>
    <n v="5"/>
  </r>
  <r>
    <s v="ORD_000919"/>
    <s v="CUST_00919"/>
    <d v="2023-02-05T00:00:00"/>
    <s v="Sunday"/>
    <n v="29"/>
    <x v="0"/>
    <x v="1"/>
    <x v="8"/>
    <x v="7"/>
    <n v="62.04"/>
    <n v="2"/>
    <n v="10.07"/>
    <n v="114.01"/>
    <x v="1"/>
    <s v="Mobile"/>
    <n v="9"/>
    <n v="11"/>
    <b v="1"/>
    <n v="6"/>
    <n v="5"/>
  </r>
  <r>
    <s v="ORD_002010"/>
    <s v="CUST_02010"/>
    <d v="2023-02-05T00:00:00"/>
    <s v="Sunday"/>
    <n v="46"/>
    <x v="1"/>
    <x v="0"/>
    <x v="4"/>
    <x v="7"/>
    <n v="58.17"/>
    <n v="1"/>
    <n v="11.02"/>
    <n v="47.15"/>
    <x v="3"/>
    <s v="Mobile"/>
    <n v="8"/>
    <n v="6"/>
    <b v="1"/>
    <n v="13"/>
    <n v="5"/>
  </r>
  <r>
    <s v="ORD_000413"/>
    <s v="CUST_00413"/>
    <d v="2023-02-05T00:00:00"/>
    <s v="Sunday"/>
    <n v="18"/>
    <x v="2"/>
    <x v="2"/>
    <x v="3"/>
    <x v="2"/>
    <n v="1456.73"/>
    <n v="1"/>
    <n v="0"/>
    <n v="1456.73"/>
    <x v="0"/>
    <s v="Desktop"/>
    <n v="13"/>
    <n v="8"/>
    <b v="1"/>
    <n v="3"/>
    <n v="3"/>
  </r>
  <r>
    <s v="ORD_004582"/>
    <s v="CUST_04582"/>
    <d v="2023-02-05T00:00:00"/>
    <s v="Sunday"/>
    <n v="23"/>
    <x v="2"/>
    <x v="0"/>
    <x v="0"/>
    <x v="1"/>
    <n v="141.88"/>
    <n v="1"/>
    <n v="0"/>
    <n v="141.88"/>
    <x v="0"/>
    <s v="Tablet"/>
    <n v="8"/>
    <n v="10"/>
    <b v="0"/>
    <n v="8"/>
    <n v="3"/>
  </r>
  <r>
    <s v="ORD_001407"/>
    <s v="CUST_01407"/>
    <d v="2023-02-05T00:00:00"/>
    <s v="Sunday"/>
    <n v="18"/>
    <x v="2"/>
    <x v="0"/>
    <x v="4"/>
    <x v="5"/>
    <n v="135.83000000000001"/>
    <n v="2"/>
    <n v="0"/>
    <n v="271.66000000000003"/>
    <x v="3"/>
    <s v="Mobile"/>
    <n v="38"/>
    <n v="11"/>
    <b v="1"/>
    <n v="13"/>
    <n v="4"/>
  </r>
  <r>
    <s v="ORD_001510"/>
    <s v="CUST_01510"/>
    <d v="2023-02-05T00:00:00"/>
    <s v="Sunday"/>
    <n v="52"/>
    <x v="1"/>
    <x v="0"/>
    <x v="2"/>
    <x v="7"/>
    <n v="58.63"/>
    <n v="1"/>
    <n v="0"/>
    <n v="58.63"/>
    <x v="0"/>
    <s v="Mobile"/>
    <n v="12"/>
    <n v="6"/>
    <b v="1"/>
    <n v="2"/>
    <n v="4"/>
  </r>
  <r>
    <s v="ORD_000657"/>
    <s v="CUST_00657"/>
    <d v="2023-02-05T00:00:00"/>
    <s v="Sunday"/>
    <n v="35"/>
    <x v="0"/>
    <x v="1"/>
    <x v="5"/>
    <x v="6"/>
    <n v="1647.31"/>
    <n v="3"/>
    <n v="201.73"/>
    <n v="4740.2"/>
    <x v="3"/>
    <s v="Desktop"/>
    <n v="16"/>
    <n v="11"/>
    <b v="0"/>
    <n v="4"/>
    <n v="4"/>
  </r>
  <r>
    <s v="ORD_001793"/>
    <s v="CUST_01793"/>
    <d v="2023-02-05T00:00:00"/>
    <s v="Sunday"/>
    <n v="33"/>
    <x v="0"/>
    <x v="0"/>
    <x v="9"/>
    <x v="6"/>
    <n v="112.61"/>
    <n v="3"/>
    <n v="0"/>
    <n v="337.83"/>
    <x v="1"/>
    <s v="Desktop"/>
    <n v="39"/>
    <n v="10"/>
    <b v="0"/>
    <n v="4"/>
    <n v="3"/>
  </r>
  <r>
    <s v="ORD_004838"/>
    <s v="CUST_04838"/>
    <d v="2023-02-05T00:00:00"/>
    <s v="Sunday"/>
    <n v="25"/>
    <x v="0"/>
    <x v="0"/>
    <x v="7"/>
    <x v="2"/>
    <n v="773.84"/>
    <n v="1"/>
    <n v="0"/>
    <n v="773.84"/>
    <x v="1"/>
    <s v="Mobile"/>
    <n v="2"/>
    <n v="6"/>
    <b v="0"/>
    <n v="7"/>
    <n v="5"/>
  </r>
  <r>
    <s v="ORD_000295"/>
    <s v="CUST_00295"/>
    <d v="2023-02-06T00:00:00"/>
    <s v="Monday"/>
    <n v="39"/>
    <x v="0"/>
    <x v="1"/>
    <x v="7"/>
    <x v="7"/>
    <n v="27.2"/>
    <n v="3"/>
    <n v="0"/>
    <n v="81.599999999999994"/>
    <x v="3"/>
    <s v="Mobile"/>
    <n v="10"/>
    <n v="10"/>
    <b v="1"/>
    <n v="6"/>
    <n v="1"/>
  </r>
  <r>
    <s v="ORD_000103"/>
    <s v="CUST_00103"/>
    <d v="2023-02-06T00:00:00"/>
    <s v="Monday"/>
    <n v="30"/>
    <x v="0"/>
    <x v="1"/>
    <x v="1"/>
    <x v="3"/>
    <n v="367.4"/>
    <n v="2"/>
    <n v="0"/>
    <n v="734.8"/>
    <x v="3"/>
    <s v="Mobile"/>
    <n v="22"/>
    <n v="9"/>
    <b v="1"/>
    <n v="7"/>
    <n v="5"/>
  </r>
  <r>
    <s v="ORD_004561"/>
    <s v="CUST_04561"/>
    <d v="2023-02-06T00:00:00"/>
    <s v="Monday"/>
    <n v="22"/>
    <x v="2"/>
    <x v="1"/>
    <x v="6"/>
    <x v="1"/>
    <n v="64.099999999999994"/>
    <n v="1"/>
    <n v="0"/>
    <n v="64.099999999999994"/>
    <x v="1"/>
    <s v="Mobile"/>
    <n v="27"/>
    <n v="10"/>
    <b v="0"/>
    <n v="5"/>
    <n v="4"/>
  </r>
  <r>
    <s v="ORD_000286"/>
    <s v="CUST_00286"/>
    <d v="2023-02-06T00:00:00"/>
    <s v="Monday"/>
    <n v="18"/>
    <x v="2"/>
    <x v="1"/>
    <x v="2"/>
    <x v="0"/>
    <n v="58.38"/>
    <n v="4"/>
    <n v="0"/>
    <n v="233.52"/>
    <x v="1"/>
    <s v="Mobile"/>
    <n v="12"/>
    <n v="11"/>
    <b v="0"/>
    <n v="3"/>
    <n v="5"/>
  </r>
  <r>
    <s v="ORD_001246"/>
    <s v="CUST_01246"/>
    <d v="2023-02-06T00:00:00"/>
    <s v="Monday"/>
    <n v="20"/>
    <x v="2"/>
    <x v="1"/>
    <x v="7"/>
    <x v="0"/>
    <n v="99.99"/>
    <n v="5"/>
    <n v="17.62"/>
    <n v="482.33"/>
    <x v="2"/>
    <s v="Desktop"/>
    <n v="17"/>
    <n v="8"/>
    <b v="1"/>
    <n v="1"/>
    <n v="4"/>
  </r>
  <r>
    <s v="ORD_002096"/>
    <s v="CUST_02096"/>
    <d v="2023-02-06T00:00:00"/>
    <s v="Monday"/>
    <n v="34"/>
    <x v="0"/>
    <x v="0"/>
    <x v="7"/>
    <x v="5"/>
    <n v="751.59"/>
    <n v="5"/>
    <n v="0"/>
    <n v="3757.95"/>
    <x v="0"/>
    <s v="Mobile"/>
    <n v="10"/>
    <n v="5"/>
    <b v="1"/>
    <n v="4"/>
    <n v="3"/>
  </r>
  <r>
    <s v="ORD_004654"/>
    <s v="CUST_04654"/>
    <d v="2023-02-06T00:00:00"/>
    <s v="Monday"/>
    <n v="42"/>
    <x v="0"/>
    <x v="0"/>
    <x v="0"/>
    <x v="5"/>
    <n v="254.32"/>
    <n v="2"/>
    <n v="0"/>
    <n v="508.64"/>
    <x v="1"/>
    <s v="Desktop"/>
    <n v="6"/>
    <n v="7"/>
    <b v="1"/>
    <n v="4"/>
    <n v="5"/>
  </r>
  <r>
    <s v="ORD_001226"/>
    <s v="CUST_01226"/>
    <d v="2023-02-06T00:00:00"/>
    <s v="Monday"/>
    <n v="33"/>
    <x v="0"/>
    <x v="0"/>
    <x v="3"/>
    <x v="7"/>
    <n v="50.17"/>
    <n v="4"/>
    <n v="0"/>
    <n v="200.68"/>
    <x v="1"/>
    <s v="Mobile"/>
    <n v="6"/>
    <n v="10"/>
    <b v="1"/>
    <n v="3"/>
    <n v="4"/>
  </r>
  <r>
    <s v="ORD_002977"/>
    <s v="CUST_02977"/>
    <d v="2023-02-07T00:00:00"/>
    <s v="Tuesday"/>
    <n v="50"/>
    <x v="1"/>
    <x v="0"/>
    <x v="6"/>
    <x v="6"/>
    <n v="330.96"/>
    <n v="4"/>
    <n v="0"/>
    <n v="1323.84"/>
    <x v="1"/>
    <s v="Mobile"/>
    <n v="14"/>
    <n v="4"/>
    <b v="0"/>
    <n v="5"/>
    <n v="3"/>
  </r>
  <r>
    <s v="ORD_000449"/>
    <s v="CUST_00449"/>
    <d v="2023-02-07T00:00:00"/>
    <s v="Tuesday"/>
    <n v="28"/>
    <x v="0"/>
    <x v="0"/>
    <x v="6"/>
    <x v="6"/>
    <n v="711.42"/>
    <n v="3"/>
    <n v="0"/>
    <n v="2134.2600000000002"/>
    <x v="3"/>
    <s v="Mobile"/>
    <n v="16"/>
    <n v="9"/>
    <b v="0"/>
    <n v="11"/>
    <n v="5"/>
  </r>
  <r>
    <s v="ORD_004672"/>
    <s v="CUST_04672"/>
    <d v="2023-02-07T00:00:00"/>
    <s v="Tuesday"/>
    <n v="18"/>
    <x v="2"/>
    <x v="0"/>
    <x v="3"/>
    <x v="1"/>
    <n v="89.31"/>
    <n v="5"/>
    <n v="8.0299999999999994"/>
    <n v="438.52"/>
    <x v="1"/>
    <s v="Desktop"/>
    <n v="9"/>
    <n v="7"/>
    <b v="0"/>
    <n v="13"/>
    <n v="4"/>
  </r>
  <r>
    <s v="ORD_003608"/>
    <s v="CUST_03608"/>
    <d v="2023-02-07T00:00:00"/>
    <s v="Tuesday"/>
    <n v="47"/>
    <x v="1"/>
    <x v="0"/>
    <x v="2"/>
    <x v="6"/>
    <n v="988.13"/>
    <n v="2"/>
    <n v="180.34"/>
    <n v="1795.92"/>
    <x v="1"/>
    <s v="Desktop"/>
    <n v="26"/>
    <n v="14"/>
    <b v="0"/>
    <n v="11"/>
    <n v="4"/>
  </r>
  <r>
    <s v="ORD_002786"/>
    <s v="CUST_02786"/>
    <d v="2023-02-07T00:00:00"/>
    <s v="Tuesday"/>
    <n v="30"/>
    <x v="0"/>
    <x v="1"/>
    <x v="2"/>
    <x v="6"/>
    <n v="688.78"/>
    <n v="1"/>
    <n v="64.900000000000006"/>
    <n v="623.88"/>
    <x v="0"/>
    <s v="Tablet"/>
    <n v="4"/>
    <n v="10"/>
    <b v="1"/>
    <n v="5"/>
    <n v="5"/>
  </r>
  <r>
    <s v="ORD_003417"/>
    <s v="CUST_03417"/>
    <d v="2023-02-07T00:00:00"/>
    <s v="Tuesday"/>
    <n v="45"/>
    <x v="1"/>
    <x v="0"/>
    <x v="0"/>
    <x v="4"/>
    <n v="49.17"/>
    <n v="1"/>
    <n v="0"/>
    <n v="49.17"/>
    <x v="4"/>
    <s v="Desktop"/>
    <n v="30"/>
    <n v="16"/>
    <b v="1"/>
    <n v="5"/>
    <n v="5"/>
  </r>
  <r>
    <s v="ORD_003905"/>
    <s v="CUST_03905"/>
    <d v="2023-02-07T00:00:00"/>
    <s v="Tuesday"/>
    <n v="54"/>
    <x v="1"/>
    <x v="0"/>
    <x v="5"/>
    <x v="4"/>
    <n v="92.6"/>
    <n v="1"/>
    <n v="0"/>
    <n v="92.6"/>
    <x v="1"/>
    <s v="Mobile"/>
    <n v="16"/>
    <n v="9"/>
    <b v="1"/>
    <n v="12"/>
    <n v="2"/>
  </r>
  <r>
    <s v="ORD_002782"/>
    <s v="CUST_02782"/>
    <d v="2023-02-07T00:00:00"/>
    <s v="Tuesday"/>
    <n v="27"/>
    <x v="0"/>
    <x v="2"/>
    <x v="3"/>
    <x v="4"/>
    <n v="43.62"/>
    <n v="5"/>
    <n v="6.81"/>
    <n v="211.29"/>
    <x v="1"/>
    <s v="Mobile"/>
    <n v="15"/>
    <n v="10"/>
    <b v="1"/>
    <n v="6"/>
    <n v="5"/>
  </r>
  <r>
    <s v="ORD_001161"/>
    <s v="CUST_01161"/>
    <d v="2023-02-07T00:00:00"/>
    <s v="Tuesday"/>
    <n v="18"/>
    <x v="2"/>
    <x v="1"/>
    <x v="6"/>
    <x v="5"/>
    <n v="45.04"/>
    <n v="5"/>
    <n v="0"/>
    <n v="225.2"/>
    <x v="0"/>
    <s v="Mobile"/>
    <n v="5"/>
    <n v="3"/>
    <b v="0"/>
    <n v="7"/>
    <n v="3"/>
  </r>
  <r>
    <s v="ORD_001572"/>
    <s v="CUST_01572"/>
    <d v="2023-02-07T00:00:00"/>
    <s v="Tuesday"/>
    <n v="19"/>
    <x v="2"/>
    <x v="0"/>
    <x v="8"/>
    <x v="7"/>
    <n v="93.46"/>
    <n v="4"/>
    <n v="0"/>
    <n v="373.84"/>
    <x v="1"/>
    <s v="Tablet"/>
    <n v="8"/>
    <n v="5"/>
    <b v="0"/>
    <n v="4"/>
    <n v="3"/>
  </r>
  <r>
    <s v="ORD_002878"/>
    <s v="CUST_02878"/>
    <d v="2023-02-07T00:00:00"/>
    <s v="Tuesday"/>
    <n v="26"/>
    <x v="0"/>
    <x v="1"/>
    <x v="1"/>
    <x v="2"/>
    <n v="573.1"/>
    <n v="1"/>
    <n v="109.05"/>
    <n v="464.05"/>
    <x v="3"/>
    <s v="Desktop"/>
    <n v="15"/>
    <n v="8"/>
    <b v="1"/>
    <n v="10"/>
    <n v="4"/>
  </r>
  <r>
    <s v="ORD_002723"/>
    <s v="CUST_02723"/>
    <d v="2023-02-07T00:00:00"/>
    <s v="Tuesday"/>
    <n v="22"/>
    <x v="2"/>
    <x v="1"/>
    <x v="4"/>
    <x v="6"/>
    <n v="62.17"/>
    <n v="1"/>
    <n v="0"/>
    <n v="62.17"/>
    <x v="0"/>
    <s v="Mobile"/>
    <n v="23"/>
    <n v="9"/>
    <b v="1"/>
    <n v="8"/>
    <n v="5"/>
  </r>
  <r>
    <s v="ORD_004072"/>
    <s v="CUST_04072"/>
    <d v="2023-02-07T00:00:00"/>
    <s v="Tuesday"/>
    <n v="26"/>
    <x v="0"/>
    <x v="0"/>
    <x v="2"/>
    <x v="5"/>
    <n v="149"/>
    <n v="1"/>
    <n v="0"/>
    <n v="149"/>
    <x v="1"/>
    <s v="Desktop"/>
    <n v="18"/>
    <n v="13"/>
    <b v="0"/>
    <n v="13"/>
    <n v="3"/>
  </r>
  <r>
    <s v="ORD_000736"/>
    <s v="CUST_00736"/>
    <d v="2023-02-07T00:00:00"/>
    <s v="Tuesday"/>
    <n v="40"/>
    <x v="0"/>
    <x v="1"/>
    <x v="4"/>
    <x v="2"/>
    <n v="6935.92"/>
    <n v="1"/>
    <n v="0"/>
    <n v="6935.92"/>
    <x v="1"/>
    <s v="Mobile"/>
    <n v="5"/>
    <n v="17"/>
    <b v="1"/>
    <n v="6"/>
    <n v="4"/>
  </r>
  <r>
    <s v="ORD_000455"/>
    <s v="CUST_00455"/>
    <d v="2023-02-07T00:00:00"/>
    <s v="Tuesday"/>
    <n v="28"/>
    <x v="0"/>
    <x v="0"/>
    <x v="8"/>
    <x v="6"/>
    <n v="293.95"/>
    <n v="1"/>
    <n v="22.04"/>
    <n v="271.91000000000003"/>
    <x v="1"/>
    <s v="Tablet"/>
    <n v="10"/>
    <n v="10"/>
    <b v="1"/>
    <n v="12"/>
    <n v="5"/>
  </r>
  <r>
    <s v="ORD_001871"/>
    <s v="CUST_01871"/>
    <d v="2023-02-07T00:00:00"/>
    <s v="Tuesday"/>
    <n v="21"/>
    <x v="2"/>
    <x v="1"/>
    <x v="6"/>
    <x v="6"/>
    <n v="386.85"/>
    <n v="1"/>
    <n v="0"/>
    <n v="386.85"/>
    <x v="0"/>
    <s v="Mobile"/>
    <n v="8"/>
    <n v="6"/>
    <b v="1"/>
    <n v="6"/>
    <n v="3"/>
  </r>
  <r>
    <s v="ORD_002204"/>
    <s v="CUST_02204"/>
    <d v="2023-02-07T00:00:00"/>
    <s v="Tuesday"/>
    <n v="19"/>
    <x v="2"/>
    <x v="0"/>
    <x v="2"/>
    <x v="1"/>
    <n v="27.5"/>
    <n v="4"/>
    <n v="0"/>
    <n v="110"/>
    <x v="3"/>
    <s v="Desktop"/>
    <n v="3"/>
    <n v="9"/>
    <b v="1"/>
    <n v="7"/>
    <n v="5"/>
  </r>
  <r>
    <s v="ORD_004943"/>
    <s v="CUST_04943"/>
    <d v="2023-02-08T00:00:00"/>
    <s v="Wednesday"/>
    <n v="35"/>
    <x v="0"/>
    <x v="0"/>
    <x v="3"/>
    <x v="1"/>
    <n v="54.27"/>
    <n v="2"/>
    <n v="0"/>
    <n v="108.54"/>
    <x v="0"/>
    <s v="Mobile"/>
    <n v="6"/>
    <n v="4"/>
    <b v="1"/>
    <n v="7"/>
    <n v="4"/>
  </r>
  <r>
    <s v="ORD_001674"/>
    <s v="CUST_01674"/>
    <d v="2023-02-08T00:00:00"/>
    <s v="Wednesday"/>
    <n v="23"/>
    <x v="2"/>
    <x v="1"/>
    <x v="3"/>
    <x v="0"/>
    <n v="75.739999999999995"/>
    <n v="1"/>
    <n v="0"/>
    <n v="75.739999999999995"/>
    <x v="0"/>
    <s v="Mobile"/>
    <n v="22"/>
    <n v="5"/>
    <b v="1"/>
    <n v="7"/>
    <n v="3"/>
  </r>
  <r>
    <s v="ORD_001209"/>
    <s v="CUST_01209"/>
    <d v="2023-02-08T00:00:00"/>
    <s v="Wednesday"/>
    <n v="18"/>
    <x v="2"/>
    <x v="1"/>
    <x v="2"/>
    <x v="0"/>
    <n v="145.47"/>
    <n v="1"/>
    <n v="0"/>
    <n v="145.47"/>
    <x v="2"/>
    <s v="Tablet"/>
    <n v="10"/>
    <n v="15"/>
    <b v="1"/>
    <n v="7"/>
    <n v="4"/>
  </r>
  <r>
    <s v="ORD_004440"/>
    <s v="CUST_04440"/>
    <d v="2023-02-08T00:00:00"/>
    <s v="Wednesday"/>
    <n v="41"/>
    <x v="0"/>
    <x v="1"/>
    <x v="6"/>
    <x v="6"/>
    <n v="252.04"/>
    <n v="5"/>
    <n v="0"/>
    <n v="1260.2"/>
    <x v="0"/>
    <s v="Mobile"/>
    <n v="17"/>
    <n v="8"/>
    <b v="0"/>
    <n v="3"/>
    <n v="4"/>
  </r>
  <r>
    <s v="ORD_003873"/>
    <s v="CUST_03873"/>
    <d v="2023-02-08T00:00:00"/>
    <s v="Wednesday"/>
    <n v="21"/>
    <x v="2"/>
    <x v="1"/>
    <x v="3"/>
    <x v="7"/>
    <n v="32.049999999999997"/>
    <n v="1"/>
    <n v="0"/>
    <n v="32.049999999999997"/>
    <x v="0"/>
    <s v="Desktop"/>
    <n v="7"/>
    <n v="7"/>
    <b v="0"/>
    <n v="12"/>
    <n v="4"/>
  </r>
  <r>
    <s v="ORD_000963"/>
    <s v="CUST_00963"/>
    <d v="2023-02-08T00:00:00"/>
    <s v="Wednesday"/>
    <n v="37"/>
    <x v="0"/>
    <x v="1"/>
    <x v="3"/>
    <x v="1"/>
    <n v="18.84"/>
    <n v="4"/>
    <n v="0"/>
    <n v="75.36"/>
    <x v="4"/>
    <s v="Desktop"/>
    <n v="12"/>
    <n v="10"/>
    <b v="1"/>
    <n v="3"/>
    <n v="4"/>
  </r>
  <r>
    <s v="ORD_002171"/>
    <s v="CUST_02171"/>
    <d v="2023-02-08T00:00:00"/>
    <s v="Wednesday"/>
    <n v="46"/>
    <x v="1"/>
    <x v="1"/>
    <x v="0"/>
    <x v="5"/>
    <n v="103.15"/>
    <n v="1"/>
    <n v="0"/>
    <n v="103.15"/>
    <x v="1"/>
    <s v="Desktop"/>
    <n v="16"/>
    <n v="7"/>
    <b v="1"/>
    <n v="8"/>
    <n v="2"/>
  </r>
  <r>
    <s v="ORD_000348"/>
    <s v="CUST_00348"/>
    <d v="2023-02-08T00:00:00"/>
    <s v="Wednesday"/>
    <n v="18"/>
    <x v="2"/>
    <x v="1"/>
    <x v="2"/>
    <x v="3"/>
    <n v="893.98"/>
    <n v="2"/>
    <n v="98.59"/>
    <n v="1689.37"/>
    <x v="1"/>
    <s v="Mobile"/>
    <n v="39"/>
    <n v="12"/>
    <b v="1"/>
    <n v="8"/>
    <n v="4"/>
  </r>
  <r>
    <s v="ORD_000529"/>
    <s v="CUST_00529"/>
    <d v="2023-02-08T00:00:00"/>
    <s v="Wednesday"/>
    <n v="38"/>
    <x v="0"/>
    <x v="0"/>
    <x v="8"/>
    <x v="0"/>
    <n v="116.84"/>
    <n v="1"/>
    <n v="0"/>
    <n v="116.84"/>
    <x v="0"/>
    <s v="Tablet"/>
    <n v="32"/>
    <n v="6"/>
    <b v="1"/>
    <n v="3"/>
    <n v="5"/>
  </r>
  <r>
    <s v="ORD_002654"/>
    <s v="CUST_02654"/>
    <d v="2023-02-08T00:00:00"/>
    <s v="Wednesday"/>
    <n v="47"/>
    <x v="1"/>
    <x v="0"/>
    <x v="3"/>
    <x v="2"/>
    <n v="2784.25"/>
    <n v="3"/>
    <n v="0"/>
    <n v="8352.75"/>
    <x v="0"/>
    <s v="Mobile"/>
    <n v="3"/>
    <n v="10"/>
    <b v="0"/>
    <n v="6"/>
    <n v="4"/>
  </r>
  <r>
    <s v="ORD_001484"/>
    <s v="CUST_01484"/>
    <d v="2023-02-08T00:00:00"/>
    <s v="Wednesday"/>
    <n v="30"/>
    <x v="0"/>
    <x v="0"/>
    <x v="4"/>
    <x v="6"/>
    <n v="996.79"/>
    <n v="1"/>
    <n v="0"/>
    <n v="996.79"/>
    <x v="1"/>
    <s v="Mobile"/>
    <n v="5"/>
    <n v="9"/>
    <b v="1"/>
    <n v="8"/>
    <n v="5"/>
  </r>
  <r>
    <s v="ORD_003826"/>
    <s v="CUST_03826"/>
    <d v="2023-02-08T00:00:00"/>
    <s v="Wednesday"/>
    <n v="49"/>
    <x v="1"/>
    <x v="0"/>
    <x v="0"/>
    <x v="6"/>
    <n v="307.12"/>
    <n v="1"/>
    <n v="0"/>
    <n v="307.12"/>
    <x v="3"/>
    <s v="Mobile"/>
    <n v="13"/>
    <n v="8"/>
    <b v="0"/>
    <n v="4"/>
    <n v="4"/>
  </r>
  <r>
    <s v="ORD_003716"/>
    <s v="CUST_03716"/>
    <d v="2023-02-08T00:00:00"/>
    <s v="Wednesday"/>
    <n v="33"/>
    <x v="0"/>
    <x v="1"/>
    <x v="9"/>
    <x v="0"/>
    <n v="197.36"/>
    <n v="1"/>
    <n v="0"/>
    <n v="197.36"/>
    <x v="1"/>
    <s v="Desktop"/>
    <n v="31"/>
    <n v="5"/>
    <b v="1"/>
    <n v="11"/>
    <n v="3"/>
  </r>
  <r>
    <s v="ORD_004921"/>
    <s v="CUST_04921"/>
    <d v="2023-02-08T00:00:00"/>
    <s v="Wednesday"/>
    <n v="54"/>
    <x v="1"/>
    <x v="1"/>
    <x v="9"/>
    <x v="2"/>
    <n v="4038.5"/>
    <n v="1"/>
    <n v="0"/>
    <n v="4038.5"/>
    <x v="1"/>
    <s v="Mobile"/>
    <n v="10"/>
    <n v="8"/>
    <b v="0"/>
    <n v="7"/>
    <n v="4"/>
  </r>
  <r>
    <s v="ORD_003977"/>
    <s v="CUST_03977"/>
    <d v="2023-02-09T00:00:00"/>
    <s v="Thursday"/>
    <n v="41"/>
    <x v="0"/>
    <x v="0"/>
    <x v="3"/>
    <x v="2"/>
    <n v="533.51"/>
    <n v="2"/>
    <n v="91.38"/>
    <n v="975.64"/>
    <x v="0"/>
    <s v="Desktop"/>
    <n v="5"/>
    <n v="7"/>
    <b v="1"/>
    <n v="5"/>
    <n v="1"/>
  </r>
  <r>
    <s v="ORD_002145"/>
    <s v="CUST_02145"/>
    <d v="2023-02-09T00:00:00"/>
    <s v="Thursday"/>
    <n v="32"/>
    <x v="0"/>
    <x v="1"/>
    <x v="6"/>
    <x v="3"/>
    <n v="174.85"/>
    <n v="1"/>
    <n v="0"/>
    <n v="174.85"/>
    <x v="1"/>
    <s v="Mobile"/>
    <n v="29"/>
    <n v="13"/>
    <b v="1"/>
    <n v="10"/>
    <n v="5"/>
  </r>
  <r>
    <s v="ORD_004775"/>
    <s v="CUST_04775"/>
    <d v="2023-02-09T00:00:00"/>
    <s v="Thursday"/>
    <n v="18"/>
    <x v="2"/>
    <x v="0"/>
    <x v="2"/>
    <x v="4"/>
    <n v="93.74"/>
    <n v="3"/>
    <n v="22.02"/>
    <n v="259.2"/>
    <x v="1"/>
    <s v="Tablet"/>
    <n v="10"/>
    <n v="7"/>
    <b v="1"/>
    <n v="2"/>
    <n v="5"/>
  </r>
  <r>
    <s v="ORD_002213"/>
    <s v="CUST_02213"/>
    <d v="2023-02-09T00:00:00"/>
    <s v="Thursday"/>
    <n v="45"/>
    <x v="1"/>
    <x v="1"/>
    <x v="1"/>
    <x v="5"/>
    <n v="1800.31"/>
    <n v="1"/>
    <n v="389.99"/>
    <n v="1410.32"/>
    <x v="1"/>
    <s v="Desktop"/>
    <n v="19"/>
    <n v="12"/>
    <b v="1"/>
    <n v="11"/>
    <n v="5"/>
  </r>
  <r>
    <s v="ORD_003845"/>
    <s v="CUST_03845"/>
    <d v="2023-02-09T00:00:00"/>
    <s v="Thursday"/>
    <n v="54"/>
    <x v="1"/>
    <x v="0"/>
    <x v="3"/>
    <x v="2"/>
    <n v="2946.39"/>
    <n v="5"/>
    <n v="0"/>
    <n v="14731.95"/>
    <x v="4"/>
    <s v="Mobile"/>
    <n v="17"/>
    <n v="9"/>
    <b v="1"/>
    <n v="2"/>
    <n v="5"/>
  </r>
  <r>
    <s v="ORD_002104"/>
    <s v="CUST_02104"/>
    <d v="2023-02-09T00:00:00"/>
    <s v="Thursday"/>
    <n v="48"/>
    <x v="1"/>
    <x v="1"/>
    <x v="4"/>
    <x v="0"/>
    <n v="233.19"/>
    <n v="1"/>
    <n v="49.83"/>
    <n v="183.36"/>
    <x v="0"/>
    <s v="Mobile"/>
    <n v="9"/>
    <n v="10"/>
    <b v="1"/>
    <n v="4"/>
    <n v="2"/>
  </r>
  <r>
    <s v="ORD_002333"/>
    <s v="CUST_02333"/>
    <d v="2023-02-09T00:00:00"/>
    <s v="Thursday"/>
    <n v="18"/>
    <x v="2"/>
    <x v="1"/>
    <x v="1"/>
    <x v="5"/>
    <n v="515.04999999999995"/>
    <n v="2"/>
    <n v="0"/>
    <n v="1030.0999999999999"/>
    <x v="0"/>
    <s v="Mobile"/>
    <n v="26"/>
    <n v="10"/>
    <b v="0"/>
    <n v="5"/>
    <n v="3"/>
  </r>
  <r>
    <s v="ORD_002690"/>
    <s v="CUST_02690"/>
    <d v="2023-02-09T00:00:00"/>
    <s v="Thursday"/>
    <n v="42"/>
    <x v="0"/>
    <x v="1"/>
    <x v="2"/>
    <x v="2"/>
    <n v="1066.72"/>
    <n v="4"/>
    <n v="194.99"/>
    <n v="4071.89"/>
    <x v="1"/>
    <s v="Mobile"/>
    <n v="42"/>
    <n v="9"/>
    <b v="0"/>
    <n v="9"/>
    <n v="5"/>
  </r>
  <r>
    <s v="ORD_000807"/>
    <s v="CUST_00807"/>
    <d v="2023-02-09T00:00:00"/>
    <s v="Thursday"/>
    <n v="37"/>
    <x v="0"/>
    <x v="0"/>
    <x v="6"/>
    <x v="5"/>
    <n v="281.75"/>
    <n v="3"/>
    <n v="36.61"/>
    <n v="808.64"/>
    <x v="0"/>
    <s v="Desktop"/>
    <n v="11"/>
    <n v="6"/>
    <b v="0"/>
    <n v="7"/>
    <n v="4"/>
  </r>
  <r>
    <s v="ORD_003369"/>
    <s v="CUST_03369"/>
    <d v="2023-02-09T00:00:00"/>
    <s v="Thursday"/>
    <n v="39"/>
    <x v="0"/>
    <x v="1"/>
    <x v="7"/>
    <x v="6"/>
    <n v="399.21"/>
    <n v="1"/>
    <n v="95.49"/>
    <n v="303.72000000000003"/>
    <x v="1"/>
    <s v="Mobile"/>
    <n v="20"/>
    <n v="6"/>
    <b v="1"/>
    <n v="7"/>
    <n v="5"/>
  </r>
  <r>
    <s v="ORD_004543"/>
    <s v="CUST_04543"/>
    <d v="2023-02-09T00:00:00"/>
    <s v="Thursday"/>
    <n v="18"/>
    <x v="2"/>
    <x v="1"/>
    <x v="3"/>
    <x v="0"/>
    <n v="153.62"/>
    <n v="1"/>
    <n v="22.07"/>
    <n v="131.55000000000001"/>
    <x v="0"/>
    <s v="Mobile"/>
    <n v="8"/>
    <n v="12"/>
    <b v="0"/>
    <n v="5"/>
    <n v="5"/>
  </r>
  <r>
    <s v="ORD_004825"/>
    <s v="CUST_04825"/>
    <d v="2023-02-09T00:00:00"/>
    <s v="Thursday"/>
    <n v="34"/>
    <x v="0"/>
    <x v="1"/>
    <x v="0"/>
    <x v="4"/>
    <n v="39.61"/>
    <n v="1"/>
    <n v="8.9"/>
    <n v="30.71"/>
    <x v="1"/>
    <s v="Desktop"/>
    <n v="15"/>
    <n v="10"/>
    <b v="0"/>
    <n v="4"/>
    <n v="4"/>
  </r>
  <r>
    <s v="ORD_001548"/>
    <s v="CUST_01548"/>
    <d v="2023-02-10T00:00:00"/>
    <s v="Friday"/>
    <n v="38"/>
    <x v="0"/>
    <x v="0"/>
    <x v="4"/>
    <x v="5"/>
    <n v="324.73"/>
    <n v="1"/>
    <n v="77.17"/>
    <n v="247.56"/>
    <x v="1"/>
    <s v="Mobile"/>
    <n v="5"/>
    <n v="8"/>
    <b v="0"/>
    <n v="2"/>
    <n v="5"/>
  </r>
  <r>
    <s v="ORD_003777"/>
    <s v="CUST_03777"/>
    <d v="2023-02-10T00:00:00"/>
    <s v="Friday"/>
    <n v="18"/>
    <x v="2"/>
    <x v="0"/>
    <x v="1"/>
    <x v="1"/>
    <n v="60.32"/>
    <n v="2"/>
    <n v="0"/>
    <n v="120.64"/>
    <x v="3"/>
    <s v="Desktop"/>
    <n v="13"/>
    <n v="12"/>
    <b v="1"/>
    <n v="3"/>
    <n v="4"/>
  </r>
  <r>
    <s v="ORD_002621"/>
    <s v="CUST_02621"/>
    <d v="2023-02-10T00:00:00"/>
    <s v="Friday"/>
    <n v="43"/>
    <x v="0"/>
    <x v="0"/>
    <x v="3"/>
    <x v="6"/>
    <n v="584.22"/>
    <n v="2"/>
    <n v="0"/>
    <n v="1168.44"/>
    <x v="0"/>
    <s v="Desktop"/>
    <n v="5"/>
    <n v="10"/>
    <b v="1"/>
    <n v="5"/>
    <n v="3"/>
  </r>
  <r>
    <s v="ORD_000083"/>
    <s v="CUST_00083"/>
    <d v="2023-02-10T00:00:00"/>
    <s v="Friday"/>
    <n v="52"/>
    <x v="1"/>
    <x v="0"/>
    <x v="9"/>
    <x v="7"/>
    <n v="42.89"/>
    <n v="1"/>
    <n v="0"/>
    <n v="42.89"/>
    <x v="3"/>
    <s v="Desktop"/>
    <n v="26"/>
    <n v="10"/>
    <b v="1"/>
    <n v="8"/>
    <n v="5"/>
  </r>
  <r>
    <s v="ORD_003166"/>
    <s v="CUST_03166"/>
    <d v="2023-02-10T00:00:00"/>
    <s v="Friday"/>
    <n v="18"/>
    <x v="2"/>
    <x v="0"/>
    <x v="1"/>
    <x v="1"/>
    <n v="48.46"/>
    <n v="1"/>
    <n v="0"/>
    <n v="48.46"/>
    <x v="1"/>
    <s v="Tablet"/>
    <n v="18"/>
    <n v="11"/>
    <b v="1"/>
    <n v="4"/>
    <n v="4"/>
  </r>
  <r>
    <s v="ORD_002820"/>
    <s v="CUST_02820"/>
    <d v="2023-02-10T00:00:00"/>
    <s v="Friday"/>
    <n v="18"/>
    <x v="2"/>
    <x v="1"/>
    <x v="8"/>
    <x v="4"/>
    <n v="72.849999999999994"/>
    <n v="4"/>
    <n v="5.07"/>
    <n v="286.33"/>
    <x v="2"/>
    <s v="Desktop"/>
    <n v="16"/>
    <n v="8"/>
    <b v="0"/>
    <n v="6"/>
    <n v="3"/>
  </r>
  <r>
    <s v="ORD_003864"/>
    <s v="CUST_03864"/>
    <d v="2023-02-10T00:00:00"/>
    <s v="Friday"/>
    <n v="32"/>
    <x v="0"/>
    <x v="1"/>
    <x v="0"/>
    <x v="5"/>
    <n v="603.91999999999996"/>
    <n v="2"/>
    <n v="0"/>
    <n v="1207.8399999999999"/>
    <x v="3"/>
    <s v="Desktop"/>
    <n v="12"/>
    <n v="6"/>
    <b v="1"/>
    <n v="20"/>
    <n v="4"/>
  </r>
  <r>
    <s v="ORD_000066"/>
    <s v="CUST_00066"/>
    <d v="2023-02-10T00:00:00"/>
    <s v="Friday"/>
    <n v="51"/>
    <x v="1"/>
    <x v="0"/>
    <x v="4"/>
    <x v="6"/>
    <n v="672.23"/>
    <n v="2"/>
    <n v="0"/>
    <n v="1344.46"/>
    <x v="3"/>
    <s v="Desktop"/>
    <n v="33"/>
    <n v="10"/>
    <b v="1"/>
    <n v="7"/>
    <n v="4"/>
  </r>
  <r>
    <s v="ORD_000239"/>
    <s v="CUST_00239"/>
    <d v="2023-02-10T00:00:00"/>
    <s v="Friday"/>
    <n v="27"/>
    <x v="0"/>
    <x v="1"/>
    <x v="8"/>
    <x v="5"/>
    <n v="266.44"/>
    <n v="2"/>
    <n v="0"/>
    <n v="532.88"/>
    <x v="3"/>
    <s v="Tablet"/>
    <n v="19"/>
    <n v="10"/>
    <b v="0"/>
    <n v="4"/>
    <n v="5"/>
  </r>
  <r>
    <s v="ORD_003591"/>
    <s v="CUST_03591"/>
    <d v="2023-02-10T00:00:00"/>
    <s v="Friday"/>
    <n v="47"/>
    <x v="1"/>
    <x v="1"/>
    <x v="7"/>
    <x v="0"/>
    <n v="238.83"/>
    <n v="1"/>
    <n v="0"/>
    <n v="238.83"/>
    <x v="4"/>
    <s v="Mobile"/>
    <n v="16"/>
    <n v="12"/>
    <b v="0"/>
    <n v="3"/>
    <n v="5"/>
  </r>
  <r>
    <s v="ORD_002467"/>
    <s v="CUST_02467"/>
    <d v="2023-02-10T00:00:00"/>
    <s v="Friday"/>
    <n v="25"/>
    <x v="0"/>
    <x v="0"/>
    <x v="5"/>
    <x v="5"/>
    <n v="486.04"/>
    <n v="1"/>
    <n v="0"/>
    <n v="486.04"/>
    <x v="4"/>
    <s v="Tablet"/>
    <n v="3"/>
    <n v="9"/>
    <b v="0"/>
    <n v="4"/>
    <n v="4"/>
  </r>
  <r>
    <s v="ORD_002630"/>
    <s v="CUST_02630"/>
    <d v="2023-02-10T00:00:00"/>
    <s v="Friday"/>
    <n v="29"/>
    <x v="0"/>
    <x v="0"/>
    <x v="9"/>
    <x v="0"/>
    <n v="226.83"/>
    <n v="1"/>
    <n v="0"/>
    <n v="226.83"/>
    <x v="1"/>
    <s v="Mobile"/>
    <n v="8"/>
    <n v="7"/>
    <b v="0"/>
    <n v="9"/>
    <n v="5"/>
  </r>
  <r>
    <s v="ORD_004702"/>
    <s v="CUST_04702"/>
    <d v="2023-02-10T00:00:00"/>
    <s v="Friday"/>
    <n v="18"/>
    <x v="2"/>
    <x v="1"/>
    <x v="8"/>
    <x v="3"/>
    <n v="287.02"/>
    <n v="1"/>
    <n v="0"/>
    <n v="287.02"/>
    <x v="2"/>
    <s v="Mobile"/>
    <n v="73"/>
    <n v="9"/>
    <b v="1"/>
    <n v="4"/>
    <n v="3"/>
  </r>
  <r>
    <s v="ORD_002135"/>
    <s v="CUST_02135"/>
    <d v="2023-02-10T00:00:00"/>
    <s v="Friday"/>
    <n v="30"/>
    <x v="0"/>
    <x v="1"/>
    <x v="3"/>
    <x v="1"/>
    <n v="38.479999999999997"/>
    <n v="3"/>
    <n v="4.9400000000000004"/>
    <n v="110.5"/>
    <x v="1"/>
    <s v="Mobile"/>
    <n v="10"/>
    <n v="17"/>
    <b v="0"/>
    <n v="24"/>
    <n v="4"/>
  </r>
  <r>
    <s v="ORD_002441"/>
    <s v="CUST_02441"/>
    <d v="2023-02-11T00:00:00"/>
    <s v="Saturday"/>
    <n v="55"/>
    <x v="1"/>
    <x v="0"/>
    <x v="4"/>
    <x v="5"/>
    <n v="576.24"/>
    <n v="2"/>
    <n v="107.12"/>
    <n v="1045.3599999999999"/>
    <x v="1"/>
    <s v="Tablet"/>
    <n v="14"/>
    <n v="10"/>
    <b v="1"/>
    <n v="5"/>
    <n v="2"/>
  </r>
  <r>
    <s v="ORD_001204"/>
    <s v="CUST_01204"/>
    <d v="2023-02-11T00:00:00"/>
    <s v="Saturday"/>
    <n v="41"/>
    <x v="0"/>
    <x v="1"/>
    <x v="3"/>
    <x v="5"/>
    <n v="241.97"/>
    <n v="3"/>
    <n v="0"/>
    <n v="725.91"/>
    <x v="0"/>
    <s v="Tablet"/>
    <n v="8"/>
    <n v="8"/>
    <b v="1"/>
    <n v="12"/>
    <n v="1"/>
  </r>
  <r>
    <s v="ORD_002039"/>
    <s v="CUST_02039"/>
    <d v="2023-02-11T00:00:00"/>
    <s v="Saturday"/>
    <n v="34"/>
    <x v="0"/>
    <x v="0"/>
    <x v="4"/>
    <x v="1"/>
    <n v="51.02"/>
    <n v="5"/>
    <n v="0"/>
    <n v="255.1"/>
    <x v="0"/>
    <s v="Mobile"/>
    <n v="7"/>
    <n v="5"/>
    <b v="0"/>
    <n v="3"/>
    <n v="4"/>
  </r>
  <r>
    <s v="ORD_003444"/>
    <s v="CUST_03444"/>
    <d v="2023-02-11T00:00:00"/>
    <s v="Saturday"/>
    <n v="54"/>
    <x v="1"/>
    <x v="0"/>
    <x v="1"/>
    <x v="1"/>
    <n v="27.64"/>
    <n v="4"/>
    <n v="0"/>
    <n v="110.56"/>
    <x v="3"/>
    <s v="Desktop"/>
    <n v="8"/>
    <n v="9"/>
    <b v="1"/>
    <n v="5"/>
    <n v="4"/>
  </r>
  <r>
    <s v="ORD_002850"/>
    <s v="CUST_02850"/>
    <d v="2023-02-11T00:00:00"/>
    <s v="Saturday"/>
    <n v="28"/>
    <x v="0"/>
    <x v="0"/>
    <x v="4"/>
    <x v="7"/>
    <n v="37.549999999999997"/>
    <n v="1"/>
    <n v="0"/>
    <n v="37.549999999999997"/>
    <x v="3"/>
    <s v="Desktop"/>
    <n v="8"/>
    <n v="5"/>
    <b v="0"/>
    <n v="5"/>
    <n v="5"/>
  </r>
  <r>
    <s v="ORD_001493"/>
    <s v="CUST_01493"/>
    <d v="2023-02-11T00:00:00"/>
    <s v="Saturday"/>
    <n v="28"/>
    <x v="0"/>
    <x v="0"/>
    <x v="2"/>
    <x v="7"/>
    <n v="50.22"/>
    <n v="4"/>
    <n v="0"/>
    <n v="200.88"/>
    <x v="0"/>
    <s v="Mobile"/>
    <n v="11"/>
    <n v="13"/>
    <b v="1"/>
    <n v="5"/>
    <n v="5"/>
  </r>
  <r>
    <s v="ORD_002287"/>
    <s v="CUST_02287"/>
    <d v="2023-02-11T00:00:00"/>
    <s v="Saturday"/>
    <n v="44"/>
    <x v="0"/>
    <x v="0"/>
    <x v="8"/>
    <x v="7"/>
    <n v="67.569999999999993"/>
    <n v="1"/>
    <n v="9.76"/>
    <n v="57.81"/>
    <x v="4"/>
    <s v="Mobile"/>
    <n v="19"/>
    <n v="9"/>
    <b v="0"/>
    <n v="5"/>
    <n v="5"/>
  </r>
  <r>
    <s v="ORD_001268"/>
    <s v="CUST_01268"/>
    <d v="2023-02-11T00:00:00"/>
    <s v="Saturday"/>
    <n v="24"/>
    <x v="2"/>
    <x v="0"/>
    <x v="2"/>
    <x v="6"/>
    <n v="388.01"/>
    <n v="5"/>
    <n v="0"/>
    <n v="1940.05"/>
    <x v="0"/>
    <s v="Tablet"/>
    <n v="9"/>
    <n v="11"/>
    <b v="0"/>
    <n v="7"/>
    <n v="3"/>
  </r>
  <r>
    <s v="ORD_003363"/>
    <s v="CUST_03363"/>
    <d v="2023-02-11T00:00:00"/>
    <s v="Saturday"/>
    <n v="18"/>
    <x v="2"/>
    <x v="0"/>
    <x v="3"/>
    <x v="2"/>
    <n v="566.41"/>
    <n v="4"/>
    <n v="0"/>
    <n v="2265.64"/>
    <x v="0"/>
    <s v="Mobile"/>
    <n v="16"/>
    <n v="8"/>
    <b v="1"/>
    <n v="6"/>
    <n v="5"/>
  </r>
  <r>
    <s v="ORD_001872"/>
    <s v="CUST_01872"/>
    <d v="2023-02-11T00:00:00"/>
    <s v="Saturday"/>
    <n v="32"/>
    <x v="0"/>
    <x v="1"/>
    <x v="8"/>
    <x v="3"/>
    <n v="796.94"/>
    <n v="3"/>
    <n v="0"/>
    <n v="2390.8200000000002"/>
    <x v="3"/>
    <s v="Mobile"/>
    <n v="7"/>
    <n v="10"/>
    <b v="0"/>
    <n v="4"/>
    <n v="5"/>
  </r>
  <r>
    <s v="ORD_000410"/>
    <s v="CUST_00410"/>
    <d v="2023-02-11T00:00:00"/>
    <s v="Saturday"/>
    <n v="41"/>
    <x v="0"/>
    <x v="2"/>
    <x v="3"/>
    <x v="7"/>
    <n v="185.48"/>
    <n v="1"/>
    <n v="36.340000000000003"/>
    <n v="149.13999999999999"/>
    <x v="2"/>
    <s v="Tablet"/>
    <n v="12"/>
    <n v="12"/>
    <b v="1"/>
    <n v="5"/>
    <n v="5"/>
  </r>
  <r>
    <s v="ORD_000815"/>
    <s v="CUST_00815"/>
    <d v="2023-02-11T00:00:00"/>
    <s v="Saturday"/>
    <n v="47"/>
    <x v="1"/>
    <x v="0"/>
    <x v="4"/>
    <x v="0"/>
    <n v="194.99"/>
    <n v="1"/>
    <n v="0"/>
    <n v="194.99"/>
    <x v="0"/>
    <s v="Desktop"/>
    <n v="21"/>
    <n v="7"/>
    <b v="1"/>
    <n v="4"/>
    <n v="4"/>
  </r>
  <r>
    <s v="ORD_000427"/>
    <s v="CUST_00427"/>
    <d v="2023-02-11T00:00:00"/>
    <s v="Saturday"/>
    <n v="23"/>
    <x v="2"/>
    <x v="1"/>
    <x v="0"/>
    <x v="2"/>
    <n v="1635.67"/>
    <n v="4"/>
    <n v="178.7"/>
    <n v="6363.98"/>
    <x v="2"/>
    <s v="Desktop"/>
    <n v="7"/>
    <n v="9"/>
    <b v="0"/>
    <n v="11"/>
    <n v="1"/>
  </r>
  <r>
    <s v="ORD_000910"/>
    <s v="CUST_00910"/>
    <d v="2023-02-11T00:00:00"/>
    <s v="Saturday"/>
    <n v="60"/>
    <x v="1"/>
    <x v="1"/>
    <x v="3"/>
    <x v="3"/>
    <n v="460.59"/>
    <n v="4"/>
    <n v="0"/>
    <n v="1842.36"/>
    <x v="3"/>
    <s v="Mobile"/>
    <n v="25"/>
    <n v="5"/>
    <b v="0"/>
    <n v="3"/>
    <n v="4"/>
  </r>
  <r>
    <s v="ORD_003789"/>
    <s v="CUST_03789"/>
    <d v="2023-02-11T00:00:00"/>
    <s v="Saturday"/>
    <n v="37"/>
    <x v="0"/>
    <x v="1"/>
    <x v="3"/>
    <x v="1"/>
    <n v="26.53"/>
    <n v="2"/>
    <n v="7.88"/>
    <n v="45.18"/>
    <x v="3"/>
    <s v="Mobile"/>
    <n v="17"/>
    <n v="6"/>
    <b v="1"/>
    <n v="6"/>
    <n v="4"/>
  </r>
  <r>
    <s v="ORD_004700"/>
    <s v="CUST_04700"/>
    <d v="2023-02-12T00:00:00"/>
    <s v="Sunday"/>
    <n v="29"/>
    <x v="0"/>
    <x v="0"/>
    <x v="0"/>
    <x v="7"/>
    <n v="19.84"/>
    <n v="1"/>
    <n v="0"/>
    <n v="19.84"/>
    <x v="1"/>
    <s v="Desktop"/>
    <n v="8"/>
    <n v="11"/>
    <b v="1"/>
    <n v="5"/>
    <n v="5"/>
  </r>
  <r>
    <s v="ORD_004693"/>
    <s v="CUST_04693"/>
    <d v="2023-02-12T00:00:00"/>
    <s v="Sunday"/>
    <n v="46"/>
    <x v="1"/>
    <x v="0"/>
    <x v="2"/>
    <x v="6"/>
    <n v="256.44"/>
    <n v="5"/>
    <n v="0"/>
    <n v="1282.2"/>
    <x v="3"/>
    <s v="Desktop"/>
    <n v="25"/>
    <n v="13"/>
    <b v="1"/>
    <n v="6"/>
    <n v="4"/>
  </r>
  <r>
    <s v="ORD_003806"/>
    <s v="CUST_03806"/>
    <d v="2023-02-12T00:00:00"/>
    <s v="Sunday"/>
    <n v="41"/>
    <x v="0"/>
    <x v="1"/>
    <x v="5"/>
    <x v="5"/>
    <n v="157.19999999999999"/>
    <n v="2"/>
    <n v="41.49"/>
    <n v="272.91000000000003"/>
    <x v="3"/>
    <s v="Desktop"/>
    <n v="2"/>
    <n v="9"/>
    <b v="0"/>
    <n v="2"/>
    <n v="5"/>
  </r>
  <r>
    <s v="ORD_004310"/>
    <s v="CUST_04310"/>
    <d v="2023-02-12T00:00:00"/>
    <s v="Sunday"/>
    <n v="29"/>
    <x v="0"/>
    <x v="1"/>
    <x v="7"/>
    <x v="7"/>
    <n v="54.23"/>
    <n v="5"/>
    <n v="12.55"/>
    <n v="258.60000000000002"/>
    <x v="1"/>
    <s v="Mobile"/>
    <n v="14"/>
    <n v="10"/>
    <b v="1"/>
    <n v="6"/>
    <n v="4"/>
  </r>
  <r>
    <s v="ORD_003906"/>
    <s v="CUST_03906"/>
    <d v="2023-02-12T00:00:00"/>
    <s v="Sunday"/>
    <n v="31"/>
    <x v="0"/>
    <x v="1"/>
    <x v="0"/>
    <x v="6"/>
    <n v="502.3"/>
    <n v="2"/>
    <n v="36.58"/>
    <n v="968.02"/>
    <x v="1"/>
    <s v="Desktop"/>
    <n v="5"/>
    <n v="11"/>
    <b v="1"/>
    <n v="3"/>
    <n v="3"/>
  </r>
  <r>
    <s v="ORD_002618"/>
    <s v="CUST_02618"/>
    <d v="2023-02-12T00:00:00"/>
    <s v="Sunday"/>
    <n v="35"/>
    <x v="0"/>
    <x v="0"/>
    <x v="8"/>
    <x v="5"/>
    <n v="210.92"/>
    <n v="1"/>
    <n v="39.39"/>
    <n v="171.53"/>
    <x v="0"/>
    <s v="Mobile"/>
    <n v="32"/>
    <n v="6"/>
    <b v="1"/>
    <n v="6"/>
    <n v="4"/>
  </r>
  <r>
    <s v="ORD_002419"/>
    <s v="CUST_02419"/>
    <d v="2023-02-12T00:00:00"/>
    <s v="Sunday"/>
    <n v="39"/>
    <x v="0"/>
    <x v="0"/>
    <x v="3"/>
    <x v="5"/>
    <n v="263.41000000000003"/>
    <n v="2"/>
    <n v="52.63"/>
    <n v="474.19"/>
    <x v="1"/>
    <s v="Mobile"/>
    <n v="26"/>
    <n v="11"/>
    <b v="0"/>
    <n v="2"/>
    <n v="3"/>
  </r>
  <r>
    <s v="ORD_000886"/>
    <s v="CUST_00886"/>
    <d v="2023-02-12T00:00:00"/>
    <s v="Sunday"/>
    <n v="57"/>
    <x v="1"/>
    <x v="1"/>
    <x v="3"/>
    <x v="4"/>
    <n v="189.2"/>
    <n v="2"/>
    <n v="0"/>
    <n v="378.4"/>
    <x v="4"/>
    <s v="Mobile"/>
    <n v="14"/>
    <n v="7"/>
    <b v="1"/>
    <n v="5"/>
    <n v="1"/>
  </r>
  <r>
    <s v="ORD_004522"/>
    <s v="CUST_04522"/>
    <d v="2023-02-12T00:00:00"/>
    <s v="Sunday"/>
    <n v="47"/>
    <x v="1"/>
    <x v="1"/>
    <x v="4"/>
    <x v="7"/>
    <n v="10.86"/>
    <n v="1"/>
    <n v="0"/>
    <n v="10.86"/>
    <x v="1"/>
    <s v="Desktop"/>
    <n v="10"/>
    <n v="9"/>
    <b v="1"/>
    <n v="5"/>
    <n v="5"/>
  </r>
  <r>
    <s v="ORD_003898"/>
    <s v="CUST_03898"/>
    <d v="2023-02-13T00:00:00"/>
    <s v="Monday"/>
    <n v="43"/>
    <x v="0"/>
    <x v="1"/>
    <x v="4"/>
    <x v="2"/>
    <n v="2240.87"/>
    <n v="3"/>
    <n v="0"/>
    <n v="6722.61"/>
    <x v="3"/>
    <s v="Mobile"/>
    <n v="12"/>
    <n v="7"/>
    <b v="0"/>
    <n v="16"/>
    <n v="4"/>
  </r>
  <r>
    <s v="ORD_004251"/>
    <s v="CUST_04251"/>
    <d v="2023-02-13T00:00:00"/>
    <s v="Monday"/>
    <n v="47"/>
    <x v="1"/>
    <x v="1"/>
    <x v="3"/>
    <x v="3"/>
    <n v="304.29000000000002"/>
    <n v="1"/>
    <n v="0"/>
    <n v="304.29000000000002"/>
    <x v="1"/>
    <s v="Tablet"/>
    <n v="7"/>
    <n v="15"/>
    <b v="1"/>
    <n v="4"/>
    <n v="3"/>
  </r>
  <r>
    <s v="ORD_001057"/>
    <s v="CUST_01057"/>
    <d v="2023-02-13T00:00:00"/>
    <s v="Monday"/>
    <n v="34"/>
    <x v="0"/>
    <x v="0"/>
    <x v="6"/>
    <x v="1"/>
    <n v="59.85"/>
    <n v="1"/>
    <n v="3.84"/>
    <n v="56.01"/>
    <x v="3"/>
    <s v="Desktop"/>
    <n v="8"/>
    <n v="3"/>
    <b v="1"/>
    <n v="5"/>
    <n v="3"/>
  </r>
  <r>
    <s v="ORD_004618"/>
    <s v="CUST_04618"/>
    <d v="2023-02-13T00:00:00"/>
    <s v="Monday"/>
    <n v="18"/>
    <x v="2"/>
    <x v="1"/>
    <x v="2"/>
    <x v="3"/>
    <n v="709.75"/>
    <n v="3"/>
    <n v="106.72"/>
    <n v="2022.53"/>
    <x v="1"/>
    <s v="Mobile"/>
    <n v="15"/>
    <n v="16"/>
    <b v="0"/>
    <n v="6"/>
    <n v="4"/>
  </r>
  <r>
    <s v="ORD_002031"/>
    <s v="CUST_02031"/>
    <d v="2023-02-13T00:00:00"/>
    <s v="Monday"/>
    <n v="44"/>
    <x v="0"/>
    <x v="1"/>
    <x v="3"/>
    <x v="3"/>
    <n v="809.75"/>
    <n v="4"/>
    <n v="0"/>
    <n v="3239"/>
    <x v="1"/>
    <s v="Desktop"/>
    <n v="16"/>
    <n v="6"/>
    <b v="1"/>
    <n v="11"/>
    <n v="5"/>
  </r>
  <r>
    <s v="ORD_000712"/>
    <s v="CUST_00712"/>
    <d v="2023-02-13T00:00:00"/>
    <s v="Monday"/>
    <n v="33"/>
    <x v="0"/>
    <x v="1"/>
    <x v="5"/>
    <x v="3"/>
    <n v="332.81"/>
    <n v="2"/>
    <n v="0"/>
    <n v="665.62"/>
    <x v="0"/>
    <s v="Mobile"/>
    <n v="26"/>
    <n v="8"/>
    <b v="1"/>
    <n v="13"/>
    <n v="4"/>
  </r>
  <r>
    <s v="ORD_001171"/>
    <s v="CUST_01171"/>
    <d v="2023-02-13T00:00:00"/>
    <s v="Monday"/>
    <n v="44"/>
    <x v="0"/>
    <x v="1"/>
    <x v="6"/>
    <x v="5"/>
    <n v="168.62"/>
    <n v="1"/>
    <n v="45.31"/>
    <n v="123.31"/>
    <x v="0"/>
    <s v="Desktop"/>
    <n v="16"/>
    <n v="13"/>
    <b v="0"/>
    <n v="10"/>
    <n v="4"/>
  </r>
  <r>
    <s v="ORD_003953"/>
    <s v="CUST_03953"/>
    <d v="2023-02-13T00:00:00"/>
    <s v="Monday"/>
    <n v="61"/>
    <x v="1"/>
    <x v="0"/>
    <x v="9"/>
    <x v="7"/>
    <n v="42.78"/>
    <n v="2"/>
    <n v="9.34"/>
    <n v="76.22"/>
    <x v="0"/>
    <s v="Desktop"/>
    <n v="9"/>
    <n v="8"/>
    <b v="0"/>
    <n v="4"/>
    <n v="4"/>
  </r>
  <r>
    <s v="ORD_001929"/>
    <s v="CUST_01929"/>
    <d v="2023-02-13T00:00:00"/>
    <s v="Monday"/>
    <n v="48"/>
    <x v="1"/>
    <x v="0"/>
    <x v="0"/>
    <x v="5"/>
    <n v="127.87"/>
    <n v="3"/>
    <n v="0"/>
    <n v="383.61"/>
    <x v="1"/>
    <s v="Tablet"/>
    <n v="21"/>
    <n v="4"/>
    <b v="1"/>
    <n v="4"/>
    <n v="3"/>
  </r>
  <r>
    <s v="ORD_002300"/>
    <s v="CUST_02300"/>
    <d v="2023-02-13T00:00:00"/>
    <s v="Monday"/>
    <n v="18"/>
    <x v="2"/>
    <x v="0"/>
    <x v="8"/>
    <x v="5"/>
    <n v="70.709999999999994"/>
    <n v="2"/>
    <n v="12.62"/>
    <n v="128.80000000000001"/>
    <x v="3"/>
    <s v="Desktop"/>
    <n v="10"/>
    <n v="9"/>
    <b v="1"/>
    <n v="6"/>
    <n v="4"/>
  </r>
  <r>
    <s v="ORD_002245"/>
    <s v="CUST_02245"/>
    <d v="2023-02-13T00:00:00"/>
    <s v="Monday"/>
    <n v="54"/>
    <x v="1"/>
    <x v="1"/>
    <x v="3"/>
    <x v="7"/>
    <n v="12.22"/>
    <n v="2"/>
    <n v="0.86"/>
    <n v="23.58"/>
    <x v="1"/>
    <s v="Mobile"/>
    <n v="6"/>
    <n v="10"/>
    <b v="1"/>
    <n v="14"/>
    <n v="5"/>
  </r>
  <r>
    <s v="ORD_000240"/>
    <s v="CUST_00240"/>
    <d v="2023-02-13T00:00:00"/>
    <s v="Monday"/>
    <n v="45"/>
    <x v="1"/>
    <x v="0"/>
    <x v="3"/>
    <x v="2"/>
    <n v="2059.12"/>
    <n v="5"/>
    <n v="0"/>
    <n v="10295.6"/>
    <x v="0"/>
    <s v="Mobile"/>
    <n v="3"/>
    <n v="9"/>
    <b v="0"/>
    <n v="5"/>
    <n v="4"/>
  </r>
  <r>
    <s v="ORD_004141"/>
    <s v="CUST_04141"/>
    <d v="2023-02-13T00:00:00"/>
    <s v="Monday"/>
    <n v="42"/>
    <x v="0"/>
    <x v="1"/>
    <x v="9"/>
    <x v="6"/>
    <n v="655.26"/>
    <n v="1"/>
    <n v="189.72"/>
    <n v="465.54"/>
    <x v="3"/>
    <s v="Mobile"/>
    <n v="18"/>
    <n v="11"/>
    <b v="1"/>
    <n v="7"/>
    <n v="1"/>
  </r>
  <r>
    <s v="ORD_002515"/>
    <s v="CUST_02515"/>
    <d v="2023-02-13T00:00:00"/>
    <s v="Monday"/>
    <n v="33"/>
    <x v="0"/>
    <x v="0"/>
    <x v="3"/>
    <x v="2"/>
    <n v="1404.36"/>
    <n v="1"/>
    <n v="0"/>
    <n v="1404.36"/>
    <x v="0"/>
    <s v="Mobile"/>
    <n v="12"/>
    <n v="10"/>
    <b v="1"/>
    <n v="10"/>
    <n v="4"/>
  </r>
  <r>
    <s v="ORD_004092"/>
    <s v="CUST_04092"/>
    <d v="2023-02-13T00:00:00"/>
    <s v="Monday"/>
    <n v="52"/>
    <x v="1"/>
    <x v="0"/>
    <x v="3"/>
    <x v="4"/>
    <n v="78.430000000000007"/>
    <n v="1"/>
    <n v="0"/>
    <n v="78.430000000000007"/>
    <x v="1"/>
    <s v="Desktop"/>
    <n v="10"/>
    <n v="11"/>
    <b v="1"/>
    <n v="8"/>
    <n v="5"/>
  </r>
  <r>
    <s v="ORD_004913"/>
    <s v="CUST_04913"/>
    <d v="2023-02-13T00:00:00"/>
    <s v="Monday"/>
    <n v="44"/>
    <x v="0"/>
    <x v="1"/>
    <x v="6"/>
    <x v="2"/>
    <n v="1513.36"/>
    <n v="3"/>
    <n v="0"/>
    <n v="4540.08"/>
    <x v="0"/>
    <s v="Mobile"/>
    <n v="19"/>
    <n v="7"/>
    <b v="0"/>
    <n v="8"/>
    <n v="3"/>
  </r>
  <r>
    <s v="ORD_002769"/>
    <s v="CUST_02769"/>
    <d v="2023-02-14T00:00:00"/>
    <s v="Tuesday"/>
    <n v="28"/>
    <x v="0"/>
    <x v="1"/>
    <x v="8"/>
    <x v="3"/>
    <n v="1142.57"/>
    <n v="1"/>
    <n v="232.85"/>
    <n v="909.72"/>
    <x v="2"/>
    <s v="Mobile"/>
    <n v="7"/>
    <n v="11"/>
    <b v="0"/>
    <n v="4"/>
    <n v="5"/>
  </r>
  <r>
    <s v="ORD_004847"/>
    <s v="CUST_04847"/>
    <d v="2023-02-14T00:00:00"/>
    <s v="Tuesday"/>
    <n v="18"/>
    <x v="2"/>
    <x v="0"/>
    <x v="4"/>
    <x v="4"/>
    <n v="180.24"/>
    <n v="2"/>
    <n v="0"/>
    <n v="360.48"/>
    <x v="1"/>
    <s v="Tablet"/>
    <n v="10"/>
    <n v="8"/>
    <b v="0"/>
    <n v="9"/>
    <n v="5"/>
  </r>
  <r>
    <s v="ORD_003292"/>
    <s v="CUST_03292"/>
    <d v="2023-02-14T00:00:00"/>
    <s v="Tuesday"/>
    <n v="18"/>
    <x v="2"/>
    <x v="0"/>
    <x v="2"/>
    <x v="6"/>
    <n v="988.27"/>
    <n v="1"/>
    <n v="175.55"/>
    <n v="812.72"/>
    <x v="0"/>
    <s v="Mobile"/>
    <n v="19"/>
    <n v="15"/>
    <b v="0"/>
    <n v="4"/>
    <n v="4"/>
  </r>
  <r>
    <s v="ORD_004726"/>
    <s v="CUST_04726"/>
    <d v="2023-02-14T00:00:00"/>
    <s v="Tuesday"/>
    <n v="18"/>
    <x v="2"/>
    <x v="1"/>
    <x v="3"/>
    <x v="6"/>
    <n v="267.27999999999997"/>
    <n v="4"/>
    <n v="0"/>
    <n v="1069.1199999999999"/>
    <x v="1"/>
    <s v="Mobile"/>
    <n v="17"/>
    <n v="8"/>
    <b v="1"/>
    <n v="9"/>
    <n v="3"/>
  </r>
  <r>
    <s v="ORD_001025"/>
    <s v="CUST_01025"/>
    <d v="2023-02-14T00:00:00"/>
    <s v="Tuesday"/>
    <n v="55"/>
    <x v="1"/>
    <x v="0"/>
    <x v="9"/>
    <x v="4"/>
    <n v="141.27000000000001"/>
    <n v="5"/>
    <n v="14.39"/>
    <n v="691.96"/>
    <x v="1"/>
    <s v="Desktop"/>
    <n v="33"/>
    <n v="8"/>
    <b v="0"/>
    <n v="25"/>
    <n v="5"/>
  </r>
  <r>
    <s v="ORD_004602"/>
    <s v="CUST_04602"/>
    <d v="2023-02-14T00:00:00"/>
    <s v="Tuesday"/>
    <n v="46"/>
    <x v="1"/>
    <x v="1"/>
    <x v="3"/>
    <x v="3"/>
    <n v="1206.1600000000001"/>
    <n v="1"/>
    <n v="0"/>
    <n v="1206.1600000000001"/>
    <x v="0"/>
    <s v="Mobile"/>
    <n v="3"/>
    <n v="5"/>
    <b v="1"/>
    <n v="7"/>
    <n v="4"/>
  </r>
  <r>
    <s v="ORD_004364"/>
    <s v="CUST_04364"/>
    <d v="2023-02-14T00:00:00"/>
    <s v="Tuesday"/>
    <n v="49"/>
    <x v="1"/>
    <x v="1"/>
    <x v="4"/>
    <x v="1"/>
    <n v="176.39"/>
    <n v="1"/>
    <n v="0"/>
    <n v="176.39"/>
    <x v="1"/>
    <s v="Mobile"/>
    <n v="9"/>
    <n v="10"/>
    <b v="1"/>
    <n v="3"/>
    <n v="5"/>
  </r>
  <r>
    <s v="ORD_000014"/>
    <s v="CUST_00014"/>
    <d v="2023-02-14T00:00:00"/>
    <s v="Tuesday"/>
    <n v="18"/>
    <x v="2"/>
    <x v="0"/>
    <x v="1"/>
    <x v="1"/>
    <n v="30.18"/>
    <n v="1"/>
    <n v="0"/>
    <n v="30.18"/>
    <x v="1"/>
    <s v="Desktop"/>
    <n v="9"/>
    <n v="9"/>
    <b v="1"/>
    <n v="14"/>
    <n v="3"/>
  </r>
  <r>
    <s v="ORD_003928"/>
    <s v="CUST_03928"/>
    <d v="2023-02-14T00:00:00"/>
    <s v="Tuesday"/>
    <n v="40"/>
    <x v="0"/>
    <x v="0"/>
    <x v="4"/>
    <x v="2"/>
    <n v="2205.66"/>
    <n v="1"/>
    <n v="278.63"/>
    <n v="1927.03"/>
    <x v="1"/>
    <s v="Mobile"/>
    <n v="5"/>
    <n v="6"/>
    <b v="1"/>
    <n v="10"/>
    <n v="5"/>
  </r>
  <r>
    <s v="ORD_002728"/>
    <s v="CUST_02728"/>
    <d v="2023-02-14T00:00:00"/>
    <s v="Tuesday"/>
    <n v="51"/>
    <x v="1"/>
    <x v="1"/>
    <x v="4"/>
    <x v="1"/>
    <n v="48.01"/>
    <n v="1"/>
    <n v="0"/>
    <n v="48.01"/>
    <x v="1"/>
    <s v="Desktop"/>
    <n v="8"/>
    <n v="6"/>
    <b v="0"/>
    <n v="6"/>
    <n v="5"/>
  </r>
  <r>
    <s v="ORD_001327"/>
    <s v="CUST_01327"/>
    <d v="2023-02-15T00:00:00"/>
    <s v="Wednesday"/>
    <n v="23"/>
    <x v="2"/>
    <x v="0"/>
    <x v="6"/>
    <x v="0"/>
    <n v="83.63"/>
    <n v="2"/>
    <n v="0"/>
    <n v="167.26"/>
    <x v="3"/>
    <s v="Desktop"/>
    <n v="13"/>
    <n v="6"/>
    <b v="1"/>
    <n v="4"/>
    <n v="5"/>
  </r>
  <r>
    <s v="ORD_004564"/>
    <s v="CUST_04564"/>
    <d v="2023-02-15T00:00:00"/>
    <s v="Wednesday"/>
    <n v="37"/>
    <x v="0"/>
    <x v="1"/>
    <x v="3"/>
    <x v="0"/>
    <n v="136.94"/>
    <n v="4"/>
    <n v="0"/>
    <n v="547.76"/>
    <x v="1"/>
    <s v="Mobile"/>
    <n v="17"/>
    <n v="8"/>
    <b v="0"/>
    <n v="6"/>
    <n v="3"/>
  </r>
  <r>
    <s v="ORD_002126"/>
    <s v="CUST_02126"/>
    <d v="2023-02-15T00:00:00"/>
    <s v="Wednesday"/>
    <n v="41"/>
    <x v="0"/>
    <x v="0"/>
    <x v="3"/>
    <x v="3"/>
    <n v="178.13"/>
    <n v="1"/>
    <n v="9.31"/>
    <n v="168.82"/>
    <x v="1"/>
    <s v="Desktop"/>
    <n v="16"/>
    <n v="11"/>
    <b v="0"/>
    <n v="2"/>
    <n v="3"/>
  </r>
  <r>
    <s v="ORD_003222"/>
    <s v="CUST_03222"/>
    <d v="2023-02-15T00:00:00"/>
    <s v="Wednesday"/>
    <n v="44"/>
    <x v="0"/>
    <x v="0"/>
    <x v="0"/>
    <x v="0"/>
    <n v="113.9"/>
    <n v="1"/>
    <n v="0"/>
    <n v="113.9"/>
    <x v="1"/>
    <s v="Mobile"/>
    <n v="17"/>
    <n v="8"/>
    <b v="0"/>
    <n v="2"/>
    <n v="3"/>
  </r>
  <r>
    <s v="ORD_003938"/>
    <s v="CUST_03938"/>
    <d v="2023-02-15T00:00:00"/>
    <s v="Wednesday"/>
    <n v="19"/>
    <x v="2"/>
    <x v="1"/>
    <x v="9"/>
    <x v="0"/>
    <n v="386.68"/>
    <n v="3"/>
    <n v="0"/>
    <n v="1160.04"/>
    <x v="3"/>
    <s v="Desktop"/>
    <n v="5"/>
    <n v="11"/>
    <b v="1"/>
    <n v="11"/>
    <n v="4"/>
  </r>
  <r>
    <s v="ORD_004968"/>
    <s v="CUST_04968"/>
    <d v="2023-02-16T00:00:00"/>
    <s v="Thursday"/>
    <n v="48"/>
    <x v="1"/>
    <x v="1"/>
    <x v="2"/>
    <x v="3"/>
    <n v="102.23"/>
    <n v="2"/>
    <n v="0"/>
    <n v="204.46"/>
    <x v="1"/>
    <s v="Desktop"/>
    <n v="18"/>
    <n v="9"/>
    <b v="1"/>
    <n v="4"/>
    <n v="3"/>
  </r>
  <r>
    <s v="ORD_003391"/>
    <s v="CUST_03391"/>
    <d v="2023-02-16T00:00:00"/>
    <s v="Thursday"/>
    <n v="18"/>
    <x v="2"/>
    <x v="0"/>
    <x v="0"/>
    <x v="3"/>
    <n v="483.5"/>
    <n v="4"/>
    <n v="0"/>
    <n v="1934"/>
    <x v="2"/>
    <s v="Mobile"/>
    <n v="16"/>
    <n v="7"/>
    <b v="0"/>
    <n v="6"/>
    <n v="3"/>
  </r>
  <r>
    <s v="ORD_002015"/>
    <s v="CUST_02015"/>
    <d v="2023-02-16T00:00:00"/>
    <s v="Thursday"/>
    <n v="44"/>
    <x v="0"/>
    <x v="0"/>
    <x v="1"/>
    <x v="2"/>
    <n v="2671.07"/>
    <n v="4"/>
    <n v="192.22"/>
    <n v="10492.06"/>
    <x v="4"/>
    <s v="Mobile"/>
    <n v="34"/>
    <n v="12"/>
    <b v="0"/>
    <n v="3"/>
    <n v="4"/>
  </r>
  <r>
    <s v="ORD_004537"/>
    <s v="CUST_04537"/>
    <d v="2023-02-16T00:00:00"/>
    <s v="Thursday"/>
    <n v="37"/>
    <x v="0"/>
    <x v="0"/>
    <x v="6"/>
    <x v="0"/>
    <n v="19.84"/>
    <n v="4"/>
    <n v="0"/>
    <n v="79.36"/>
    <x v="4"/>
    <s v="Mobile"/>
    <n v="27"/>
    <n v="7"/>
    <b v="0"/>
    <n v="8"/>
    <n v="4"/>
  </r>
  <r>
    <s v="ORD_002217"/>
    <s v="CUST_02217"/>
    <d v="2023-02-16T00:00:00"/>
    <s v="Thursday"/>
    <n v="29"/>
    <x v="0"/>
    <x v="0"/>
    <x v="8"/>
    <x v="1"/>
    <n v="46.87"/>
    <n v="2"/>
    <n v="0"/>
    <n v="93.74"/>
    <x v="3"/>
    <s v="Desktop"/>
    <n v="13"/>
    <n v="8"/>
    <b v="1"/>
    <n v="2"/>
    <n v="5"/>
  </r>
  <r>
    <s v="ORD_001927"/>
    <s v="CUST_01927"/>
    <d v="2023-02-16T00:00:00"/>
    <s v="Thursday"/>
    <n v="18"/>
    <x v="2"/>
    <x v="0"/>
    <x v="6"/>
    <x v="7"/>
    <n v="28.38"/>
    <n v="3"/>
    <n v="0"/>
    <n v="85.14"/>
    <x v="1"/>
    <s v="Mobile"/>
    <n v="9"/>
    <n v="9"/>
    <b v="1"/>
    <n v="5"/>
    <n v="3"/>
  </r>
  <r>
    <s v="ORD_001517"/>
    <s v="CUST_01517"/>
    <d v="2023-02-16T00:00:00"/>
    <s v="Thursday"/>
    <n v="53"/>
    <x v="1"/>
    <x v="0"/>
    <x v="1"/>
    <x v="5"/>
    <n v="479.56"/>
    <n v="2"/>
    <n v="0"/>
    <n v="959.12"/>
    <x v="4"/>
    <s v="Desktop"/>
    <n v="7"/>
    <n v="9"/>
    <b v="1"/>
    <n v="8"/>
    <n v="4"/>
  </r>
  <r>
    <s v="ORD_002938"/>
    <s v="CUST_02938"/>
    <d v="2023-02-16T00:00:00"/>
    <s v="Thursday"/>
    <n v="32"/>
    <x v="0"/>
    <x v="1"/>
    <x v="2"/>
    <x v="2"/>
    <n v="1153.29"/>
    <n v="1"/>
    <n v="0"/>
    <n v="1153.29"/>
    <x v="4"/>
    <s v="Desktop"/>
    <n v="13"/>
    <n v="7"/>
    <b v="1"/>
    <n v="7"/>
    <n v="2"/>
  </r>
  <r>
    <s v="ORD_001277"/>
    <s v="CUST_01277"/>
    <d v="2023-02-16T00:00:00"/>
    <s v="Thursday"/>
    <n v="62"/>
    <x v="1"/>
    <x v="0"/>
    <x v="2"/>
    <x v="6"/>
    <n v="666.16"/>
    <n v="1"/>
    <n v="192.62"/>
    <n v="473.54"/>
    <x v="4"/>
    <s v="Desktop"/>
    <n v="13"/>
    <n v="7"/>
    <b v="1"/>
    <n v="7"/>
    <n v="4"/>
  </r>
  <r>
    <s v="ORD_001687"/>
    <s v="CUST_01687"/>
    <d v="2023-02-16T00:00:00"/>
    <s v="Thursday"/>
    <n v="29"/>
    <x v="0"/>
    <x v="0"/>
    <x v="7"/>
    <x v="1"/>
    <n v="58"/>
    <n v="3"/>
    <n v="0"/>
    <n v="174"/>
    <x v="1"/>
    <s v="Mobile"/>
    <n v="30"/>
    <n v="13"/>
    <b v="0"/>
    <n v="5"/>
    <n v="3"/>
  </r>
  <r>
    <s v="ORD_002428"/>
    <s v="CUST_02428"/>
    <d v="2023-02-16T00:00:00"/>
    <s v="Thursday"/>
    <n v="34"/>
    <x v="0"/>
    <x v="0"/>
    <x v="5"/>
    <x v="7"/>
    <n v="35.369999999999997"/>
    <n v="1"/>
    <n v="3.49"/>
    <n v="31.88"/>
    <x v="3"/>
    <s v="Mobile"/>
    <n v="32"/>
    <n v="10"/>
    <b v="0"/>
    <n v="5"/>
    <n v="4"/>
  </r>
  <r>
    <s v="ORD_003919"/>
    <s v="CUST_03919"/>
    <d v="2023-02-16T00:00:00"/>
    <s v="Thursday"/>
    <n v="46"/>
    <x v="1"/>
    <x v="0"/>
    <x v="6"/>
    <x v="4"/>
    <n v="77.2"/>
    <n v="1"/>
    <n v="0"/>
    <n v="77.2"/>
    <x v="0"/>
    <s v="Mobile"/>
    <n v="3"/>
    <n v="12"/>
    <b v="1"/>
    <n v="2"/>
    <n v="4"/>
  </r>
  <r>
    <s v="ORD_000161"/>
    <s v="CUST_00161"/>
    <d v="2023-02-16T00:00:00"/>
    <s v="Thursday"/>
    <n v="23"/>
    <x v="2"/>
    <x v="1"/>
    <x v="3"/>
    <x v="2"/>
    <n v="2365.5"/>
    <n v="2"/>
    <n v="0"/>
    <n v="4731"/>
    <x v="1"/>
    <s v="Desktop"/>
    <n v="16"/>
    <n v="8"/>
    <b v="1"/>
    <n v="3"/>
    <n v="4"/>
  </r>
  <r>
    <s v="ORD_001778"/>
    <s v="CUST_01778"/>
    <d v="2023-02-16T00:00:00"/>
    <s v="Thursday"/>
    <n v="34"/>
    <x v="0"/>
    <x v="0"/>
    <x v="4"/>
    <x v="7"/>
    <n v="97.75"/>
    <n v="1"/>
    <n v="0"/>
    <n v="97.75"/>
    <x v="0"/>
    <s v="Mobile"/>
    <n v="22"/>
    <n v="8"/>
    <b v="0"/>
    <n v="6"/>
    <n v="4"/>
  </r>
  <r>
    <s v="ORD_001646"/>
    <s v="CUST_01646"/>
    <d v="2023-02-16T00:00:00"/>
    <s v="Thursday"/>
    <n v="40"/>
    <x v="0"/>
    <x v="1"/>
    <x v="4"/>
    <x v="4"/>
    <n v="37.24"/>
    <n v="1"/>
    <n v="0"/>
    <n v="37.24"/>
    <x v="0"/>
    <s v="Desktop"/>
    <n v="6"/>
    <n v="6"/>
    <b v="1"/>
    <n v="4"/>
    <n v="3"/>
  </r>
  <r>
    <s v="ORD_001305"/>
    <s v="CUST_01305"/>
    <d v="2023-02-16T00:00:00"/>
    <s v="Thursday"/>
    <n v="41"/>
    <x v="0"/>
    <x v="1"/>
    <x v="4"/>
    <x v="5"/>
    <n v="365.78"/>
    <n v="1"/>
    <n v="0"/>
    <n v="365.78"/>
    <x v="4"/>
    <s v="Desktop"/>
    <n v="5"/>
    <n v="6"/>
    <b v="1"/>
    <n v="4"/>
    <n v="4"/>
  </r>
  <r>
    <s v="ORD_004983"/>
    <s v="CUST_04983"/>
    <d v="2023-02-16T00:00:00"/>
    <s v="Thursday"/>
    <n v="38"/>
    <x v="0"/>
    <x v="1"/>
    <x v="3"/>
    <x v="5"/>
    <n v="196.67"/>
    <n v="1"/>
    <n v="0"/>
    <n v="196.67"/>
    <x v="4"/>
    <s v="Tablet"/>
    <n v="11"/>
    <n v="7"/>
    <b v="1"/>
    <n v="7"/>
    <n v="5"/>
  </r>
  <r>
    <s v="ORD_000051"/>
    <s v="CUST_00051"/>
    <d v="2023-02-17T00:00:00"/>
    <s v="Friday"/>
    <n v="38"/>
    <x v="0"/>
    <x v="0"/>
    <x v="3"/>
    <x v="2"/>
    <n v="1222.3699999999999"/>
    <n v="1"/>
    <n v="0"/>
    <n v="1222.3699999999999"/>
    <x v="1"/>
    <s v="Mobile"/>
    <n v="10"/>
    <n v="10"/>
    <b v="0"/>
    <n v="4"/>
    <n v="4"/>
  </r>
  <r>
    <s v="ORD_000508"/>
    <s v="CUST_00508"/>
    <d v="2023-02-17T00:00:00"/>
    <s v="Friday"/>
    <n v="24"/>
    <x v="2"/>
    <x v="1"/>
    <x v="6"/>
    <x v="7"/>
    <n v="40.43"/>
    <n v="1"/>
    <n v="0"/>
    <n v="40.43"/>
    <x v="0"/>
    <s v="Mobile"/>
    <n v="16"/>
    <n v="7"/>
    <b v="1"/>
    <n v="3"/>
    <n v="5"/>
  </r>
  <r>
    <s v="ORD_002315"/>
    <s v="CUST_02315"/>
    <d v="2023-02-17T00:00:00"/>
    <s v="Friday"/>
    <n v="42"/>
    <x v="0"/>
    <x v="1"/>
    <x v="4"/>
    <x v="4"/>
    <n v="100.36"/>
    <n v="2"/>
    <n v="0"/>
    <n v="200.72"/>
    <x v="3"/>
    <s v="Mobile"/>
    <n v="3"/>
    <n v="6"/>
    <b v="1"/>
    <n v="8"/>
    <n v="5"/>
  </r>
  <r>
    <s v="ORD_004462"/>
    <s v="CUST_04462"/>
    <d v="2023-02-17T00:00:00"/>
    <s v="Friday"/>
    <n v="57"/>
    <x v="1"/>
    <x v="1"/>
    <x v="1"/>
    <x v="3"/>
    <n v="589.28"/>
    <n v="1"/>
    <n v="0"/>
    <n v="589.28"/>
    <x v="1"/>
    <s v="Desktop"/>
    <n v="10"/>
    <n v="12"/>
    <b v="1"/>
    <n v="4"/>
    <n v="3"/>
  </r>
  <r>
    <s v="ORD_000719"/>
    <s v="CUST_00719"/>
    <d v="2023-02-17T00:00:00"/>
    <s v="Friday"/>
    <n v="30"/>
    <x v="0"/>
    <x v="0"/>
    <x v="9"/>
    <x v="4"/>
    <n v="34.21"/>
    <n v="2"/>
    <n v="0"/>
    <n v="68.42"/>
    <x v="0"/>
    <s v="Desktop"/>
    <n v="28"/>
    <n v="1"/>
    <b v="0"/>
    <n v="5"/>
    <n v="1"/>
  </r>
  <r>
    <s v="ORD_001376"/>
    <s v="CUST_01376"/>
    <d v="2023-02-17T00:00:00"/>
    <s v="Friday"/>
    <n v="32"/>
    <x v="0"/>
    <x v="1"/>
    <x v="3"/>
    <x v="4"/>
    <n v="76.81"/>
    <n v="2"/>
    <n v="4.53"/>
    <n v="149.09"/>
    <x v="1"/>
    <s v="Desktop"/>
    <n v="11"/>
    <n v="8"/>
    <b v="1"/>
    <n v="9"/>
    <n v="2"/>
  </r>
  <r>
    <s v="ORD_001073"/>
    <s v="CUST_01073"/>
    <d v="2023-02-17T00:00:00"/>
    <s v="Friday"/>
    <n v="35"/>
    <x v="0"/>
    <x v="1"/>
    <x v="5"/>
    <x v="0"/>
    <n v="87.23"/>
    <n v="1"/>
    <n v="0"/>
    <n v="87.23"/>
    <x v="1"/>
    <s v="Desktop"/>
    <n v="16"/>
    <n v="9"/>
    <b v="0"/>
    <n v="5"/>
    <n v="3"/>
  </r>
  <r>
    <s v="ORD_000019"/>
    <s v="CUST_00019"/>
    <d v="2023-02-17T00:00:00"/>
    <s v="Friday"/>
    <n v="24"/>
    <x v="2"/>
    <x v="0"/>
    <x v="8"/>
    <x v="2"/>
    <n v="380.59"/>
    <n v="1"/>
    <n v="59.02"/>
    <n v="321.57"/>
    <x v="1"/>
    <s v="Desktop"/>
    <n v="8"/>
    <n v="10"/>
    <b v="1"/>
    <n v="4"/>
    <n v="5"/>
  </r>
  <r>
    <s v="ORD_003941"/>
    <s v="CUST_03941"/>
    <d v="2023-02-17T00:00:00"/>
    <s v="Friday"/>
    <n v="39"/>
    <x v="0"/>
    <x v="0"/>
    <x v="4"/>
    <x v="5"/>
    <n v="289.95999999999998"/>
    <n v="3"/>
    <n v="0"/>
    <n v="869.88"/>
    <x v="3"/>
    <s v="Desktop"/>
    <n v="11"/>
    <n v="13"/>
    <b v="0"/>
    <n v="5"/>
    <n v="2"/>
  </r>
  <r>
    <s v="ORD_002831"/>
    <s v="CUST_02831"/>
    <d v="2023-02-17T00:00:00"/>
    <s v="Friday"/>
    <n v="18"/>
    <x v="2"/>
    <x v="0"/>
    <x v="2"/>
    <x v="3"/>
    <n v="817.5"/>
    <n v="1"/>
    <n v="104.81"/>
    <n v="712.69"/>
    <x v="0"/>
    <s v="Mobile"/>
    <n v="13"/>
    <n v="12"/>
    <b v="1"/>
    <n v="5"/>
    <n v="2"/>
  </r>
  <r>
    <s v="ORD_004903"/>
    <s v="CUST_04903"/>
    <d v="2023-02-17T00:00:00"/>
    <s v="Friday"/>
    <n v="22"/>
    <x v="2"/>
    <x v="1"/>
    <x v="4"/>
    <x v="2"/>
    <n v="270.16000000000003"/>
    <n v="1"/>
    <n v="59.78"/>
    <n v="210.38"/>
    <x v="1"/>
    <s v="Desktop"/>
    <n v="6"/>
    <n v="8"/>
    <b v="0"/>
    <n v="8"/>
    <n v="5"/>
  </r>
  <r>
    <s v="ORD_004518"/>
    <s v="CUST_04518"/>
    <d v="2023-02-17T00:00:00"/>
    <s v="Friday"/>
    <n v="39"/>
    <x v="0"/>
    <x v="0"/>
    <x v="1"/>
    <x v="0"/>
    <n v="236.64"/>
    <n v="5"/>
    <n v="31.45"/>
    <n v="1151.75"/>
    <x v="1"/>
    <s v="Mobile"/>
    <n v="11"/>
    <n v="13"/>
    <b v="1"/>
    <n v="5"/>
    <n v="5"/>
  </r>
  <r>
    <s v="ORD_003595"/>
    <s v="CUST_03595"/>
    <d v="2023-02-17T00:00:00"/>
    <s v="Friday"/>
    <n v="50"/>
    <x v="1"/>
    <x v="0"/>
    <x v="3"/>
    <x v="2"/>
    <n v="1590.55"/>
    <n v="1"/>
    <n v="0"/>
    <n v="1590.55"/>
    <x v="1"/>
    <s v="Mobile"/>
    <n v="11"/>
    <n v="10"/>
    <b v="1"/>
    <n v="2"/>
    <n v="5"/>
  </r>
  <r>
    <s v="ORD_004445"/>
    <s v="CUST_04445"/>
    <d v="2023-02-17T00:00:00"/>
    <s v="Friday"/>
    <n v="18"/>
    <x v="2"/>
    <x v="0"/>
    <x v="3"/>
    <x v="0"/>
    <n v="106.78"/>
    <n v="1"/>
    <n v="0"/>
    <n v="106.78"/>
    <x v="0"/>
    <s v="Mobile"/>
    <n v="7"/>
    <n v="7"/>
    <b v="0"/>
    <n v="9"/>
    <n v="2"/>
  </r>
  <r>
    <s v="ORD_000360"/>
    <s v="CUST_00360"/>
    <d v="2023-02-17T00:00:00"/>
    <s v="Friday"/>
    <n v="25"/>
    <x v="0"/>
    <x v="0"/>
    <x v="2"/>
    <x v="0"/>
    <n v="70.12"/>
    <n v="2"/>
    <n v="0"/>
    <n v="140.24"/>
    <x v="0"/>
    <s v="Tablet"/>
    <n v="13"/>
    <n v="7"/>
    <b v="1"/>
    <n v="8"/>
    <n v="4"/>
  </r>
  <r>
    <s v="ORD_003795"/>
    <s v="CUST_03795"/>
    <d v="2023-02-17T00:00:00"/>
    <s v="Friday"/>
    <n v="35"/>
    <x v="0"/>
    <x v="2"/>
    <x v="2"/>
    <x v="0"/>
    <n v="86.11"/>
    <n v="4"/>
    <n v="20.11"/>
    <n v="324.33"/>
    <x v="2"/>
    <s v="Desktop"/>
    <n v="10"/>
    <n v="9"/>
    <b v="1"/>
    <n v="8"/>
    <n v="5"/>
  </r>
  <r>
    <s v="ORD_001930"/>
    <s v="CUST_01930"/>
    <d v="2023-02-17T00:00:00"/>
    <s v="Friday"/>
    <n v="58"/>
    <x v="1"/>
    <x v="1"/>
    <x v="7"/>
    <x v="7"/>
    <n v="134.19"/>
    <n v="1"/>
    <n v="0"/>
    <n v="134.19"/>
    <x v="0"/>
    <s v="Desktop"/>
    <n v="21"/>
    <n v="9"/>
    <b v="0"/>
    <n v="3"/>
    <n v="4"/>
  </r>
  <r>
    <s v="ORD_003815"/>
    <s v="CUST_03815"/>
    <d v="2023-02-18T00:00:00"/>
    <s v="Saturday"/>
    <n v="19"/>
    <x v="2"/>
    <x v="0"/>
    <x v="9"/>
    <x v="4"/>
    <n v="39.31"/>
    <n v="1"/>
    <n v="2.0499999999999998"/>
    <n v="37.26"/>
    <x v="3"/>
    <s v="Desktop"/>
    <n v="8"/>
    <n v="6"/>
    <b v="0"/>
    <n v="2"/>
    <n v="2"/>
  </r>
  <r>
    <s v="ORD_004408"/>
    <s v="CUST_04408"/>
    <d v="2023-02-18T00:00:00"/>
    <s v="Saturday"/>
    <n v="30"/>
    <x v="0"/>
    <x v="0"/>
    <x v="6"/>
    <x v="5"/>
    <n v="221.56"/>
    <n v="2"/>
    <n v="32.89"/>
    <n v="410.23"/>
    <x v="3"/>
    <s v="Desktop"/>
    <n v="19"/>
    <n v="9"/>
    <b v="1"/>
    <n v="8"/>
    <n v="1"/>
  </r>
  <r>
    <s v="ORD_004539"/>
    <s v="CUST_04539"/>
    <d v="2023-02-18T00:00:00"/>
    <s v="Saturday"/>
    <n v="32"/>
    <x v="0"/>
    <x v="0"/>
    <x v="4"/>
    <x v="7"/>
    <n v="21.5"/>
    <n v="4"/>
    <n v="0"/>
    <n v="86"/>
    <x v="1"/>
    <s v="Desktop"/>
    <n v="12"/>
    <n v="9"/>
    <b v="1"/>
    <n v="4"/>
    <n v="5"/>
  </r>
  <r>
    <s v="ORD_002274"/>
    <s v="CUST_02274"/>
    <d v="2023-02-18T00:00:00"/>
    <s v="Saturday"/>
    <n v="35"/>
    <x v="0"/>
    <x v="0"/>
    <x v="4"/>
    <x v="1"/>
    <n v="96.9"/>
    <n v="5"/>
    <n v="0"/>
    <n v="484.5"/>
    <x v="1"/>
    <s v="Mobile"/>
    <n v="16"/>
    <n v="8"/>
    <b v="1"/>
    <n v="6"/>
    <n v="2"/>
  </r>
  <r>
    <s v="ORD_004915"/>
    <s v="CUST_04915"/>
    <d v="2023-02-18T00:00:00"/>
    <s v="Saturday"/>
    <n v="19"/>
    <x v="2"/>
    <x v="0"/>
    <x v="2"/>
    <x v="7"/>
    <n v="83.97"/>
    <n v="2"/>
    <n v="9.6199999999999992"/>
    <n v="158.32"/>
    <x v="3"/>
    <s v="Mobile"/>
    <n v="7"/>
    <n v="10"/>
    <b v="1"/>
    <n v="8"/>
    <n v="4"/>
  </r>
  <r>
    <s v="ORD_000314"/>
    <s v="CUST_00314"/>
    <d v="2023-02-18T00:00:00"/>
    <s v="Saturday"/>
    <n v="44"/>
    <x v="0"/>
    <x v="0"/>
    <x v="8"/>
    <x v="1"/>
    <n v="35.85"/>
    <n v="4"/>
    <n v="0"/>
    <n v="143.4"/>
    <x v="1"/>
    <s v="Mobile"/>
    <n v="5"/>
    <n v="7"/>
    <b v="0"/>
    <n v="2"/>
    <n v="2"/>
  </r>
  <r>
    <s v="ORD_001916"/>
    <s v="CUST_01916"/>
    <d v="2023-02-18T00:00:00"/>
    <s v="Saturday"/>
    <n v="28"/>
    <x v="0"/>
    <x v="0"/>
    <x v="4"/>
    <x v="3"/>
    <n v="440.35"/>
    <n v="2"/>
    <n v="0"/>
    <n v="880.7"/>
    <x v="1"/>
    <s v="Desktop"/>
    <n v="13"/>
    <n v="11"/>
    <b v="1"/>
    <n v="3"/>
    <n v="4"/>
  </r>
  <r>
    <s v="ORD_003295"/>
    <s v="CUST_03295"/>
    <d v="2023-02-18T00:00:00"/>
    <s v="Saturday"/>
    <n v="20"/>
    <x v="2"/>
    <x v="1"/>
    <x v="1"/>
    <x v="2"/>
    <n v="528.28"/>
    <n v="1"/>
    <n v="0"/>
    <n v="528.28"/>
    <x v="1"/>
    <s v="Mobile"/>
    <n v="9"/>
    <n v="9"/>
    <b v="1"/>
    <n v="3"/>
    <n v="2"/>
  </r>
  <r>
    <s v="ORD_003764"/>
    <s v="CUST_03764"/>
    <d v="2023-02-19T00:00:00"/>
    <s v="Sunday"/>
    <n v="44"/>
    <x v="0"/>
    <x v="1"/>
    <x v="3"/>
    <x v="0"/>
    <n v="241.61"/>
    <n v="4"/>
    <n v="0"/>
    <n v="966.44"/>
    <x v="3"/>
    <s v="Mobile"/>
    <n v="23"/>
    <n v="10"/>
    <b v="0"/>
    <n v="9"/>
    <n v="4"/>
  </r>
  <r>
    <s v="ORD_000053"/>
    <s v="CUST_00053"/>
    <d v="2023-02-19T00:00:00"/>
    <s v="Sunday"/>
    <n v="26"/>
    <x v="0"/>
    <x v="1"/>
    <x v="5"/>
    <x v="3"/>
    <n v="675.54"/>
    <n v="2"/>
    <n v="0"/>
    <n v="1351.08"/>
    <x v="1"/>
    <s v="Mobile"/>
    <n v="16"/>
    <n v="8"/>
    <b v="1"/>
    <n v="11"/>
    <n v="1"/>
  </r>
  <r>
    <s v="ORD_001731"/>
    <s v="CUST_01731"/>
    <d v="2023-02-19T00:00:00"/>
    <s v="Sunday"/>
    <n v="32"/>
    <x v="0"/>
    <x v="0"/>
    <x v="0"/>
    <x v="3"/>
    <n v="477.43"/>
    <n v="4"/>
    <n v="44.24"/>
    <n v="1865.48"/>
    <x v="1"/>
    <s v="Mobile"/>
    <n v="8"/>
    <n v="4"/>
    <b v="1"/>
    <n v="2"/>
    <n v="5"/>
  </r>
  <r>
    <s v="ORD_002912"/>
    <s v="CUST_02912"/>
    <d v="2023-02-19T00:00:00"/>
    <s v="Sunday"/>
    <n v="39"/>
    <x v="0"/>
    <x v="1"/>
    <x v="9"/>
    <x v="4"/>
    <n v="42.23"/>
    <n v="1"/>
    <n v="8.26"/>
    <n v="33.97"/>
    <x v="3"/>
    <s v="Mobile"/>
    <n v="5"/>
    <n v="10"/>
    <b v="0"/>
    <n v="4"/>
    <n v="4"/>
  </r>
  <r>
    <s v="ORD_001932"/>
    <s v="CUST_01932"/>
    <d v="2023-02-19T00:00:00"/>
    <s v="Sunday"/>
    <n v="40"/>
    <x v="0"/>
    <x v="1"/>
    <x v="9"/>
    <x v="3"/>
    <n v="332.41"/>
    <n v="2"/>
    <n v="0"/>
    <n v="664.82"/>
    <x v="0"/>
    <s v="Mobile"/>
    <n v="2"/>
    <n v="9"/>
    <b v="1"/>
    <n v="5"/>
    <n v="5"/>
  </r>
  <r>
    <s v="ORD_004156"/>
    <s v="CUST_04156"/>
    <d v="2023-02-19T00:00:00"/>
    <s v="Sunday"/>
    <n v="32"/>
    <x v="0"/>
    <x v="1"/>
    <x v="3"/>
    <x v="3"/>
    <n v="93.08"/>
    <n v="1"/>
    <n v="0"/>
    <n v="93.08"/>
    <x v="1"/>
    <s v="Mobile"/>
    <n v="13"/>
    <n v="8"/>
    <b v="1"/>
    <n v="4"/>
    <n v="4"/>
  </r>
  <r>
    <s v="ORD_002990"/>
    <s v="CUST_02990"/>
    <d v="2023-02-19T00:00:00"/>
    <s v="Sunday"/>
    <n v="63"/>
    <x v="1"/>
    <x v="0"/>
    <x v="1"/>
    <x v="0"/>
    <n v="194.79"/>
    <n v="1"/>
    <n v="0"/>
    <n v="194.79"/>
    <x v="0"/>
    <s v="Mobile"/>
    <n v="24"/>
    <n v="9"/>
    <b v="1"/>
    <n v="3"/>
    <n v="5"/>
  </r>
  <r>
    <s v="ORD_000315"/>
    <s v="CUST_00315"/>
    <d v="2023-02-19T00:00:00"/>
    <s v="Sunday"/>
    <n v="50"/>
    <x v="1"/>
    <x v="1"/>
    <x v="2"/>
    <x v="0"/>
    <n v="157.02000000000001"/>
    <n v="3"/>
    <n v="0"/>
    <n v="471.06"/>
    <x v="1"/>
    <s v="Mobile"/>
    <n v="5"/>
    <n v="8"/>
    <b v="1"/>
    <n v="5"/>
    <n v="5"/>
  </r>
  <r>
    <s v="ORD_001634"/>
    <s v="CUST_01634"/>
    <d v="2023-02-19T00:00:00"/>
    <s v="Sunday"/>
    <n v="47"/>
    <x v="1"/>
    <x v="0"/>
    <x v="3"/>
    <x v="6"/>
    <n v="1237.18"/>
    <n v="5"/>
    <n v="0"/>
    <n v="6185.9"/>
    <x v="1"/>
    <s v="Mobile"/>
    <n v="13"/>
    <n v="12"/>
    <b v="1"/>
    <n v="8"/>
    <n v="3"/>
  </r>
  <r>
    <s v="ORD_001197"/>
    <s v="CUST_01197"/>
    <d v="2023-02-20T00:00:00"/>
    <s v="Monday"/>
    <n v="34"/>
    <x v="0"/>
    <x v="1"/>
    <x v="3"/>
    <x v="5"/>
    <n v="327.67"/>
    <n v="4"/>
    <n v="83.59"/>
    <n v="1227.0899999999999"/>
    <x v="1"/>
    <s v="Tablet"/>
    <n v="3"/>
    <n v="8"/>
    <b v="0"/>
    <n v="8"/>
    <n v="4"/>
  </r>
  <r>
    <s v="ORD_001519"/>
    <s v="CUST_01519"/>
    <d v="2023-02-20T00:00:00"/>
    <s v="Monday"/>
    <n v="22"/>
    <x v="2"/>
    <x v="0"/>
    <x v="2"/>
    <x v="0"/>
    <n v="19.61"/>
    <n v="1"/>
    <n v="0"/>
    <n v="19.61"/>
    <x v="4"/>
    <s v="Mobile"/>
    <n v="16"/>
    <n v="3"/>
    <b v="0"/>
    <n v="4"/>
    <n v="4"/>
  </r>
  <r>
    <s v="ORD_002446"/>
    <s v="CUST_02446"/>
    <d v="2023-02-20T00:00:00"/>
    <s v="Monday"/>
    <n v="38"/>
    <x v="0"/>
    <x v="0"/>
    <x v="3"/>
    <x v="4"/>
    <n v="75.73"/>
    <n v="1"/>
    <n v="0"/>
    <n v="75.73"/>
    <x v="0"/>
    <s v="Tablet"/>
    <n v="11"/>
    <n v="8"/>
    <b v="0"/>
    <n v="5"/>
    <n v="5"/>
  </r>
  <r>
    <s v="ORD_001749"/>
    <s v="CUST_01749"/>
    <d v="2023-02-20T00:00:00"/>
    <s v="Monday"/>
    <n v="37"/>
    <x v="0"/>
    <x v="0"/>
    <x v="3"/>
    <x v="7"/>
    <n v="26.17"/>
    <n v="4"/>
    <n v="0"/>
    <n v="104.68"/>
    <x v="3"/>
    <s v="Tablet"/>
    <n v="8"/>
    <n v="4"/>
    <b v="0"/>
    <n v="3"/>
    <n v="5"/>
  </r>
  <r>
    <s v="ORD_001893"/>
    <s v="CUST_01893"/>
    <d v="2023-02-20T00:00:00"/>
    <s v="Monday"/>
    <n v="29"/>
    <x v="0"/>
    <x v="0"/>
    <x v="3"/>
    <x v="3"/>
    <n v="84.99"/>
    <n v="5"/>
    <n v="0"/>
    <n v="424.95"/>
    <x v="2"/>
    <s v="Tablet"/>
    <n v="3"/>
    <n v="7"/>
    <b v="1"/>
    <n v="7"/>
    <n v="4"/>
  </r>
  <r>
    <s v="ORD_000328"/>
    <s v="CUST_00328"/>
    <d v="2023-02-20T00:00:00"/>
    <s v="Monday"/>
    <n v="44"/>
    <x v="0"/>
    <x v="0"/>
    <x v="8"/>
    <x v="1"/>
    <n v="16.71"/>
    <n v="2"/>
    <n v="0"/>
    <n v="33.42"/>
    <x v="3"/>
    <s v="Desktop"/>
    <n v="21"/>
    <n v="9"/>
    <b v="0"/>
    <n v="7"/>
    <n v="3"/>
  </r>
  <r>
    <s v="ORD_004114"/>
    <s v="CUST_04114"/>
    <d v="2023-02-20T00:00:00"/>
    <s v="Monday"/>
    <n v="18"/>
    <x v="2"/>
    <x v="2"/>
    <x v="2"/>
    <x v="1"/>
    <n v="19.670000000000002"/>
    <n v="1"/>
    <n v="0"/>
    <n v="19.670000000000002"/>
    <x v="1"/>
    <s v="Mobile"/>
    <n v="18"/>
    <n v="13"/>
    <b v="0"/>
    <n v="3"/>
    <n v="3"/>
  </r>
  <r>
    <s v="ORD_003869"/>
    <s v="CUST_03869"/>
    <d v="2023-02-20T00:00:00"/>
    <s v="Monday"/>
    <n v="36"/>
    <x v="0"/>
    <x v="1"/>
    <x v="4"/>
    <x v="7"/>
    <n v="67.75"/>
    <n v="3"/>
    <n v="0"/>
    <n v="203.25"/>
    <x v="4"/>
    <s v="Mobile"/>
    <n v="28"/>
    <n v="12"/>
    <b v="0"/>
    <n v="7"/>
    <n v="5"/>
  </r>
  <r>
    <s v="ORD_000354"/>
    <s v="CUST_00354"/>
    <d v="2023-02-20T00:00:00"/>
    <s v="Monday"/>
    <n v="33"/>
    <x v="0"/>
    <x v="1"/>
    <x v="6"/>
    <x v="0"/>
    <n v="281.58"/>
    <n v="1"/>
    <n v="0"/>
    <n v="281.58"/>
    <x v="1"/>
    <s v="Tablet"/>
    <n v="6"/>
    <n v="11"/>
    <b v="1"/>
    <n v="3"/>
    <n v="5"/>
  </r>
  <r>
    <s v="ORD_001764"/>
    <s v="CUST_01764"/>
    <d v="2023-02-20T00:00:00"/>
    <s v="Monday"/>
    <n v="18"/>
    <x v="2"/>
    <x v="0"/>
    <x v="4"/>
    <x v="4"/>
    <n v="169.89"/>
    <n v="1"/>
    <n v="38.15"/>
    <n v="131.74"/>
    <x v="1"/>
    <s v="Mobile"/>
    <n v="12"/>
    <n v="11"/>
    <b v="1"/>
    <n v="12"/>
    <n v="5"/>
  </r>
  <r>
    <s v="ORD_004496"/>
    <s v="CUST_04496"/>
    <d v="2023-02-20T00:00:00"/>
    <s v="Monday"/>
    <n v="55"/>
    <x v="1"/>
    <x v="1"/>
    <x v="2"/>
    <x v="3"/>
    <n v="853.04"/>
    <n v="1"/>
    <n v="0"/>
    <n v="853.04"/>
    <x v="0"/>
    <s v="Mobile"/>
    <n v="29"/>
    <n v="9"/>
    <b v="1"/>
    <n v="6"/>
    <n v="5"/>
  </r>
  <r>
    <s v="ORD_003652"/>
    <s v="CUST_03652"/>
    <d v="2023-02-20T00:00:00"/>
    <s v="Monday"/>
    <n v="41"/>
    <x v="0"/>
    <x v="1"/>
    <x v="9"/>
    <x v="7"/>
    <n v="35.450000000000003"/>
    <n v="1"/>
    <n v="0"/>
    <n v="35.450000000000003"/>
    <x v="1"/>
    <s v="Desktop"/>
    <n v="19"/>
    <n v="12"/>
    <b v="1"/>
    <n v="13"/>
    <n v="5"/>
  </r>
  <r>
    <s v="ORD_000454"/>
    <s v="CUST_00454"/>
    <d v="2023-02-21T00:00:00"/>
    <s v="Tuesday"/>
    <n v="41"/>
    <x v="0"/>
    <x v="0"/>
    <x v="6"/>
    <x v="5"/>
    <n v="214.36"/>
    <n v="1"/>
    <n v="0"/>
    <n v="214.36"/>
    <x v="1"/>
    <s v="Mobile"/>
    <n v="8"/>
    <n v="7"/>
    <b v="0"/>
    <n v="8"/>
    <n v="5"/>
  </r>
  <r>
    <s v="ORD_004603"/>
    <s v="CUST_04603"/>
    <d v="2023-02-21T00:00:00"/>
    <s v="Tuesday"/>
    <n v="54"/>
    <x v="1"/>
    <x v="1"/>
    <x v="2"/>
    <x v="5"/>
    <n v="101.23"/>
    <n v="5"/>
    <n v="0"/>
    <n v="506.15"/>
    <x v="3"/>
    <s v="Desktop"/>
    <n v="30"/>
    <n v="9"/>
    <b v="0"/>
    <n v="16"/>
    <n v="4"/>
  </r>
  <r>
    <s v="ORD_002337"/>
    <s v="CUST_02337"/>
    <d v="2023-02-21T00:00:00"/>
    <s v="Tuesday"/>
    <n v="41"/>
    <x v="0"/>
    <x v="0"/>
    <x v="3"/>
    <x v="0"/>
    <n v="198.81"/>
    <n v="5"/>
    <n v="0"/>
    <n v="994.05"/>
    <x v="1"/>
    <s v="Mobile"/>
    <n v="24"/>
    <n v="4"/>
    <b v="0"/>
    <n v="5"/>
    <n v="5"/>
  </r>
  <r>
    <s v="ORD_003200"/>
    <s v="CUST_03200"/>
    <d v="2023-02-21T00:00:00"/>
    <s v="Tuesday"/>
    <n v="40"/>
    <x v="0"/>
    <x v="1"/>
    <x v="3"/>
    <x v="1"/>
    <n v="58.67"/>
    <n v="5"/>
    <n v="0"/>
    <n v="293.35000000000002"/>
    <x v="1"/>
    <s v="Tablet"/>
    <n v="4"/>
    <n v="10"/>
    <b v="0"/>
    <n v="11"/>
    <n v="4"/>
  </r>
  <r>
    <s v="ORD_001470"/>
    <s v="CUST_01470"/>
    <d v="2023-02-21T00:00:00"/>
    <s v="Tuesday"/>
    <n v="40"/>
    <x v="0"/>
    <x v="1"/>
    <x v="8"/>
    <x v="6"/>
    <n v="1328.74"/>
    <n v="1"/>
    <n v="287.01"/>
    <n v="1041.73"/>
    <x v="1"/>
    <s v="Mobile"/>
    <n v="8"/>
    <n v="6"/>
    <b v="1"/>
    <n v="3"/>
    <n v="4"/>
  </r>
  <r>
    <s v="ORD_000087"/>
    <s v="CUST_00087"/>
    <d v="2023-02-21T00:00:00"/>
    <s v="Tuesday"/>
    <n v="45"/>
    <x v="1"/>
    <x v="1"/>
    <x v="7"/>
    <x v="7"/>
    <n v="22.1"/>
    <n v="2"/>
    <n v="4.92"/>
    <n v="39.28"/>
    <x v="3"/>
    <s v="Desktop"/>
    <n v="9"/>
    <n v="7"/>
    <b v="0"/>
    <n v="2"/>
    <n v="5"/>
  </r>
  <r>
    <s v="ORD_003195"/>
    <s v="CUST_03195"/>
    <d v="2023-02-21T00:00:00"/>
    <s v="Tuesday"/>
    <n v="18"/>
    <x v="2"/>
    <x v="1"/>
    <x v="0"/>
    <x v="6"/>
    <n v="851.04"/>
    <n v="1"/>
    <n v="104.28"/>
    <n v="746.76"/>
    <x v="3"/>
    <s v="Mobile"/>
    <n v="4"/>
    <n v="6"/>
    <b v="0"/>
    <n v="6"/>
    <n v="4"/>
  </r>
  <r>
    <s v="ORD_001119"/>
    <s v="CUST_01119"/>
    <d v="2023-02-21T00:00:00"/>
    <s v="Tuesday"/>
    <n v="37"/>
    <x v="0"/>
    <x v="0"/>
    <x v="2"/>
    <x v="6"/>
    <n v="736.92"/>
    <n v="1"/>
    <n v="38.200000000000003"/>
    <n v="698.72"/>
    <x v="0"/>
    <s v="Mobile"/>
    <n v="42"/>
    <n v="8"/>
    <b v="0"/>
    <n v="6"/>
    <n v="4"/>
  </r>
  <r>
    <s v="ORD_001524"/>
    <s v="CUST_01524"/>
    <d v="2023-02-21T00:00:00"/>
    <s v="Tuesday"/>
    <n v="23"/>
    <x v="2"/>
    <x v="1"/>
    <x v="3"/>
    <x v="6"/>
    <n v="511.01"/>
    <n v="1"/>
    <n v="0"/>
    <n v="511.01"/>
    <x v="1"/>
    <s v="Mobile"/>
    <n v="11"/>
    <n v="8"/>
    <b v="1"/>
    <n v="5"/>
    <n v="3"/>
  </r>
  <r>
    <s v="ORD_001474"/>
    <s v="CUST_01474"/>
    <d v="2023-02-21T00:00:00"/>
    <s v="Tuesday"/>
    <n v="35"/>
    <x v="0"/>
    <x v="1"/>
    <x v="0"/>
    <x v="4"/>
    <n v="266.75"/>
    <n v="1"/>
    <n v="0"/>
    <n v="266.75"/>
    <x v="0"/>
    <s v="Mobile"/>
    <n v="36"/>
    <n v="8"/>
    <b v="1"/>
    <n v="6"/>
    <n v="5"/>
  </r>
  <r>
    <s v="ORD_003495"/>
    <s v="CUST_03495"/>
    <d v="2023-02-21T00:00:00"/>
    <s v="Tuesday"/>
    <n v="41"/>
    <x v="0"/>
    <x v="1"/>
    <x v="4"/>
    <x v="4"/>
    <n v="113.22"/>
    <n v="1"/>
    <n v="0"/>
    <n v="113.22"/>
    <x v="0"/>
    <s v="Mobile"/>
    <n v="5"/>
    <n v="8"/>
    <b v="0"/>
    <n v="15"/>
    <n v="4"/>
  </r>
  <r>
    <s v="ORD_002240"/>
    <s v="CUST_02240"/>
    <d v="2023-02-22T00:00:00"/>
    <s v="Wednesday"/>
    <n v="43"/>
    <x v="0"/>
    <x v="1"/>
    <x v="8"/>
    <x v="2"/>
    <n v="2102"/>
    <n v="3"/>
    <n v="576.92999999999995"/>
    <n v="5729.07"/>
    <x v="0"/>
    <s v="Desktop"/>
    <n v="4"/>
    <n v="12"/>
    <b v="1"/>
    <n v="7"/>
    <n v="5"/>
  </r>
  <r>
    <s v="ORD_000969"/>
    <s v="CUST_00969"/>
    <d v="2023-02-22T00:00:00"/>
    <s v="Wednesday"/>
    <n v="34"/>
    <x v="0"/>
    <x v="1"/>
    <x v="7"/>
    <x v="4"/>
    <n v="303.54000000000002"/>
    <n v="1"/>
    <n v="0"/>
    <n v="303.54000000000002"/>
    <x v="4"/>
    <s v="Mobile"/>
    <n v="23"/>
    <n v="9"/>
    <b v="0"/>
    <n v="3"/>
    <n v="2"/>
  </r>
  <r>
    <s v="ORD_000050"/>
    <s v="CUST_00050"/>
    <d v="2023-02-22T00:00:00"/>
    <s v="Wednesday"/>
    <n v="18"/>
    <x v="2"/>
    <x v="0"/>
    <x v="4"/>
    <x v="3"/>
    <n v="466.79"/>
    <n v="2"/>
    <n v="0"/>
    <n v="933.58"/>
    <x v="3"/>
    <s v="Mobile"/>
    <n v="13"/>
    <n v="10"/>
    <b v="1"/>
    <n v="9"/>
    <n v="5"/>
  </r>
  <r>
    <s v="ORD_004789"/>
    <s v="CUST_04789"/>
    <d v="2023-02-22T00:00:00"/>
    <s v="Wednesday"/>
    <n v="18"/>
    <x v="2"/>
    <x v="1"/>
    <x v="4"/>
    <x v="0"/>
    <n v="150.91"/>
    <n v="2"/>
    <n v="0"/>
    <n v="301.82"/>
    <x v="3"/>
    <s v="Mobile"/>
    <n v="8"/>
    <n v="11"/>
    <b v="1"/>
    <n v="3"/>
    <n v="4"/>
  </r>
  <r>
    <s v="ORD_004567"/>
    <s v="CUST_04567"/>
    <d v="2023-02-22T00:00:00"/>
    <s v="Wednesday"/>
    <n v="45"/>
    <x v="1"/>
    <x v="0"/>
    <x v="2"/>
    <x v="1"/>
    <n v="80.8"/>
    <n v="1"/>
    <n v="14.64"/>
    <n v="66.16"/>
    <x v="1"/>
    <s v="Mobile"/>
    <n v="22"/>
    <n v="6"/>
    <b v="1"/>
    <n v="9"/>
    <n v="4"/>
  </r>
  <r>
    <s v="ORD_002629"/>
    <s v="CUST_02629"/>
    <d v="2023-02-22T00:00:00"/>
    <s v="Wednesday"/>
    <n v="29"/>
    <x v="0"/>
    <x v="0"/>
    <x v="9"/>
    <x v="7"/>
    <n v="144.72999999999999"/>
    <n v="5"/>
    <n v="0"/>
    <n v="723.65"/>
    <x v="0"/>
    <s v="Desktop"/>
    <n v="25"/>
    <n v="8"/>
    <b v="0"/>
    <n v="10"/>
    <n v="5"/>
  </r>
  <r>
    <s v="ORD_004350"/>
    <s v="CUST_04350"/>
    <d v="2023-02-22T00:00:00"/>
    <s v="Wednesday"/>
    <n v="28"/>
    <x v="0"/>
    <x v="1"/>
    <x v="8"/>
    <x v="7"/>
    <n v="73.849999999999994"/>
    <n v="1"/>
    <n v="0"/>
    <n v="73.849999999999994"/>
    <x v="1"/>
    <s v="Desktop"/>
    <n v="26"/>
    <n v="14"/>
    <b v="0"/>
    <n v="9"/>
    <n v="3"/>
  </r>
  <r>
    <s v="ORD_002161"/>
    <s v="CUST_02161"/>
    <d v="2023-02-22T00:00:00"/>
    <s v="Wednesday"/>
    <n v="21"/>
    <x v="2"/>
    <x v="2"/>
    <x v="7"/>
    <x v="1"/>
    <n v="74.7"/>
    <n v="2"/>
    <n v="0"/>
    <n v="149.4"/>
    <x v="4"/>
    <s v="Desktop"/>
    <n v="15"/>
    <n v="8"/>
    <b v="1"/>
    <n v="3"/>
    <n v="4"/>
  </r>
  <r>
    <s v="ORD_003926"/>
    <s v="CUST_03926"/>
    <d v="2023-02-22T00:00:00"/>
    <s v="Wednesday"/>
    <n v="30"/>
    <x v="0"/>
    <x v="0"/>
    <x v="8"/>
    <x v="1"/>
    <n v="180.36"/>
    <n v="2"/>
    <n v="23.14"/>
    <n v="337.58"/>
    <x v="1"/>
    <s v="Mobile"/>
    <n v="36"/>
    <n v="12"/>
    <b v="1"/>
    <n v="5"/>
    <n v="5"/>
  </r>
  <r>
    <s v="ORD_004215"/>
    <s v="CUST_04215"/>
    <d v="2023-02-22T00:00:00"/>
    <s v="Wednesday"/>
    <n v="35"/>
    <x v="0"/>
    <x v="1"/>
    <x v="4"/>
    <x v="3"/>
    <n v="345.7"/>
    <n v="2"/>
    <n v="55.04"/>
    <n v="636.36"/>
    <x v="1"/>
    <s v="Mobile"/>
    <n v="23"/>
    <n v="6"/>
    <b v="1"/>
    <n v="9"/>
    <n v="4"/>
  </r>
  <r>
    <s v="ORD_002412"/>
    <s v="CUST_02412"/>
    <d v="2023-02-22T00:00:00"/>
    <s v="Wednesday"/>
    <n v="53"/>
    <x v="1"/>
    <x v="1"/>
    <x v="6"/>
    <x v="1"/>
    <n v="104.37"/>
    <n v="4"/>
    <n v="0"/>
    <n v="417.48"/>
    <x v="1"/>
    <s v="Desktop"/>
    <n v="7"/>
    <n v="8"/>
    <b v="0"/>
    <n v="9"/>
    <n v="5"/>
  </r>
  <r>
    <s v="ORD_004568"/>
    <s v="CUST_04568"/>
    <d v="2023-02-22T00:00:00"/>
    <s v="Wednesday"/>
    <n v="20"/>
    <x v="2"/>
    <x v="0"/>
    <x v="3"/>
    <x v="5"/>
    <n v="68.62"/>
    <n v="1"/>
    <n v="0"/>
    <n v="68.62"/>
    <x v="0"/>
    <s v="Mobile"/>
    <n v="5"/>
    <n v="12"/>
    <b v="1"/>
    <n v="6"/>
    <n v="2"/>
  </r>
  <r>
    <s v="ORD_000552"/>
    <s v="CUST_00552"/>
    <d v="2023-02-22T00:00:00"/>
    <s v="Wednesday"/>
    <n v="33"/>
    <x v="0"/>
    <x v="1"/>
    <x v="2"/>
    <x v="2"/>
    <n v="2717.55"/>
    <n v="4"/>
    <n v="0"/>
    <n v="10870.2"/>
    <x v="3"/>
    <s v="Mobile"/>
    <n v="8"/>
    <n v="7"/>
    <b v="1"/>
    <n v="7"/>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746868-CD27-43E8-98E5-0A4635B61A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2:C16" firstHeaderRow="0" firstDataRow="1" firstDataCol="1"/>
  <pivotFields count="20">
    <pivotField showAll="0"/>
    <pivotField showAll="0"/>
    <pivotField numFmtId="164" showAll="0"/>
    <pivotField showAll="0"/>
    <pivotField showAll="0"/>
    <pivotField axis="axisRow" showAll="0">
      <items count="4">
        <item x="1"/>
        <item x="2"/>
        <item x="0"/>
        <item t="default"/>
      </items>
    </pivotField>
    <pivotField showAll="0">
      <items count="4">
        <item h="1" x="0"/>
        <item x="1"/>
        <item h="1"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pivotField showAll="0"/>
    <pivotField dataField="1"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Average of Session_Duration_Minutes" fld="15" subtotal="average" baseField="5" baseItem="0"/>
    <dataField name="Sum of Total_Amount" fld="12" baseField="0" baseItem="0"/>
  </dataFields>
  <formats count="6">
    <format dxfId="38">
      <pivotArea type="all" dataOnly="0" outline="0" fieldPosition="0"/>
    </format>
    <format dxfId="37">
      <pivotArea outline="0" collapsedLevelsAreSubtotals="1" fieldPosition="0"/>
    </format>
    <format dxfId="36">
      <pivotArea field="5" type="button" dataOnly="0" labelOnly="1" outline="0" axis="axisRow" fieldPosition="0"/>
    </format>
    <format dxfId="35">
      <pivotArea dataOnly="0" labelOnly="1" fieldPosition="0">
        <references count="1">
          <reference field="5" count="0"/>
        </references>
      </pivotArea>
    </format>
    <format dxfId="34">
      <pivotArea dataOnly="0" labelOnly="1" grandRow="1" outline="0" fieldPosition="0"/>
    </format>
    <format dxfId="33">
      <pivotArea dataOnly="0" labelOnly="1" outline="0" fieldPosition="0">
        <references count="1">
          <reference field="4294967294" count="2">
            <x v="0"/>
            <x v="1"/>
          </reference>
        </references>
      </pivotArea>
    </format>
  </formats>
  <chartFormats count="4">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47C03-9968-4EFA-B5E7-D754C41118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C5" firstHeaderRow="0" firstDataRow="1" firstDataCol="0"/>
  <pivotFields count="20">
    <pivotField dataField="1" showAll="0"/>
    <pivotField showAll="0"/>
    <pivotField numFmtId="164" showAll="0"/>
    <pivotField showAll="0"/>
    <pivotField showAll="0"/>
    <pivotField showAll="0"/>
    <pivotField showAll="0">
      <items count="4">
        <item h="1" x="0"/>
        <item x="1"/>
        <item h="1" x="2"/>
        <item t="default"/>
      </items>
    </pivotField>
    <pivotField showAll="0"/>
    <pivotField showAll="0">
      <items count="9">
        <item x="4"/>
        <item x="7"/>
        <item x="2"/>
        <item x="5"/>
        <item x="1"/>
        <item x="6"/>
        <item x="3"/>
        <item x="0"/>
        <item t="default"/>
      </items>
    </pivotField>
    <pivotField showAll="0"/>
    <pivotField showAll="0"/>
    <pivotField showAll="0"/>
    <pivotField dataField="1" showAll="0"/>
    <pivotField showAll="0"/>
    <pivotField showAll="0"/>
    <pivotField showAll="0"/>
    <pivotField showAll="0"/>
    <pivotField showAll="0"/>
    <pivotField showAll="0"/>
    <pivotField dataField="1" showAll="0"/>
  </pivotFields>
  <rowItems count="1">
    <i/>
  </rowItems>
  <colFields count="1">
    <field x="-2"/>
  </colFields>
  <colItems count="3">
    <i>
      <x/>
    </i>
    <i i="1">
      <x v="1"/>
    </i>
    <i i="2">
      <x v="2"/>
    </i>
  </colItems>
  <dataFields count="3">
    <dataField name="Count of Order_ID" fld="0" subtotal="count" baseField="0" baseItem="0"/>
    <dataField name="Average of Customer_Rating" fld="19" subtotal="average" baseField="0" baseItem="1"/>
    <dataField name="Sum of Total_Amount" fld="12" baseField="0" baseItem="0"/>
  </dataFields>
  <formats count="3">
    <format dxfId="41">
      <pivotArea type="all" dataOnly="0" outline="0" fieldPosition="0"/>
    </format>
    <format dxfId="40">
      <pivotArea outline="0" collapsedLevelsAreSubtotals="1" fieldPosition="0"/>
    </format>
    <format dxfId="39">
      <pivotArea dataOnly="0" labelOnly="1" outline="0" fieldPosition="0">
        <references count="1">
          <reference field="4294967294" count="3">
            <x v="0"/>
            <x v="1"/>
            <x v="2"/>
          </reference>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616D75-0A3A-403C-9215-F7DECB9CC3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72:B81" firstHeaderRow="1" firstDataRow="1" firstDataCol="1"/>
  <pivotFields count="20">
    <pivotField showAll="0"/>
    <pivotField showAll="0"/>
    <pivotField numFmtId="164" showAll="0"/>
    <pivotField showAll="0"/>
    <pivotField showAll="0"/>
    <pivotField showAll="0"/>
    <pivotField showAll="0">
      <items count="4">
        <item h="1" x="0"/>
        <item x="1"/>
        <item h="1" x="2"/>
        <item t="default"/>
      </items>
    </pivotField>
    <pivotField showAll="0"/>
    <pivotField axis="axisRow" showAll="0">
      <items count="9">
        <item x="4"/>
        <item x="7"/>
        <item x="2"/>
        <item x="5"/>
        <item x="1"/>
        <item x="6"/>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9">
    <i>
      <x/>
    </i>
    <i>
      <x v="1"/>
    </i>
    <i>
      <x v="2"/>
    </i>
    <i>
      <x v="3"/>
    </i>
    <i>
      <x v="4"/>
    </i>
    <i>
      <x v="5"/>
    </i>
    <i>
      <x v="6"/>
    </i>
    <i>
      <x v="7"/>
    </i>
    <i t="grand">
      <x/>
    </i>
  </rowItems>
  <colItems count="1">
    <i/>
  </colItems>
  <dataFields count="1">
    <dataField name="Sum of Total_Amount" fld="12" baseField="0" baseItem="0"/>
  </dataFields>
  <formats count="6">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grandRow="1" outline="0" fieldPosition="0"/>
    </format>
    <format dxfId="42">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CA6AB-731F-4F55-9677-F789EE4C11A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7:B63" firstHeaderRow="1" firstDataRow="1" firstDataCol="1"/>
  <pivotFields count="20">
    <pivotField dataField="1" showAll="0"/>
    <pivotField showAll="0"/>
    <pivotField numFmtId="164" showAll="0"/>
    <pivotField showAll="0"/>
    <pivotField showAll="0"/>
    <pivotField showAll="0"/>
    <pivotField showAll="0">
      <items count="4">
        <item h="1" x="0"/>
        <item x="1"/>
        <item h="1" x="2"/>
        <item t="default"/>
      </items>
    </pivotField>
    <pivotField showAll="0"/>
    <pivotField showAll="0">
      <items count="9">
        <item x="4"/>
        <item x="7"/>
        <item x="2"/>
        <item x="5"/>
        <item x="1"/>
        <item x="6"/>
        <item x="3"/>
        <item x="0"/>
        <item t="default"/>
      </items>
    </pivotField>
    <pivotField showAll="0"/>
    <pivotField showAll="0"/>
    <pivotField showAll="0"/>
    <pivotField showAll="0"/>
    <pivotField axis="axisRow" showAll="0">
      <items count="6">
        <item x="4"/>
        <item x="2"/>
        <item x="1"/>
        <item x="0"/>
        <item x="3"/>
        <item t="default"/>
      </items>
    </pivotField>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Count of Order_ID" fld="0" subtotal="count" baseField="0" baseItem="0"/>
  </dataFields>
  <formats count="6">
    <format dxfId="53">
      <pivotArea type="all" dataOnly="0" outline="0" fieldPosition="0"/>
    </format>
    <format dxfId="52">
      <pivotArea outline="0" collapsedLevelsAreSubtotals="1" fieldPosition="0"/>
    </format>
    <format dxfId="51">
      <pivotArea field="13" type="button" dataOnly="0" labelOnly="1" outline="0" axis="axisRow" fieldPosition="0"/>
    </format>
    <format dxfId="50">
      <pivotArea dataOnly="0" labelOnly="1" fieldPosition="0">
        <references count="1">
          <reference field="13" count="0"/>
        </references>
      </pivotArea>
    </format>
    <format dxfId="49">
      <pivotArea dataOnly="0" labelOnly="1" grandRow="1" outline="0" fieldPosition="0"/>
    </format>
    <format dxfId="48">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0"/>
          </reference>
        </references>
      </pivotArea>
    </chartFormat>
    <chartFormat chart="3" format="2">
      <pivotArea type="data" outline="0" fieldPosition="0">
        <references count="2">
          <reference field="4294967294" count="1" selected="0">
            <x v="0"/>
          </reference>
          <reference field="13" count="1" selected="0">
            <x v="1"/>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 chart="3" format="4">
      <pivotArea type="data" outline="0" fieldPosition="0">
        <references count="2">
          <reference field="4294967294" count="1" selected="0">
            <x v="0"/>
          </reference>
          <reference field="13" count="1" selected="0">
            <x v="3"/>
          </reference>
        </references>
      </pivotArea>
    </chartFormat>
    <chartFormat chart="3" format="5">
      <pivotArea type="data" outline="0" fieldPosition="0">
        <references count="2">
          <reference field="4294967294" count="1" selected="0">
            <x v="0"/>
          </reference>
          <reference field="13" count="1" selected="0">
            <x v="4"/>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3" count="1" selected="0">
            <x v="0"/>
          </reference>
        </references>
      </pivotArea>
    </chartFormat>
    <chartFormat chart="9" format="20">
      <pivotArea type="data" outline="0" fieldPosition="0">
        <references count="2">
          <reference field="4294967294" count="1" selected="0">
            <x v="0"/>
          </reference>
          <reference field="13" count="1" selected="0">
            <x v="1"/>
          </reference>
        </references>
      </pivotArea>
    </chartFormat>
    <chartFormat chart="9" format="21">
      <pivotArea type="data" outline="0" fieldPosition="0">
        <references count="2">
          <reference field="4294967294" count="1" selected="0">
            <x v="0"/>
          </reference>
          <reference field="13" count="1" selected="0">
            <x v="2"/>
          </reference>
        </references>
      </pivotArea>
    </chartFormat>
    <chartFormat chart="9" format="22">
      <pivotArea type="data" outline="0" fieldPosition="0">
        <references count="2">
          <reference field="4294967294" count="1" selected="0">
            <x v="0"/>
          </reference>
          <reference field="13" count="1" selected="0">
            <x v="3"/>
          </reference>
        </references>
      </pivotArea>
    </chartFormat>
    <chartFormat chart="9" format="23">
      <pivotArea type="data" outline="0" fieldPosition="0">
        <references count="2">
          <reference field="4294967294" count="1" selected="0">
            <x v="0"/>
          </reference>
          <reference field="13" count="1" selected="0">
            <x v="4"/>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353C6-7968-4660-A594-14BFFFEC8C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B42" firstHeaderRow="1" firstDataRow="1" firstDataCol="1"/>
  <pivotFields count="20">
    <pivotField showAll="0"/>
    <pivotField showAll="0"/>
    <pivotField numFmtId="164" showAll="0"/>
    <pivotField showAll="0"/>
    <pivotField showAll="0"/>
    <pivotField showAll="0"/>
    <pivotField showAll="0">
      <items count="4">
        <item h="1" x="0"/>
        <item x="1"/>
        <item h="1" x="2"/>
        <item t="default"/>
      </items>
    </pivotField>
    <pivotField axis="axisRow" showAll="0">
      <items count="11">
        <item x="9"/>
        <item x="2"/>
        <item x="6"/>
        <item x="0"/>
        <item x="5"/>
        <item x="8"/>
        <item x="3"/>
        <item x="4"/>
        <item x="7"/>
        <item x="1"/>
        <item t="default"/>
      </items>
    </pivotField>
    <pivotField showAll="0">
      <items count="9">
        <item x="4"/>
        <item x="7"/>
        <item x="2"/>
        <item x="5"/>
        <item x="1"/>
        <item x="6"/>
        <item x="3"/>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Total_Amount" fld="12" baseField="0" baseItem="0"/>
  </dataFields>
  <formats count="6">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outline="0" axis="axisValues"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EFEE7F-2A50-4DC7-AD2D-C46D8530247E}" sourceName="Gender">
  <pivotTables>
    <pivotTable tabId="3" name="PivotTable11"/>
    <pivotTable tabId="3" name="PivotTable4"/>
    <pivotTable tabId="3" name="PivotTable7"/>
    <pivotTable tabId="3" name="PivotTable8"/>
    <pivotTable tabId="3" name="PivotTable12"/>
  </pivotTables>
  <data>
    <tabular pivotCacheId="673922529">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AF4CB2B-83C6-41C8-96C9-65E5051C2BB7}" sourceName="Product_Category">
  <pivotTables>
    <pivotTable tabId="3" name="PivotTable12"/>
    <pivotTable tabId="3" name="PivotTable11"/>
    <pivotTable tabId="3" name="PivotTable4"/>
    <pivotTable tabId="3" name="PivotTable7"/>
    <pivotTable tabId="3" name="PivotTable8"/>
  </pivotTables>
  <data>
    <tabular pivotCacheId="673922529">
      <items count="8">
        <i x="4" s="1"/>
        <i x="7" s="1"/>
        <i x="2" s="1"/>
        <i x="5" s="1"/>
        <i x="1"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DE64E02-E8F6-4836-8029-D3EFA99968DF}" sourceName="City ">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133DC5F-C933-48C8-8261-4889945CFE81}" cache="Slicer_Gender" caption="Gender" style="Slicer Style 4" rowHeight="241300"/>
  <slicer name="Product_Category 1" xr10:uid="{43B582C6-E950-4158-B295-8BBB0F283B3C}" cache="Slicer_Product_Category" caption="Product_Category" style="Slicer Style 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4BA55317-736B-42AB-8D7B-61E4FDAA5AB5}" cache="Slicer_City" caption="City " style="Slicer Style 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0837C86-C2A0-43CD-992C-65B07C568E42}" cache="Slicer_Gender" caption="Gender" rowHeight="241300"/>
  <slicer name="Product_Category" xr10:uid="{B1AFAEE7-BCCE-4510-8A1C-7EE8DBB01D63}" cache="Slicer_Product_Category" caption="Product_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 xr10:uid="{D3C816E4-8214-456A-ACFE-DCE0D24E7A20}" cache="Slicer_City" caption="City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A5DD4C-DB95-47F4-8F91-8E8E9CD19D23}" name="Table1" displayName="Table1" ref="A1:T566" totalsRowShown="0" dataDxfId="80">
  <autoFilter ref="A1:T566" xr:uid="{67A5DD4C-DB95-47F4-8F91-8E8E9CD19D23}"/>
  <tableColumns count="20">
    <tableColumn id="1" xr3:uid="{953A2C43-3785-41C7-B488-8FCDC3A043ED}" name="Order_ID" dataDxfId="79"/>
    <tableColumn id="2" xr3:uid="{DCD2CAFE-FB6A-40D5-AF09-6C136FDAC84B}" name="Customer_ID" dataDxfId="78"/>
    <tableColumn id="3" xr3:uid="{D84736CA-788A-4642-BAA7-4BF2581BFBF7}" name="Date" dataDxfId="77"/>
    <tableColumn id="4" xr3:uid="{CF5F4848-9374-40A1-9A63-78E893585876}" name="Day_Name" dataDxfId="76">
      <calculatedColumnFormula>TEXT(C2, "dddd")</calculatedColumnFormula>
    </tableColumn>
    <tableColumn id="5" xr3:uid="{9FB15790-BE66-4EAB-B237-8648E5E3064F}" name="Age" dataDxfId="75"/>
    <tableColumn id="6" xr3:uid="{5C186A44-9409-47FC-9A83-30087833CC86}" name="Age Group" dataDxfId="74">
      <calculatedColumnFormula>IFERROR(IF(E2&lt;25, "Gen Z", IF(E2&lt;45, "Millennials", "Gen X/Boomers")),"Not Valide Age")</calculatedColumnFormula>
    </tableColumn>
    <tableColumn id="7" xr3:uid="{A740BCC4-C740-496C-8AC4-92336133139F}" name="Gender" dataDxfId="73"/>
    <tableColumn id="8" xr3:uid="{BD5EDB86-9E6B-4273-8A7A-4530F00BB4CF}" name="City" dataDxfId="72"/>
    <tableColumn id="9" xr3:uid="{AAD47D9B-99F3-4007-A6C8-979B8BF0E7A9}" name="Product_Category" dataDxfId="71"/>
    <tableColumn id="10" xr3:uid="{49DF1D9F-4A03-4A2D-ABE4-5EEFE5AC245E}" name="Unit_Price" dataDxfId="70"/>
    <tableColumn id="11" xr3:uid="{DA1E74B5-662A-49A9-98E0-D59A3DAC187F}" name="Quantity" dataDxfId="69"/>
    <tableColumn id="12" xr3:uid="{A78DBFEC-2480-41DE-9726-327019F6BCAF}" name="Discount_Amount" dataDxfId="68"/>
    <tableColumn id="13" xr3:uid="{06412F4E-579C-4E60-8E12-1EB6185A113B}" name="Total_Amount" dataDxfId="67"/>
    <tableColumn id="14" xr3:uid="{2BE2CC02-3C4F-4A44-9FE3-CAB3D16D6DB2}" name="Payment_Method" dataDxfId="66"/>
    <tableColumn id="15" xr3:uid="{1A0BFCD6-B407-4BBB-9CB6-7CD8FC5333BF}" name="Device_Type" dataDxfId="65"/>
    <tableColumn id="16" xr3:uid="{65DB7B5A-54F6-45AF-9BAA-672BCDE76E42}" name="Session_Duration_Minutes" dataDxfId="64"/>
    <tableColumn id="17" xr3:uid="{E41BB2C0-A661-45D7-A21A-32ADC0AB9765}" name="Pages_Viewed" dataDxfId="63"/>
    <tableColumn id="18" xr3:uid="{6BA83D88-0D1C-43D5-9534-5A4AA098683B}" name="Is_Returning_Customer" dataDxfId="62"/>
    <tableColumn id="19" xr3:uid="{28BEF7ED-4A8F-43FA-B7FD-8B8293F0699A}" name="Delivery_Time_Days" dataDxfId="61"/>
    <tableColumn id="20" xr3:uid="{2C3763AD-B590-4D19-A144-AC345FD8A6A6}" name="Customer_Rating" dataDxfId="60"/>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666585-38C7-44DB-940D-32982845F465}" name="Table3" displayName="Table3" ref="D32:E43" totalsRowShown="0" tableBorderDxfId="32">
  <autoFilter ref="D32:E43" xr:uid="{CC666585-38C7-44DB-940D-32982845F465}"/>
  <tableColumns count="2">
    <tableColumn id="1" xr3:uid="{D5AD0B30-BCDC-4C23-B368-5B80B19A6F83}" name="City " dataDxfId="31"/>
    <tableColumn id="2" xr3:uid="{AEFBF722-D6BC-4330-8184-26488219E820}" name="Total Amount" dataDxfId="30"/>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49FE-F433-4D04-9F45-6102FD82605E}">
  <dimension ref="B12:L68"/>
  <sheetViews>
    <sheetView showGridLines="0" zoomScale="49" zoomScaleNormal="65" workbookViewId="0">
      <selection activeCell="AL15" sqref="A1:XFD1048576"/>
    </sheetView>
  </sheetViews>
  <sheetFormatPr defaultRowHeight="14.5"/>
  <cols>
    <col min="1" max="3" width="8.7265625" style="12"/>
    <col min="4" max="4" width="10.1796875" style="12" customWidth="1"/>
    <col min="5" max="16384" width="8.7265625" style="12"/>
  </cols>
  <sheetData>
    <row r="12" s="12" customFormat="1"/>
    <row r="59" spans="2:9" ht="23.5">
      <c r="B59" s="21"/>
      <c r="C59" s="17" t="s">
        <v>1198</v>
      </c>
      <c r="D59" s="17"/>
      <c r="E59" s="21"/>
      <c r="F59" s="21"/>
      <c r="G59" s="20" t="s">
        <v>18</v>
      </c>
      <c r="H59" s="21"/>
      <c r="I59" s="21"/>
    </row>
    <row r="60" spans="2:9" ht="23.5">
      <c r="B60" s="21"/>
      <c r="C60" s="17"/>
      <c r="D60" s="17"/>
      <c r="E60" s="21"/>
      <c r="F60" s="21"/>
      <c r="G60" s="21"/>
      <c r="H60" s="21"/>
      <c r="I60" s="21"/>
    </row>
    <row r="61" spans="2:9" ht="26">
      <c r="B61" s="21"/>
      <c r="C61" s="17" t="s">
        <v>1199</v>
      </c>
      <c r="D61" s="17"/>
      <c r="E61" s="21"/>
      <c r="F61" s="21"/>
      <c r="G61" s="18" t="str">
        <f>IFERROR(INDEX(Table1[Customer_ID], MATCH(DashBoard!G59, Table1[Order_ID], 0)), "-")</f>
        <v>CUST_01337</v>
      </c>
      <c r="H61" s="21"/>
      <c r="I61" s="21"/>
    </row>
    <row r="62" spans="2:9" ht="23.5">
      <c r="B62" s="21"/>
      <c r="C62" s="17"/>
      <c r="D62" s="17"/>
      <c r="E62" s="21"/>
      <c r="F62" s="21"/>
      <c r="G62" s="21"/>
      <c r="H62" s="21"/>
      <c r="I62" s="21"/>
    </row>
    <row r="63" spans="2:9" ht="26">
      <c r="B63" s="21"/>
      <c r="C63" s="17" t="s">
        <v>5</v>
      </c>
      <c r="D63" s="17"/>
      <c r="E63" s="21"/>
      <c r="F63" s="21"/>
      <c r="G63" s="18" t="str">
        <f>IFERROR(INDEX(Table1[City], MATCH(DashBoard!G59, Table1[Order_ID], 0)), "-")</f>
        <v>Bursa</v>
      </c>
      <c r="H63" s="21"/>
      <c r="I63" s="21"/>
    </row>
    <row r="64" spans="2:9" ht="23.5">
      <c r="B64" s="21"/>
      <c r="C64" s="17"/>
      <c r="D64" s="17"/>
      <c r="E64" s="21"/>
      <c r="F64" s="21"/>
      <c r="G64" s="21"/>
      <c r="H64" s="21"/>
      <c r="I64" s="21"/>
    </row>
    <row r="65" spans="2:12" ht="26">
      <c r="B65" s="21"/>
      <c r="C65" s="17" t="s">
        <v>1200</v>
      </c>
      <c r="D65" s="17"/>
      <c r="E65" s="21"/>
      <c r="F65" s="21"/>
      <c r="G65" s="18">
        <f>IFERROR(INDEX(Table1[Total_Amount], MATCH(DashBoard!G59, Table1[Order_ID], 0)), "-")</f>
        <v>54.28</v>
      </c>
      <c r="H65" s="21"/>
      <c r="I65" s="21"/>
      <c r="L65" s="19"/>
    </row>
    <row r="66" spans="2:12" ht="23.5">
      <c r="B66" s="21"/>
      <c r="C66" s="17"/>
      <c r="D66" s="17"/>
      <c r="E66" s="21"/>
      <c r="F66" s="21"/>
      <c r="G66" s="21"/>
      <c r="H66" s="21"/>
      <c r="I66" s="21"/>
    </row>
    <row r="67" spans="2:12" ht="26">
      <c r="B67" s="21"/>
      <c r="C67" s="17" t="s">
        <v>1201</v>
      </c>
      <c r="D67" s="17"/>
      <c r="E67" s="21"/>
      <c r="F67" s="21"/>
      <c r="G67" s="18" t="str">
        <f>IFERROR(INDEX(Table1[Product_Category], MATCH(DashBoard!G59, Table1[Order_ID], 0)), "-")</f>
        <v>Toys</v>
      </c>
      <c r="H67" s="21"/>
      <c r="I67" s="21"/>
    </row>
    <row r="68" spans="2:12">
      <c r="B68" s="21"/>
      <c r="C68" s="21"/>
      <c r="D68" s="21"/>
      <c r="E68" s="21"/>
      <c r="F68" s="21"/>
      <c r="G68" s="21"/>
      <c r="H68" s="21"/>
      <c r="I68"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765C5-1020-4F4F-9B1F-AEF7ACBBE5FE}">
  <dimension ref="A1:T566"/>
  <sheetViews>
    <sheetView workbookViewId="0">
      <selection activeCell="G17" sqref="G17"/>
    </sheetView>
  </sheetViews>
  <sheetFormatPr defaultColWidth="9.81640625" defaultRowHeight="14.5"/>
  <cols>
    <col min="1" max="1" width="11.54296875" bestFit="1" customWidth="1"/>
    <col min="2" max="2" width="13.81640625" customWidth="1"/>
    <col min="3" max="3" width="15.26953125" style="2" bestFit="1" customWidth="1"/>
    <col min="4" max="4" width="11.90625" style="2" customWidth="1"/>
    <col min="5" max="5" width="8" customWidth="1"/>
    <col min="6" max="6" width="14" bestFit="1" customWidth="1"/>
    <col min="7" max="7" width="9" customWidth="1"/>
    <col min="8" max="8" width="9.1796875" bestFit="1" customWidth="1"/>
    <col min="9" max="9" width="17.90625" customWidth="1"/>
    <col min="10" max="10" width="11.453125" customWidth="1"/>
    <col min="11" max="11" width="10.1796875" customWidth="1"/>
    <col min="12" max="12" width="18" customWidth="1"/>
    <col min="13" max="13" width="14.90625" customWidth="1"/>
    <col min="14" max="14" width="18" customWidth="1"/>
    <col min="15" max="15" width="13.26953125" customWidth="1"/>
    <col min="16" max="16" width="25.36328125" customWidth="1"/>
    <col min="17" max="17" width="14.81640625" customWidth="1"/>
    <col min="18" max="18" width="22.54296875" customWidth="1"/>
    <col min="19" max="19" width="19.6328125" customWidth="1"/>
    <col min="20" max="20" width="17.26953125" customWidth="1"/>
  </cols>
  <sheetData>
    <row r="1" spans="1:20">
      <c r="A1" t="s">
        <v>0</v>
      </c>
      <c r="B1" t="s">
        <v>1</v>
      </c>
      <c r="C1" s="2" t="s">
        <v>2</v>
      </c>
      <c r="D1" s="4" t="s">
        <v>1178</v>
      </c>
      <c r="E1" t="s">
        <v>3</v>
      </c>
      <c r="F1" s="3" t="s">
        <v>1177</v>
      </c>
      <c r="G1" t="s">
        <v>4</v>
      </c>
      <c r="H1" t="s">
        <v>5</v>
      </c>
      <c r="I1" t="s">
        <v>6</v>
      </c>
      <c r="J1" t="s">
        <v>7</v>
      </c>
      <c r="K1" t="s">
        <v>8</v>
      </c>
      <c r="L1" t="s">
        <v>9</v>
      </c>
      <c r="M1" t="s">
        <v>10</v>
      </c>
      <c r="N1" t="s">
        <v>11</v>
      </c>
      <c r="O1" t="s">
        <v>12</v>
      </c>
      <c r="P1" t="s">
        <v>13</v>
      </c>
      <c r="Q1" t="s">
        <v>14</v>
      </c>
      <c r="R1" t="s">
        <v>15</v>
      </c>
      <c r="S1" t="s">
        <v>16</v>
      </c>
      <c r="T1" t="s">
        <v>17</v>
      </c>
    </row>
    <row r="2" spans="1:20">
      <c r="A2" s="16" t="s">
        <v>18</v>
      </c>
      <c r="B2" s="5" t="s">
        <v>19</v>
      </c>
      <c r="C2" s="6">
        <v>44927</v>
      </c>
      <c r="D2" s="6" t="str">
        <f>TEXT(C2, "dddd")</f>
        <v>Sunday</v>
      </c>
      <c r="E2" s="5">
        <v>25</v>
      </c>
      <c r="F2" s="5" t="str">
        <f t="shared" ref="F2:F65" si="0">IFERROR(IF(E2&lt;25, "Gen Z", IF(E2&lt;45, "Millennials", "Gen X/Boomers")),"Not Valide Age")</f>
        <v>Millennials</v>
      </c>
      <c r="G2" s="5" t="s">
        <v>20</v>
      </c>
      <c r="H2" s="5" t="s">
        <v>21</v>
      </c>
      <c r="I2" s="5" t="s">
        <v>22</v>
      </c>
      <c r="J2" s="5">
        <v>54.28</v>
      </c>
      <c r="K2" s="5">
        <v>1</v>
      </c>
      <c r="L2" s="5">
        <v>0</v>
      </c>
      <c r="M2" s="5">
        <v>54.28</v>
      </c>
      <c r="N2" s="5" t="s">
        <v>23</v>
      </c>
      <c r="O2" s="5" t="s">
        <v>24</v>
      </c>
      <c r="P2" s="5">
        <v>4</v>
      </c>
      <c r="Q2" s="5">
        <v>14</v>
      </c>
      <c r="R2" s="5" t="b">
        <v>1</v>
      </c>
      <c r="S2" s="5">
        <v>8</v>
      </c>
      <c r="T2" s="5">
        <v>5</v>
      </c>
    </row>
    <row r="3" spans="1:20">
      <c r="A3" s="5" t="s">
        <v>25</v>
      </c>
      <c r="B3" s="5" t="s">
        <v>26</v>
      </c>
      <c r="C3" s="6">
        <v>44927</v>
      </c>
      <c r="D3" s="6" t="str">
        <f t="shared" ref="D3:D66" si="1">TEXT(C3, "dddd")</f>
        <v>Sunday</v>
      </c>
      <c r="E3" s="5">
        <v>42</v>
      </c>
      <c r="F3" s="5" t="str">
        <f t="shared" si="0"/>
        <v>Millennials</v>
      </c>
      <c r="G3" s="5" t="s">
        <v>27</v>
      </c>
      <c r="H3" s="5" t="s">
        <v>28</v>
      </c>
      <c r="I3" s="5" t="s">
        <v>22</v>
      </c>
      <c r="J3" s="5">
        <v>244.9</v>
      </c>
      <c r="K3" s="5">
        <v>1</v>
      </c>
      <c r="L3" s="5">
        <v>0</v>
      </c>
      <c r="M3" s="5">
        <v>244.9</v>
      </c>
      <c r="N3" s="5" t="s">
        <v>29</v>
      </c>
      <c r="O3" s="5" t="s">
        <v>24</v>
      </c>
      <c r="P3" s="5">
        <v>11</v>
      </c>
      <c r="Q3" s="5">
        <v>3</v>
      </c>
      <c r="R3" s="5" t="b">
        <v>1</v>
      </c>
      <c r="S3" s="5">
        <v>3</v>
      </c>
      <c r="T3" s="5">
        <v>3</v>
      </c>
    </row>
    <row r="4" spans="1:20">
      <c r="A4" s="5" t="s">
        <v>30</v>
      </c>
      <c r="B4" s="5" t="s">
        <v>31</v>
      </c>
      <c r="C4" s="6">
        <v>44927</v>
      </c>
      <c r="D4" s="6" t="str">
        <f t="shared" si="1"/>
        <v>Sunday</v>
      </c>
      <c r="E4" s="5">
        <v>43</v>
      </c>
      <c r="F4" s="5" t="str">
        <f t="shared" si="0"/>
        <v>Millennials</v>
      </c>
      <c r="G4" s="5" t="s">
        <v>20</v>
      </c>
      <c r="H4" s="5" t="s">
        <v>32</v>
      </c>
      <c r="I4" s="5" t="s">
        <v>33</v>
      </c>
      <c r="J4" s="5">
        <v>48.15</v>
      </c>
      <c r="K4" s="5">
        <v>5</v>
      </c>
      <c r="L4" s="5">
        <v>0</v>
      </c>
      <c r="M4" s="5">
        <v>240.75</v>
      </c>
      <c r="N4" s="5" t="s">
        <v>29</v>
      </c>
      <c r="O4" s="5" t="s">
        <v>24</v>
      </c>
      <c r="P4" s="5">
        <v>7</v>
      </c>
      <c r="Q4" s="5">
        <v>8</v>
      </c>
      <c r="R4" s="5" t="b">
        <v>1</v>
      </c>
      <c r="S4" s="5">
        <v>5</v>
      </c>
      <c r="T4" s="5">
        <v>2</v>
      </c>
    </row>
    <row r="5" spans="1:20">
      <c r="A5" s="5" t="s">
        <v>34</v>
      </c>
      <c r="B5" s="5" t="s">
        <v>35</v>
      </c>
      <c r="C5" s="6">
        <v>44927</v>
      </c>
      <c r="D5" s="6" t="str">
        <f t="shared" si="1"/>
        <v>Sunday</v>
      </c>
      <c r="E5" s="5">
        <v>32</v>
      </c>
      <c r="F5" s="5" t="str">
        <f t="shared" si="0"/>
        <v>Millennials</v>
      </c>
      <c r="G5" s="5" t="s">
        <v>27</v>
      </c>
      <c r="H5" s="5" t="s">
        <v>36</v>
      </c>
      <c r="I5" s="5" t="s">
        <v>37</v>
      </c>
      <c r="J5" s="5">
        <v>804.06</v>
      </c>
      <c r="K5" s="5">
        <v>1</v>
      </c>
      <c r="L5" s="5">
        <v>229.28</v>
      </c>
      <c r="M5" s="5">
        <v>574.78</v>
      </c>
      <c r="N5" s="5" t="s">
        <v>29</v>
      </c>
      <c r="O5" s="5" t="s">
        <v>24</v>
      </c>
      <c r="P5" s="5">
        <v>8</v>
      </c>
      <c r="Q5" s="5">
        <v>10</v>
      </c>
      <c r="R5" s="5" t="b">
        <v>0</v>
      </c>
      <c r="S5" s="5">
        <v>1</v>
      </c>
      <c r="T5" s="5">
        <v>4</v>
      </c>
    </row>
    <row r="6" spans="1:20">
      <c r="A6" s="5" t="s">
        <v>38</v>
      </c>
      <c r="B6" s="5" t="s">
        <v>39</v>
      </c>
      <c r="C6" s="6">
        <v>44927</v>
      </c>
      <c r="D6" s="6" t="str">
        <f t="shared" si="1"/>
        <v>Sunday</v>
      </c>
      <c r="E6" s="5">
        <v>40</v>
      </c>
      <c r="F6" s="5" t="str">
        <f t="shared" si="0"/>
        <v>Millennials</v>
      </c>
      <c r="G6" s="5" t="s">
        <v>20</v>
      </c>
      <c r="H6" s="5" t="s">
        <v>36</v>
      </c>
      <c r="I6" s="5" t="s">
        <v>40</v>
      </c>
      <c r="J6" s="5">
        <v>755.61</v>
      </c>
      <c r="K6" s="5">
        <v>5</v>
      </c>
      <c r="L6" s="5">
        <v>0</v>
      </c>
      <c r="M6" s="5">
        <v>3778.05</v>
      </c>
      <c r="N6" s="5" t="s">
        <v>41</v>
      </c>
      <c r="O6" s="5" t="s">
        <v>42</v>
      </c>
      <c r="P6" s="5">
        <v>21</v>
      </c>
      <c r="Q6" s="5">
        <v>10</v>
      </c>
      <c r="R6" s="5" t="b">
        <v>1</v>
      </c>
      <c r="S6" s="5">
        <v>7</v>
      </c>
      <c r="T6" s="5">
        <v>4</v>
      </c>
    </row>
    <row r="7" spans="1:20">
      <c r="A7" s="5" t="s">
        <v>43</v>
      </c>
      <c r="B7" s="5" t="s">
        <v>44</v>
      </c>
      <c r="C7" s="6">
        <v>44927</v>
      </c>
      <c r="D7" s="6" t="str">
        <f t="shared" si="1"/>
        <v>Sunday</v>
      </c>
      <c r="E7" s="5">
        <v>43</v>
      </c>
      <c r="F7" s="5" t="str">
        <f t="shared" si="0"/>
        <v>Millennials</v>
      </c>
      <c r="G7" s="5" t="s">
        <v>20</v>
      </c>
      <c r="H7" s="5" t="s">
        <v>36</v>
      </c>
      <c r="I7" s="5" t="s">
        <v>45</v>
      </c>
      <c r="J7" s="5">
        <v>122.46</v>
      </c>
      <c r="K7" s="5">
        <v>1</v>
      </c>
      <c r="L7" s="5">
        <v>0</v>
      </c>
      <c r="M7" s="5">
        <v>122.46</v>
      </c>
      <c r="N7" s="5" t="s">
        <v>29</v>
      </c>
      <c r="O7" s="5" t="s">
        <v>24</v>
      </c>
      <c r="P7" s="5">
        <v>14</v>
      </c>
      <c r="Q7" s="5">
        <v>9</v>
      </c>
      <c r="R7" s="5" t="b">
        <v>1</v>
      </c>
      <c r="S7" s="5">
        <v>9</v>
      </c>
      <c r="T7" s="5">
        <v>5</v>
      </c>
    </row>
    <row r="8" spans="1:20">
      <c r="A8" s="5" t="s">
        <v>46</v>
      </c>
      <c r="B8" s="5" t="s">
        <v>47</v>
      </c>
      <c r="C8" s="6">
        <v>44927</v>
      </c>
      <c r="D8" s="6" t="str">
        <f t="shared" si="1"/>
        <v>Sunday</v>
      </c>
      <c r="E8" s="5">
        <v>25</v>
      </c>
      <c r="F8" s="5" t="str">
        <f t="shared" si="0"/>
        <v>Millennials</v>
      </c>
      <c r="G8" s="5" t="s">
        <v>20</v>
      </c>
      <c r="H8" s="5" t="s">
        <v>48</v>
      </c>
      <c r="I8" s="5" t="s">
        <v>37</v>
      </c>
      <c r="J8" s="5">
        <v>2107.37</v>
      </c>
      <c r="K8" s="5">
        <v>2</v>
      </c>
      <c r="L8" s="5">
        <v>0</v>
      </c>
      <c r="M8" s="5">
        <v>4214.74</v>
      </c>
      <c r="N8" s="5" t="s">
        <v>49</v>
      </c>
      <c r="O8" s="5" t="s">
        <v>42</v>
      </c>
      <c r="P8" s="5">
        <v>10</v>
      </c>
      <c r="Q8" s="5">
        <v>5</v>
      </c>
      <c r="R8" s="5" t="b">
        <v>0</v>
      </c>
      <c r="S8" s="5">
        <v>6</v>
      </c>
      <c r="T8" s="5">
        <v>5</v>
      </c>
    </row>
    <row r="9" spans="1:20">
      <c r="A9" s="5" t="s">
        <v>50</v>
      </c>
      <c r="B9" s="5" t="s">
        <v>51</v>
      </c>
      <c r="C9" s="6">
        <v>44927</v>
      </c>
      <c r="D9" s="6" t="str">
        <f t="shared" si="1"/>
        <v>Sunday</v>
      </c>
      <c r="E9" s="5">
        <v>44</v>
      </c>
      <c r="F9" s="5" t="str">
        <f t="shared" si="0"/>
        <v>Millennials</v>
      </c>
      <c r="G9" s="5" t="s">
        <v>27</v>
      </c>
      <c r="H9" s="5" t="s">
        <v>28</v>
      </c>
      <c r="I9" s="5" t="s">
        <v>33</v>
      </c>
      <c r="J9" s="5">
        <v>213.64</v>
      </c>
      <c r="K9" s="5">
        <v>2</v>
      </c>
      <c r="L9" s="5">
        <v>0</v>
      </c>
      <c r="M9" s="5">
        <v>427.28</v>
      </c>
      <c r="N9" s="5" t="s">
        <v>29</v>
      </c>
      <c r="O9" s="5" t="s">
        <v>24</v>
      </c>
      <c r="P9" s="5">
        <v>10</v>
      </c>
      <c r="Q9" s="5">
        <v>16</v>
      </c>
      <c r="R9" s="5" t="b">
        <v>0</v>
      </c>
      <c r="S9" s="5">
        <v>3</v>
      </c>
      <c r="T9" s="5">
        <v>5</v>
      </c>
    </row>
    <row r="10" spans="1:20">
      <c r="A10" s="5" t="s">
        <v>52</v>
      </c>
      <c r="B10" s="5" t="s">
        <v>53</v>
      </c>
      <c r="C10" s="6">
        <v>44928</v>
      </c>
      <c r="D10" s="6" t="str">
        <f t="shared" si="1"/>
        <v>Monday</v>
      </c>
      <c r="E10" s="5">
        <v>41</v>
      </c>
      <c r="F10" s="5" t="str">
        <f t="shared" si="0"/>
        <v>Millennials</v>
      </c>
      <c r="G10" s="5" t="s">
        <v>27</v>
      </c>
      <c r="H10" s="5" t="s">
        <v>36</v>
      </c>
      <c r="I10" s="5" t="s">
        <v>54</v>
      </c>
      <c r="J10" s="5">
        <v>257.62</v>
      </c>
      <c r="K10" s="5">
        <v>5</v>
      </c>
      <c r="L10" s="5">
        <v>62.15</v>
      </c>
      <c r="M10" s="5">
        <v>1225.95</v>
      </c>
      <c r="N10" s="5" t="s">
        <v>29</v>
      </c>
      <c r="O10" s="5" t="s">
        <v>55</v>
      </c>
      <c r="P10" s="5">
        <v>24</v>
      </c>
      <c r="Q10" s="5">
        <v>7</v>
      </c>
      <c r="R10" s="5" t="b">
        <v>0</v>
      </c>
      <c r="S10" s="5">
        <v>2</v>
      </c>
      <c r="T10" s="5">
        <v>4</v>
      </c>
    </row>
    <row r="11" spans="1:20">
      <c r="A11" s="5" t="s">
        <v>56</v>
      </c>
      <c r="B11" s="5" t="s">
        <v>57</v>
      </c>
      <c r="C11" s="6">
        <v>44928</v>
      </c>
      <c r="D11" s="6" t="str">
        <f t="shared" si="1"/>
        <v>Monday</v>
      </c>
      <c r="E11" s="5">
        <v>58</v>
      </c>
      <c r="F11" s="5" t="str">
        <f t="shared" si="0"/>
        <v>Gen X/Boomers</v>
      </c>
      <c r="G11" s="5" t="s">
        <v>27</v>
      </c>
      <c r="H11" s="5" t="s">
        <v>36</v>
      </c>
      <c r="I11" s="5" t="s">
        <v>40</v>
      </c>
      <c r="J11" s="5">
        <v>1784.75</v>
      </c>
      <c r="K11" s="5">
        <v>4</v>
      </c>
      <c r="L11" s="5">
        <v>490.25</v>
      </c>
      <c r="M11" s="5">
        <v>6648.75</v>
      </c>
      <c r="N11" s="5" t="s">
        <v>23</v>
      </c>
      <c r="O11" s="5" t="s">
        <v>42</v>
      </c>
      <c r="P11" s="5">
        <v>8</v>
      </c>
      <c r="Q11" s="5">
        <v>5</v>
      </c>
      <c r="R11" s="5" t="b">
        <v>1</v>
      </c>
      <c r="S11" s="5">
        <v>5</v>
      </c>
      <c r="T11" s="5">
        <v>4</v>
      </c>
    </row>
    <row r="12" spans="1:20">
      <c r="A12" s="5" t="s">
        <v>58</v>
      </c>
      <c r="B12" s="5" t="s">
        <v>59</v>
      </c>
      <c r="C12" s="6">
        <v>44928</v>
      </c>
      <c r="D12" s="6" t="str">
        <f t="shared" si="1"/>
        <v>Monday</v>
      </c>
      <c r="E12" s="5">
        <v>21</v>
      </c>
      <c r="F12" s="5" t="str">
        <f t="shared" si="0"/>
        <v>Gen Z</v>
      </c>
      <c r="G12" s="5" t="s">
        <v>20</v>
      </c>
      <c r="H12" s="5" t="s">
        <v>36</v>
      </c>
      <c r="I12" s="5" t="s">
        <v>37</v>
      </c>
      <c r="J12" s="5">
        <v>1091.1099999999999</v>
      </c>
      <c r="K12" s="5">
        <v>1</v>
      </c>
      <c r="L12" s="5">
        <v>0</v>
      </c>
      <c r="M12" s="5">
        <v>1091.1099999999999</v>
      </c>
      <c r="N12" s="5" t="s">
        <v>41</v>
      </c>
      <c r="O12" s="5" t="s">
        <v>24</v>
      </c>
      <c r="P12" s="5">
        <v>9</v>
      </c>
      <c r="Q12" s="5">
        <v>6</v>
      </c>
      <c r="R12" s="5" t="b">
        <v>1</v>
      </c>
      <c r="S12" s="5">
        <v>3</v>
      </c>
      <c r="T12" s="5">
        <v>4</v>
      </c>
    </row>
    <row r="13" spans="1:20">
      <c r="A13" s="5" t="s">
        <v>60</v>
      </c>
      <c r="B13" s="5" t="s">
        <v>61</v>
      </c>
      <c r="C13" s="6">
        <v>44928</v>
      </c>
      <c r="D13" s="6" t="str">
        <f t="shared" si="1"/>
        <v>Monday</v>
      </c>
      <c r="E13" s="5">
        <v>40</v>
      </c>
      <c r="F13" s="5" t="str">
        <f t="shared" si="0"/>
        <v>Millennials</v>
      </c>
      <c r="G13" s="5" t="s">
        <v>27</v>
      </c>
      <c r="H13" s="5" t="s">
        <v>28</v>
      </c>
      <c r="I13" s="5" t="s">
        <v>45</v>
      </c>
      <c r="J13" s="5">
        <v>77.06</v>
      </c>
      <c r="K13" s="5">
        <v>2</v>
      </c>
      <c r="L13" s="5">
        <v>15.22</v>
      </c>
      <c r="M13" s="5">
        <v>138.9</v>
      </c>
      <c r="N13" s="5" t="s">
        <v>29</v>
      </c>
      <c r="O13" s="5" t="s">
        <v>24</v>
      </c>
      <c r="P13" s="5">
        <v>5</v>
      </c>
      <c r="Q13" s="5">
        <v>6</v>
      </c>
      <c r="R13" s="5" t="b">
        <v>0</v>
      </c>
      <c r="S13" s="5">
        <v>4</v>
      </c>
      <c r="T13" s="5">
        <v>3</v>
      </c>
    </row>
    <row r="14" spans="1:20">
      <c r="A14" s="5" t="s">
        <v>62</v>
      </c>
      <c r="B14" s="5" t="s">
        <v>63</v>
      </c>
      <c r="C14" s="6">
        <v>44928</v>
      </c>
      <c r="D14" s="6" t="str">
        <f t="shared" si="1"/>
        <v>Monday</v>
      </c>
      <c r="E14" s="5">
        <v>20</v>
      </c>
      <c r="F14" s="5" t="str">
        <f t="shared" si="0"/>
        <v>Gen Z</v>
      </c>
      <c r="G14" s="5" t="s">
        <v>20</v>
      </c>
      <c r="H14" s="5" t="s">
        <v>21</v>
      </c>
      <c r="I14" s="5" t="s">
        <v>40</v>
      </c>
      <c r="J14" s="5">
        <v>197.88</v>
      </c>
      <c r="K14" s="5">
        <v>3</v>
      </c>
      <c r="L14" s="5">
        <v>0</v>
      </c>
      <c r="M14" s="5">
        <v>593.64</v>
      </c>
      <c r="N14" s="5" t="s">
        <v>29</v>
      </c>
      <c r="O14" s="5" t="s">
        <v>24</v>
      </c>
      <c r="P14" s="5">
        <v>9</v>
      </c>
      <c r="Q14" s="5">
        <v>9</v>
      </c>
      <c r="R14" s="5" t="b">
        <v>1</v>
      </c>
      <c r="S14" s="5">
        <v>3</v>
      </c>
      <c r="T14" s="5">
        <v>5</v>
      </c>
    </row>
    <row r="15" spans="1:20">
      <c r="A15" s="5" t="s">
        <v>64</v>
      </c>
      <c r="B15" s="5" t="s">
        <v>65</v>
      </c>
      <c r="C15" s="6">
        <v>44928</v>
      </c>
      <c r="D15" s="6" t="str">
        <f t="shared" si="1"/>
        <v>Monday</v>
      </c>
      <c r="E15" s="5">
        <v>24</v>
      </c>
      <c r="F15" s="5" t="str">
        <f t="shared" si="0"/>
        <v>Gen Z</v>
      </c>
      <c r="G15" s="5" t="s">
        <v>27</v>
      </c>
      <c r="H15" s="5" t="s">
        <v>66</v>
      </c>
      <c r="I15" s="5" t="s">
        <v>67</v>
      </c>
      <c r="J15" s="5">
        <v>897.02</v>
      </c>
      <c r="K15" s="5">
        <v>5</v>
      </c>
      <c r="L15" s="5">
        <v>0</v>
      </c>
      <c r="M15" s="5">
        <v>4485.1000000000004</v>
      </c>
      <c r="N15" s="5" t="s">
        <v>49</v>
      </c>
      <c r="O15" s="5" t="s">
        <v>42</v>
      </c>
      <c r="P15" s="5">
        <v>17</v>
      </c>
      <c r="Q15" s="5">
        <v>7</v>
      </c>
      <c r="R15" s="5" t="b">
        <v>1</v>
      </c>
      <c r="S15" s="5">
        <v>8</v>
      </c>
      <c r="T15" s="5">
        <v>4</v>
      </c>
    </row>
    <row r="16" spans="1:20">
      <c r="A16" s="5" t="s">
        <v>68</v>
      </c>
      <c r="B16" s="5" t="s">
        <v>69</v>
      </c>
      <c r="C16" s="6">
        <v>44928</v>
      </c>
      <c r="D16" s="6" t="str">
        <f t="shared" si="1"/>
        <v>Monday</v>
      </c>
      <c r="E16" s="5">
        <v>57</v>
      </c>
      <c r="F16" s="5" t="str">
        <f t="shared" si="0"/>
        <v>Gen X/Boomers</v>
      </c>
      <c r="G16" s="5" t="s">
        <v>20</v>
      </c>
      <c r="H16" s="5" t="s">
        <v>36</v>
      </c>
      <c r="I16" s="5" t="s">
        <v>70</v>
      </c>
      <c r="J16" s="5">
        <v>37.19</v>
      </c>
      <c r="K16" s="5">
        <v>4</v>
      </c>
      <c r="L16" s="5">
        <v>8.76</v>
      </c>
      <c r="M16" s="5">
        <v>140</v>
      </c>
      <c r="N16" s="5" t="s">
        <v>29</v>
      </c>
      <c r="O16" s="5" t="s">
        <v>42</v>
      </c>
      <c r="P16" s="5">
        <v>11</v>
      </c>
      <c r="Q16" s="5">
        <v>8</v>
      </c>
      <c r="R16" s="5" t="b">
        <v>0</v>
      </c>
      <c r="S16" s="5">
        <v>5</v>
      </c>
      <c r="T16" s="5">
        <v>5</v>
      </c>
    </row>
    <row r="17" spans="1:20">
      <c r="A17" s="5" t="s">
        <v>71</v>
      </c>
      <c r="B17" s="5" t="s">
        <v>72</v>
      </c>
      <c r="C17" s="6">
        <v>44928</v>
      </c>
      <c r="D17" s="6" t="str">
        <f t="shared" si="1"/>
        <v>Monday</v>
      </c>
      <c r="E17" s="5">
        <v>38</v>
      </c>
      <c r="F17" s="5" t="str">
        <f t="shared" si="0"/>
        <v>Millennials</v>
      </c>
      <c r="G17" s="5" t="s">
        <v>27</v>
      </c>
      <c r="H17" s="5" t="s">
        <v>36</v>
      </c>
      <c r="I17" s="5" t="s">
        <v>33</v>
      </c>
      <c r="J17" s="5">
        <v>41.21</v>
      </c>
      <c r="K17" s="5">
        <v>1</v>
      </c>
      <c r="L17" s="5">
        <v>0</v>
      </c>
      <c r="M17" s="5">
        <v>41.21</v>
      </c>
      <c r="N17" s="5" t="s">
        <v>49</v>
      </c>
      <c r="O17" s="5" t="s">
        <v>42</v>
      </c>
      <c r="P17" s="5">
        <v>13</v>
      </c>
      <c r="Q17" s="5">
        <v>7</v>
      </c>
      <c r="R17" s="5" t="b">
        <v>0</v>
      </c>
      <c r="S17" s="5">
        <v>5</v>
      </c>
      <c r="T17" s="5">
        <v>5</v>
      </c>
    </row>
    <row r="18" spans="1:20">
      <c r="A18" s="5" t="s">
        <v>73</v>
      </c>
      <c r="B18" s="5" t="s">
        <v>74</v>
      </c>
      <c r="C18" s="6">
        <v>44928</v>
      </c>
      <c r="D18" s="6" t="str">
        <f t="shared" si="1"/>
        <v>Monday</v>
      </c>
      <c r="E18" s="5">
        <v>36</v>
      </c>
      <c r="F18" s="5" t="str">
        <f t="shared" si="0"/>
        <v>Millennials</v>
      </c>
      <c r="G18" s="5" t="s">
        <v>27</v>
      </c>
      <c r="H18" s="5" t="s">
        <v>36</v>
      </c>
      <c r="I18" s="5" t="s">
        <v>70</v>
      </c>
      <c r="J18" s="5">
        <v>81.91</v>
      </c>
      <c r="K18" s="5">
        <v>1</v>
      </c>
      <c r="L18" s="5">
        <v>0</v>
      </c>
      <c r="M18" s="5">
        <v>81.91</v>
      </c>
      <c r="N18" s="5" t="s">
        <v>29</v>
      </c>
      <c r="O18" s="5" t="s">
        <v>24</v>
      </c>
      <c r="P18" s="5">
        <v>8</v>
      </c>
      <c r="Q18" s="5">
        <v>14</v>
      </c>
      <c r="R18" s="5" t="b">
        <v>1</v>
      </c>
      <c r="S18" s="5">
        <v>6</v>
      </c>
      <c r="T18" s="5">
        <v>4</v>
      </c>
    </row>
    <row r="19" spans="1:20">
      <c r="A19" s="5" t="s">
        <v>75</v>
      </c>
      <c r="B19" s="5" t="s">
        <v>76</v>
      </c>
      <c r="C19" s="6">
        <v>44928</v>
      </c>
      <c r="D19" s="6" t="str">
        <f t="shared" si="1"/>
        <v>Monday</v>
      </c>
      <c r="E19" s="5">
        <v>46</v>
      </c>
      <c r="F19" s="5" t="str">
        <f t="shared" si="0"/>
        <v>Gen X/Boomers</v>
      </c>
      <c r="G19" s="5" t="s">
        <v>20</v>
      </c>
      <c r="H19" s="5" t="s">
        <v>21</v>
      </c>
      <c r="I19" s="5" t="s">
        <v>40</v>
      </c>
      <c r="J19" s="5">
        <v>431.85</v>
      </c>
      <c r="K19" s="5">
        <v>1</v>
      </c>
      <c r="L19" s="5">
        <v>0</v>
      </c>
      <c r="M19" s="5">
        <v>431.85</v>
      </c>
      <c r="N19" s="5" t="s">
        <v>23</v>
      </c>
      <c r="O19" s="5" t="s">
        <v>24</v>
      </c>
      <c r="P19" s="5">
        <v>27</v>
      </c>
      <c r="Q19" s="5">
        <v>11</v>
      </c>
      <c r="R19" s="5" t="b">
        <v>1</v>
      </c>
      <c r="S19" s="5">
        <v>6</v>
      </c>
      <c r="T19" s="5">
        <v>4</v>
      </c>
    </row>
    <row r="20" spans="1:20">
      <c r="A20" s="5" t="s">
        <v>77</v>
      </c>
      <c r="B20" s="5" t="s">
        <v>78</v>
      </c>
      <c r="C20" s="6">
        <v>44929</v>
      </c>
      <c r="D20" s="6" t="str">
        <f t="shared" si="1"/>
        <v>Tuesday</v>
      </c>
      <c r="E20" s="5">
        <v>50</v>
      </c>
      <c r="F20" s="5" t="str">
        <f t="shared" si="0"/>
        <v>Gen X/Boomers</v>
      </c>
      <c r="G20" s="5" t="s">
        <v>20</v>
      </c>
      <c r="H20" s="5" t="s">
        <v>32</v>
      </c>
      <c r="I20" s="5" t="s">
        <v>40</v>
      </c>
      <c r="J20" s="5">
        <v>696.98</v>
      </c>
      <c r="K20" s="5">
        <v>1</v>
      </c>
      <c r="L20" s="5">
        <v>100.24</v>
      </c>
      <c r="M20" s="5">
        <v>596.74</v>
      </c>
      <c r="N20" s="5" t="s">
        <v>23</v>
      </c>
      <c r="O20" s="5" t="s">
        <v>42</v>
      </c>
      <c r="P20" s="5">
        <v>30</v>
      </c>
      <c r="Q20" s="5">
        <v>15</v>
      </c>
      <c r="R20" s="5" t="b">
        <v>1</v>
      </c>
      <c r="S20" s="5">
        <v>14</v>
      </c>
      <c r="T20" s="5">
        <v>5</v>
      </c>
    </row>
    <row r="21" spans="1:20">
      <c r="A21" s="5" t="s">
        <v>79</v>
      </c>
      <c r="B21" s="5" t="s">
        <v>80</v>
      </c>
      <c r="C21" s="6">
        <v>44929</v>
      </c>
      <c r="D21" s="6" t="str">
        <f t="shared" si="1"/>
        <v>Tuesday</v>
      </c>
      <c r="E21" s="5">
        <v>23</v>
      </c>
      <c r="F21" s="5" t="str">
        <f t="shared" si="0"/>
        <v>Gen Z</v>
      </c>
      <c r="G21" s="5" t="s">
        <v>27</v>
      </c>
      <c r="H21" s="5" t="s">
        <v>21</v>
      </c>
      <c r="I21" s="5" t="s">
        <v>37</v>
      </c>
      <c r="J21" s="5">
        <v>1837.61</v>
      </c>
      <c r="K21" s="5">
        <v>2</v>
      </c>
      <c r="L21" s="5">
        <v>156.33000000000001</v>
      </c>
      <c r="M21" s="5">
        <v>3518.89</v>
      </c>
      <c r="N21" s="5" t="s">
        <v>29</v>
      </c>
      <c r="O21" s="5" t="s">
        <v>42</v>
      </c>
      <c r="P21" s="5">
        <v>22</v>
      </c>
      <c r="Q21" s="5">
        <v>9</v>
      </c>
      <c r="R21" s="5" t="b">
        <v>1</v>
      </c>
      <c r="S21" s="5">
        <v>9</v>
      </c>
      <c r="T21" s="5">
        <v>4</v>
      </c>
    </row>
    <row r="22" spans="1:20">
      <c r="A22" s="5" t="s">
        <v>81</v>
      </c>
      <c r="B22" s="5" t="s">
        <v>82</v>
      </c>
      <c r="C22" s="6">
        <v>44929</v>
      </c>
      <c r="D22" s="6" t="str">
        <f t="shared" si="1"/>
        <v>Tuesday</v>
      </c>
      <c r="E22" s="5">
        <v>23</v>
      </c>
      <c r="F22" s="5" t="str">
        <f t="shared" si="0"/>
        <v>Gen Z</v>
      </c>
      <c r="G22" s="5" t="s">
        <v>20</v>
      </c>
      <c r="H22" s="5" t="s">
        <v>83</v>
      </c>
      <c r="I22" s="5" t="s">
        <v>33</v>
      </c>
      <c r="J22" s="5">
        <v>22.64</v>
      </c>
      <c r="K22" s="5">
        <v>1</v>
      </c>
      <c r="L22" s="5">
        <v>1.65</v>
      </c>
      <c r="M22" s="5">
        <v>20.99</v>
      </c>
      <c r="N22" s="5" t="s">
        <v>29</v>
      </c>
      <c r="O22" s="5" t="s">
        <v>55</v>
      </c>
      <c r="P22" s="5">
        <v>7</v>
      </c>
      <c r="Q22" s="5">
        <v>11</v>
      </c>
      <c r="R22" s="5" t="b">
        <v>1</v>
      </c>
      <c r="S22" s="5">
        <v>3</v>
      </c>
      <c r="T22" s="5">
        <v>4</v>
      </c>
    </row>
    <row r="23" spans="1:20">
      <c r="A23" s="5" t="s">
        <v>84</v>
      </c>
      <c r="B23" s="5" t="s">
        <v>85</v>
      </c>
      <c r="C23" s="6">
        <v>44929</v>
      </c>
      <c r="D23" s="6" t="str">
        <f t="shared" si="1"/>
        <v>Tuesday</v>
      </c>
      <c r="E23" s="5">
        <v>45</v>
      </c>
      <c r="F23" s="5" t="str">
        <f t="shared" si="0"/>
        <v>Gen X/Boomers</v>
      </c>
      <c r="G23" s="5" t="s">
        <v>27</v>
      </c>
      <c r="H23" s="5" t="s">
        <v>36</v>
      </c>
      <c r="I23" s="5" t="s">
        <v>37</v>
      </c>
      <c r="J23" s="5">
        <v>930.97</v>
      </c>
      <c r="K23" s="5">
        <v>1</v>
      </c>
      <c r="L23" s="5">
        <v>190.12</v>
      </c>
      <c r="M23" s="5">
        <v>740.85</v>
      </c>
      <c r="N23" s="5" t="s">
        <v>29</v>
      </c>
      <c r="O23" s="5" t="s">
        <v>42</v>
      </c>
      <c r="P23" s="5">
        <v>9</v>
      </c>
      <c r="Q23" s="5">
        <v>10</v>
      </c>
      <c r="R23" s="5" t="b">
        <v>1</v>
      </c>
      <c r="S23" s="5">
        <v>2</v>
      </c>
      <c r="T23" s="5">
        <v>4</v>
      </c>
    </row>
    <row r="24" spans="1:20">
      <c r="A24" s="5" t="s">
        <v>86</v>
      </c>
      <c r="B24" s="5" t="s">
        <v>87</v>
      </c>
      <c r="C24" s="6">
        <v>44929</v>
      </c>
      <c r="D24" s="6" t="str">
        <f t="shared" si="1"/>
        <v>Tuesday</v>
      </c>
      <c r="E24" s="5">
        <v>34</v>
      </c>
      <c r="F24" s="5" t="str">
        <f t="shared" si="0"/>
        <v>Millennials</v>
      </c>
      <c r="G24" s="5" t="s">
        <v>27</v>
      </c>
      <c r="H24" s="5" t="s">
        <v>88</v>
      </c>
      <c r="I24" s="5" t="s">
        <v>54</v>
      </c>
      <c r="J24" s="5">
        <v>181.48</v>
      </c>
      <c r="K24" s="5">
        <v>1</v>
      </c>
      <c r="L24" s="5">
        <v>0</v>
      </c>
      <c r="M24" s="5">
        <v>181.48</v>
      </c>
      <c r="N24" s="5" t="s">
        <v>49</v>
      </c>
      <c r="O24" s="5" t="s">
        <v>24</v>
      </c>
      <c r="P24" s="5">
        <v>27</v>
      </c>
      <c r="Q24" s="5">
        <v>5</v>
      </c>
      <c r="R24" s="5" t="b">
        <v>0</v>
      </c>
      <c r="S24" s="5">
        <v>6</v>
      </c>
      <c r="T24" s="5">
        <v>4</v>
      </c>
    </row>
    <row r="25" spans="1:20">
      <c r="A25" s="5" t="s">
        <v>89</v>
      </c>
      <c r="B25" s="5" t="s">
        <v>90</v>
      </c>
      <c r="C25" s="6">
        <v>44930</v>
      </c>
      <c r="D25" s="6" t="str">
        <f t="shared" si="1"/>
        <v>Wednesday</v>
      </c>
      <c r="E25" s="5">
        <v>18</v>
      </c>
      <c r="F25" s="5" t="str">
        <f t="shared" si="0"/>
        <v>Gen Z</v>
      </c>
      <c r="G25" s="5" t="s">
        <v>20</v>
      </c>
      <c r="H25" s="5" t="s">
        <v>48</v>
      </c>
      <c r="I25" s="5" t="s">
        <v>45</v>
      </c>
      <c r="J25" s="5">
        <v>78.209999999999994</v>
      </c>
      <c r="K25" s="5">
        <v>5</v>
      </c>
      <c r="L25" s="5">
        <v>0</v>
      </c>
      <c r="M25" s="5">
        <v>391.05</v>
      </c>
      <c r="N25" s="5" t="s">
        <v>49</v>
      </c>
      <c r="O25" s="5" t="s">
        <v>24</v>
      </c>
      <c r="P25" s="5">
        <v>9</v>
      </c>
      <c r="Q25" s="5">
        <v>7</v>
      </c>
      <c r="R25" s="5" t="b">
        <v>0</v>
      </c>
      <c r="S25" s="5">
        <v>8</v>
      </c>
      <c r="T25" s="5">
        <v>4</v>
      </c>
    </row>
    <row r="26" spans="1:20">
      <c r="A26" s="5" t="s">
        <v>91</v>
      </c>
      <c r="B26" s="5" t="s">
        <v>92</v>
      </c>
      <c r="C26" s="6">
        <v>44930</v>
      </c>
      <c r="D26" s="6" t="str">
        <f t="shared" si="1"/>
        <v>Wednesday</v>
      </c>
      <c r="E26" s="5">
        <v>46</v>
      </c>
      <c r="F26" s="5" t="str">
        <f t="shared" si="0"/>
        <v>Gen X/Boomers</v>
      </c>
      <c r="G26" s="5" t="s">
        <v>27</v>
      </c>
      <c r="H26" s="5" t="s">
        <v>36</v>
      </c>
      <c r="I26" s="5" t="s">
        <v>37</v>
      </c>
      <c r="J26" s="5">
        <v>4136.9799999999996</v>
      </c>
      <c r="K26" s="5">
        <v>5</v>
      </c>
      <c r="L26" s="5">
        <v>1137.7</v>
      </c>
      <c r="M26" s="5">
        <v>19547.2</v>
      </c>
      <c r="N26" s="5" t="s">
        <v>23</v>
      </c>
      <c r="O26" s="5" t="s">
        <v>24</v>
      </c>
      <c r="P26" s="5">
        <v>20</v>
      </c>
      <c r="Q26" s="5">
        <v>7</v>
      </c>
      <c r="R26" s="5" t="b">
        <v>1</v>
      </c>
      <c r="S26" s="5">
        <v>8</v>
      </c>
      <c r="T26" s="5">
        <v>5</v>
      </c>
    </row>
    <row r="27" spans="1:20">
      <c r="A27" s="5" t="s">
        <v>93</v>
      </c>
      <c r="B27" s="5" t="s">
        <v>94</v>
      </c>
      <c r="C27" s="6">
        <v>44930</v>
      </c>
      <c r="D27" s="6" t="str">
        <f t="shared" si="1"/>
        <v>Wednesday</v>
      </c>
      <c r="E27" s="5">
        <v>52</v>
      </c>
      <c r="F27" s="5" t="str">
        <f t="shared" si="0"/>
        <v>Gen X/Boomers</v>
      </c>
      <c r="G27" s="5" t="s">
        <v>27</v>
      </c>
      <c r="H27" s="5" t="s">
        <v>32</v>
      </c>
      <c r="I27" s="5" t="s">
        <v>40</v>
      </c>
      <c r="J27" s="5">
        <v>240.87</v>
      </c>
      <c r="K27" s="5">
        <v>2</v>
      </c>
      <c r="L27" s="5">
        <v>36.979999999999997</v>
      </c>
      <c r="M27" s="5">
        <v>444.76</v>
      </c>
      <c r="N27" s="5" t="s">
        <v>23</v>
      </c>
      <c r="O27" s="5" t="s">
        <v>24</v>
      </c>
      <c r="P27" s="5">
        <v>19</v>
      </c>
      <c r="Q27" s="5">
        <v>13</v>
      </c>
      <c r="R27" s="5" t="b">
        <v>0</v>
      </c>
      <c r="S27" s="5">
        <v>8</v>
      </c>
      <c r="T27" s="5">
        <v>5</v>
      </c>
    </row>
    <row r="28" spans="1:20">
      <c r="A28" s="5" t="s">
        <v>95</v>
      </c>
      <c r="B28" s="5" t="s">
        <v>96</v>
      </c>
      <c r="C28" s="6">
        <v>44930</v>
      </c>
      <c r="D28" s="6" t="str">
        <f t="shared" si="1"/>
        <v>Wednesday</v>
      </c>
      <c r="E28" s="5">
        <v>29</v>
      </c>
      <c r="F28" s="5" t="str">
        <f t="shared" si="0"/>
        <v>Millennials</v>
      </c>
      <c r="G28" s="5" t="s">
        <v>27</v>
      </c>
      <c r="H28" s="5" t="s">
        <v>48</v>
      </c>
      <c r="I28" s="5" t="s">
        <v>37</v>
      </c>
      <c r="J28" s="5">
        <v>443.53</v>
      </c>
      <c r="K28" s="5">
        <v>1</v>
      </c>
      <c r="L28" s="5">
        <v>0</v>
      </c>
      <c r="M28" s="5">
        <v>443.53</v>
      </c>
      <c r="N28" s="5" t="s">
        <v>23</v>
      </c>
      <c r="O28" s="5" t="s">
        <v>24</v>
      </c>
      <c r="P28" s="5">
        <v>10</v>
      </c>
      <c r="Q28" s="5">
        <v>7</v>
      </c>
      <c r="R28" s="5" t="b">
        <v>0</v>
      </c>
      <c r="S28" s="5">
        <v>4</v>
      </c>
      <c r="T28" s="5">
        <v>5</v>
      </c>
    </row>
    <row r="29" spans="1:20">
      <c r="A29" s="5" t="s">
        <v>97</v>
      </c>
      <c r="B29" s="5" t="s">
        <v>98</v>
      </c>
      <c r="C29" s="6">
        <v>44930</v>
      </c>
      <c r="D29" s="6" t="str">
        <f t="shared" si="1"/>
        <v>Wednesday</v>
      </c>
      <c r="E29" s="5">
        <v>60</v>
      </c>
      <c r="F29" s="5" t="str">
        <f t="shared" si="0"/>
        <v>Gen X/Boomers</v>
      </c>
      <c r="G29" s="5" t="s">
        <v>27</v>
      </c>
      <c r="H29" s="5" t="s">
        <v>21</v>
      </c>
      <c r="I29" s="5" t="s">
        <v>67</v>
      </c>
      <c r="J29" s="5">
        <v>912.21</v>
      </c>
      <c r="K29" s="5">
        <v>4</v>
      </c>
      <c r="L29" s="5">
        <v>63.68</v>
      </c>
      <c r="M29" s="5">
        <v>3585.16</v>
      </c>
      <c r="N29" s="5" t="s">
        <v>99</v>
      </c>
      <c r="O29" s="5" t="s">
        <v>24</v>
      </c>
      <c r="P29" s="5">
        <v>13</v>
      </c>
      <c r="Q29" s="5">
        <v>10</v>
      </c>
      <c r="R29" s="5" t="b">
        <v>1</v>
      </c>
      <c r="S29" s="5">
        <v>4</v>
      </c>
      <c r="T29" s="5">
        <v>5</v>
      </c>
    </row>
    <row r="30" spans="1:20">
      <c r="A30" s="5" t="s">
        <v>100</v>
      </c>
      <c r="B30" s="5" t="s">
        <v>101</v>
      </c>
      <c r="C30" s="6">
        <v>44930</v>
      </c>
      <c r="D30" s="6" t="str">
        <f t="shared" si="1"/>
        <v>Wednesday</v>
      </c>
      <c r="E30" s="5">
        <v>40</v>
      </c>
      <c r="F30" s="5" t="str">
        <f t="shared" si="0"/>
        <v>Millennials</v>
      </c>
      <c r="G30" s="5" t="s">
        <v>27</v>
      </c>
      <c r="H30" s="5" t="s">
        <v>28</v>
      </c>
      <c r="I30" s="5" t="s">
        <v>67</v>
      </c>
      <c r="J30" s="5">
        <v>1375.1</v>
      </c>
      <c r="K30" s="5">
        <v>2</v>
      </c>
      <c r="L30" s="5">
        <v>0</v>
      </c>
      <c r="M30" s="5">
        <v>2750.2</v>
      </c>
      <c r="N30" s="5" t="s">
        <v>23</v>
      </c>
      <c r="O30" s="5" t="s">
        <v>24</v>
      </c>
      <c r="P30" s="5">
        <v>17</v>
      </c>
      <c r="Q30" s="5">
        <v>6</v>
      </c>
      <c r="R30" s="5" t="b">
        <v>0</v>
      </c>
      <c r="S30" s="5">
        <v>9</v>
      </c>
      <c r="T30" s="5">
        <v>5</v>
      </c>
    </row>
    <row r="31" spans="1:20">
      <c r="A31" s="5" t="s">
        <v>102</v>
      </c>
      <c r="B31" s="5" t="s">
        <v>103</v>
      </c>
      <c r="C31" s="6">
        <v>44930</v>
      </c>
      <c r="D31" s="6" t="str">
        <f t="shared" si="1"/>
        <v>Wednesday</v>
      </c>
      <c r="E31" s="5">
        <v>37</v>
      </c>
      <c r="F31" s="5" t="str">
        <f t="shared" si="0"/>
        <v>Millennials</v>
      </c>
      <c r="G31" s="5" t="s">
        <v>20</v>
      </c>
      <c r="H31" s="5" t="s">
        <v>32</v>
      </c>
      <c r="I31" s="5" t="s">
        <v>67</v>
      </c>
      <c r="J31" s="5">
        <v>453.05</v>
      </c>
      <c r="K31" s="5">
        <v>3</v>
      </c>
      <c r="L31" s="5">
        <v>61.33</v>
      </c>
      <c r="M31" s="5">
        <v>1297.82</v>
      </c>
      <c r="N31" s="5" t="s">
        <v>49</v>
      </c>
      <c r="O31" s="5" t="s">
        <v>24</v>
      </c>
      <c r="P31" s="5">
        <v>19</v>
      </c>
      <c r="Q31" s="5">
        <v>12</v>
      </c>
      <c r="R31" s="5" t="b">
        <v>1</v>
      </c>
      <c r="S31" s="5">
        <v>3</v>
      </c>
      <c r="T31" s="5">
        <v>5</v>
      </c>
    </row>
    <row r="32" spans="1:20">
      <c r="A32" s="5" t="s">
        <v>104</v>
      </c>
      <c r="B32" s="5" t="s">
        <v>105</v>
      </c>
      <c r="C32" s="6">
        <v>44930</v>
      </c>
      <c r="D32" s="6" t="str">
        <f t="shared" si="1"/>
        <v>Wednesday</v>
      </c>
      <c r="E32" s="5">
        <v>18</v>
      </c>
      <c r="F32" s="5" t="str">
        <f t="shared" si="0"/>
        <v>Gen Z</v>
      </c>
      <c r="G32" s="5" t="s">
        <v>27</v>
      </c>
      <c r="H32" s="5" t="s">
        <v>83</v>
      </c>
      <c r="I32" s="5" t="s">
        <v>40</v>
      </c>
      <c r="J32" s="5">
        <v>288.26</v>
      </c>
      <c r="K32" s="5">
        <v>4</v>
      </c>
      <c r="L32" s="5">
        <v>0</v>
      </c>
      <c r="M32" s="5">
        <v>1153.04</v>
      </c>
      <c r="N32" s="5" t="s">
        <v>29</v>
      </c>
      <c r="O32" s="5" t="s">
        <v>42</v>
      </c>
      <c r="P32" s="5">
        <v>8</v>
      </c>
      <c r="Q32" s="5">
        <v>6</v>
      </c>
      <c r="R32" s="5" t="b">
        <v>1</v>
      </c>
      <c r="S32" s="5">
        <v>14</v>
      </c>
      <c r="T32" s="5">
        <v>2</v>
      </c>
    </row>
    <row r="33" spans="1:20">
      <c r="A33" s="5" t="s">
        <v>106</v>
      </c>
      <c r="B33" s="5" t="s">
        <v>107</v>
      </c>
      <c r="C33" s="6">
        <v>44930</v>
      </c>
      <c r="D33" s="6" t="str">
        <f t="shared" si="1"/>
        <v>Wednesday</v>
      </c>
      <c r="E33" s="5">
        <v>39</v>
      </c>
      <c r="F33" s="5" t="str">
        <f t="shared" si="0"/>
        <v>Millennials</v>
      </c>
      <c r="G33" s="5" t="s">
        <v>20</v>
      </c>
      <c r="H33" s="5" t="s">
        <v>32</v>
      </c>
      <c r="I33" s="5" t="s">
        <v>67</v>
      </c>
      <c r="J33" s="5">
        <v>724.61</v>
      </c>
      <c r="K33" s="5">
        <v>2</v>
      </c>
      <c r="L33" s="5">
        <v>74.599999999999994</v>
      </c>
      <c r="M33" s="5">
        <v>1374.62</v>
      </c>
      <c r="N33" s="5" t="s">
        <v>29</v>
      </c>
      <c r="O33" s="5" t="s">
        <v>42</v>
      </c>
      <c r="P33" s="5">
        <v>30</v>
      </c>
      <c r="Q33" s="5">
        <v>13</v>
      </c>
      <c r="R33" s="5" t="b">
        <v>0</v>
      </c>
      <c r="S33" s="5">
        <v>17</v>
      </c>
      <c r="T33" s="5">
        <v>5</v>
      </c>
    </row>
    <row r="34" spans="1:20">
      <c r="A34" s="5" t="s">
        <v>108</v>
      </c>
      <c r="B34" s="5" t="s">
        <v>109</v>
      </c>
      <c r="C34" s="6">
        <v>44930</v>
      </c>
      <c r="D34" s="6" t="str">
        <f t="shared" si="1"/>
        <v>Wednesday</v>
      </c>
      <c r="E34" s="5">
        <v>20</v>
      </c>
      <c r="F34" s="5" t="str">
        <f t="shared" si="0"/>
        <v>Gen Z</v>
      </c>
      <c r="G34" s="5" t="s">
        <v>27</v>
      </c>
      <c r="H34" s="5" t="s">
        <v>83</v>
      </c>
      <c r="I34" s="5" t="s">
        <v>70</v>
      </c>
      <c r="J34" s="5">
        <v>37.68</v>
      </c>
      <c r="K34" s="5">
        <v>1</v>
      </c>
      <c r="L34" s="5">
        <v>0</v>
      </c>
      <c r="M34" s="5">
        <v>37.68</v>
      </c>
      <c r="N34" s="5" t="s">
        <v>29</v>
      </c>
      <c r="O34" s="5" t="s">
        <v>42</v>
      </c>
      <c r="P34" s="5">
        <v>13</v>
      </c>
      <c r="Q34" s="5">
        <v>8</v>
      </c>
      <c r="R34" s="5" t="b">
        <v>1</v>
      </c>
      <c r="S34" s="5">
        <v>3</v>
      </c>
      <c r="T34" s="5">
        <v>4</v>
      </c>
    </row>
    <row r="35" spans="1:20">
      <c r="A35" s="5" t="s">
        <v>110</v>
      </c>
      <c r="B35" s="5" t="s">
        <v>111</v>
      </c>
      <c r="C35" s="6">
        <v>44930</v>
      </c>
      <c r="D35" s="6" t="str">
        <f t="shared" si="1"/>
        <v>Wednesday</v>
      </c>
      <c r="E35" s="5">
        <v>25</v>
      </c>
      <c r="F35" s="5" t="str">
        <f t="shared" si="0"/>
        <v>Millennials</v>
      </c>
      <c r="G35" s="5" t="s">
        <v>27</v>
      </c>
      <c r="H35" s="5" t="s">
        <v>32</v>
      </c>
      <c r="I35" s="5" t="s">
        <v>37</v>
      </c>
      <c r="J35" s="5">
        <v>1148.6400000000001</v>
      </c>
      <c r="K35" s="5">
        <v>1</v>
      </c>
      <c r="L35" s="5">
        <v>0</v>
      </c>
      <c r="M35" s="5">
        <v>1148.6400000000001</v>
      </c>
      <c r="N35" s="5" t="s">
        <v>29</v>
      </c>
      <c r="O35" s="5" t="s">
        <v>24</v>
      </c>
      <c r="P35" s="5">
        <v>20</v>
      </c>
      <c r="Q35" s="5">
        <v>7</v>
      </c>
      <c r="R35" s="5" t="b">
        <v>0</v>
      </c>
      <c r="S35" s="5">
        <v>10</v>
      </c>
      <c r="T35" s="5">
        <v>5</v>
      </c>
    </row>
    <row r="36" spans="1:20">
      <c r="A36" s="5" t="s">
        <v>112</v>
      </c>
      <c r="B36" s="5" t="s">
        <v>113</v>
      </c>
      <c r="C36" s="6">
        <v>44931</v>
      </c>
      <c r="D36" s="6" t="str">
        <f t="shared" si="1"/>
        <v>Thursday</v>
      </c>
      <c r="E36" s="5">
        <v>18</v>
      </c>
      <c r="F36" s="5" t="str">
        <f t="shared" si="0"/>
        <v>Gen Z</v>
      </c>
      <c r="G36" s="5" t="s">
        <v>20</v>
      </c>
      <c r="H36" s="5" t="s">
        <v>83</v>
      </c>
      <c r="I36" s="5" t="s">
        <v>40</v>
      </c>
      <c r="J36" s="5">
        <v>544.6</v>
      </c>
      <c r="K36" s="5">
        <v>1</v>
      </c>
      <c r="L36" s="5">
        <v>0</v>
      </c>
      <c r="M36" s="5">
        <v>544.6</v>
      </c>
      <c r="N36" s="5" t="s">
        <v>29</v>
      </c>
      <c r="O36" s="5" t="s">
        <v>42</v>
      </c>
      <c r="P36" s="5">
        <v>9</v>
      </c>
      <c r="Q36" s="5">
        <v>10</v>
      </c>
      <c r="R36" s="5" t="b">
        <v>1</v>
      </c>
      <c r="S36" s="5">
        <v>13</v>
      </c>
      <c r="T36" s="5">
        <v>2</v>
      </c>
    </row>
    <row r="37" spans="1:20">
      <c r="A37" s="5" t="s">
        <v>114</v>
      </c>
      <c r="B37" s="5" t="s">
        <v>115</v>
      </c>
      <c r="C37" s="6">
        <v>44931</v>
      </c>
      <c r="D37" s="6" t="str">
        <f t="shared" si="1"/>
        <v>Thursday</v>
      </c>
      <c r="E37" s="5">
        <v>51</v>
      </c>
      <c r="F37" s="5" t="str">
        <f t="shared" si="0"/>
        <v>Gen X/Boomers</v>
      </c>
      <c r="G37" s="5" t="s">
        <v>20</v>
      </c>
      <c r="H37" s="5" t="s">
        <v>36</v>
      </c>
      <c r="I37" s="5" t="s">
        <v>45</v>
      </c>
      <c r="J37" s="5">
        <v>131.04</v>
      </c>
      <c r="K37" s="5">
        <v>5</v>
      </c>
      <c r="L37" s="5">
        <v>0</v>
      </c>
      <c r="M37" s="5">
        <v>655.20000000000005</v>
      </c>
      <c r="N37" s="5" t="s">
        <v>23</v>
      </c>
      <c r="O37" s="5" t="s">
        <v>42</v>
      </c>
      <c r="P37" s="5">
        <v>27</v>
      </c>
      <c r="Q37" s="5">
        <v>7</v>
      </c>
      <c r="R37" s="5" t="b">
        <v>0</v>
      </c>
      <c r="S37" s="5">
        <v>8</v>
      </c>
      <c r="T37" s="5">
        <v>5</v>
      </c>
    </row>
    <row r="38" spans="1:20">
      <c r="A38" s="5" t="s">
        <v>116</v>
      </c>
      <c r="B38" s="5" t="s">
        <v>117</v>
      </c>
      <c r="C38" s="6">
        <v>44931</v>
      </c>
      <c r="D38" s="6" t="str">
        <f t="shared" si="1"/>
        <v>Thursday</v>
      </c>
      <c r="E38" s="5">
        <v>41</v>
      </c>
      <c r="F38" s="5" t="str">
        <f t="shared" si="0"/>
        <v>Millennials</v>
      </c>
      <c r="G38" s="5" t="s">
        <v>27</v>
      </c>
      <c r="H38" s="5" t="s">
        <v>36</v>
      </c>
      <c r="I38" s="5" t="s">
        <v>22</v>
      </c>
      <c r="J38" s="5">
        <v>181.88</v>
      </c>
      <c r="K38" s="5">
        <v>1</v>
      </c>
      <c r="L38" s="5">
        <v>26.42</v>
      </c>
      <c r="M38" s="5">
        <v>155.46</v>
      </c>
      <c r="N38" s="5" t="s">
        <v>99</v>
      </c>
      <c r="O38" s="5" t="s">
        <v>24</v>
      </c>
      <c r="P38" s="5">
        <v>14</v>
      </c>
      <c r="Q38" s="5">
        <v>9</v>
      </c>
      <c r="R38" s="5" t="b">
        <v>1</v>
      </c>
      <c r="S38" s="5">
        <v>9</v>
      </c>
      <c r="T38" s="5">
        <v>5</v>
      </c>
    </row>
    <row r="39" spans="1:20">
      <c r="A39" s="5" t="s">
        <v>118</v>
      </c>
      <c r="B39" s="5" t="s">
        <v>119</v>
      </c>
      <c r="C39" s="6">
        <v>44931</v>
      </c>
      <c r="D39" s="6" t="str">
        <f t="shared" si="1"/>
        <v>Thursday</v>
      </c>
      <c r="E39" s="5">
        <v>46</v>
      </c>
      <c r="F39" s="5" t="str">
        <f t="shared" si="0"/>
        <v>Gen X/Boomers</v>
      </c>
      <c r="G39" s="5" t="s">
        <v>20</v>
      </c>
      <c r="H39" s="5" t="s">
        <v>36</v>
      </c>
      <c r="I39" s="5" t="s">
        <v>70</v>
      </c>
      <c r="J39" s="5">
        <v>46.09</v>
      </c>
      <c r="K39" s="5">
        <v>4</v>
      </c>
      <c r="L39" s="5">
        <v>0</v>
      </c>
      <c r="M39" s="5">
        <v>184.36</v>
      </c>
      <c r="N39" s="5" t="s">
        <v>23</v>
      </c>
      <c r="O39" s="5" t="s">
        <v>42</v>
      </c>
      <c r="P39" s="5">
        <v>14</v>
      </c>
      <c r="Q39" s="5">
        <v>11</v>
      </c>
      <c r="R39" s="5" t="b">
        <v>1</v>
      </c>
      <c r="S39" s="5">
        <v>17</v>
      </c>
      <c r="T39" s="5">
        <v>4</v>
      </c>
    </row>
    <row r="40" spans="1:20">
      <c r="A40" s="5" t="s">
        <v>120</v>
      </c>
      <c r="B40" s="5" t="s">
        <v>121</v>
      </c>
      <c r="C40" s="6">
        <v>44931</v>
      </c>
      <c r="D40" s="6" t="str">
        <f t="shared" si="1"/>
        <v>Thursday</v>
      </c>
      <c r="E40" s="5">
        <v>43</v>
      </c>
      <c r="F40" s="5" t="str">
        <f t="shared" si="0"/>
        <v>Millennials</v>
      </c>
      <c r="G40" s="5" t="s">
        <v>20</v>
      </c>
      <c r="H40" s="5" t="s">
        <v>28</v>
      </c>
      <c r="I40" s="5" t="s">
        <v>22</v>
      </c>
      <c r="J40" s="5">
        <v>280.39999999999998</v>
      </c>
      <c r="K40" s="5">
        <v>2</v>
      </c>
      <c r="L40" s="5">
        <v>0</v>
      </c>
      <c r="M40" s="5">
        <v>560.79999999999995</v>
      </c>
      <c r="N40" s="5" t="s">
        <v>49</v>
      </c>
      <c r="O40" s="5" t="s">
        <v>55</v>
      </c>
      <c r="P40" s="5">
        <v>16</v>
      </c>
      <c r="Q40" s="5">
        <v>9</v>
      </c>
      <c r="R40" s="5" t="b">
        <v>1</v>
      </c>
      <c r="S40" s="5">
        <v>3</v>
      </c>
      <c r="T40" s="5">
        <v>3</v>
      </c>
    </row>
    <row r="41" spans="1:20">
      <c r="A41" s="5" t="s">
        <v>122</v>
      </c>
      <c r="B41" s="5" t="s">
        <v>123</v>
      </c>
      <c r="C41" s="6">
        <v>44931</v>
      </c>
      <c r="D41" s="6" t="str">
        <f t="shared" si="1"/>
        <v>Thursday</v>
      </c>
      <c r="E41" s="5">
        <v>18</v>
      </c>
      <c r="F41" s="5" t="str">
        <f t="shared" si="0"/>
        <v>Gen Z</v>
      </c>
      <c r="G41" s="5" t="s">
        <v>20</v>
      </c>
      <c r="H41" s="5" t="s">
        <v>124</v>
      </c>
      <c r="I41" s="5" t="s">
        <v>54</v>
      </c>
      <c r="J41" s="5">
        <v>746.9</v>
      </c>
      <c r="K41" s="5">
        <v>1</v>
      </c>
      <c r="L41" s="5">
        <v>0</v>
      </c>
      <c r="M41" s="5">
        <v>746.9</v>
      </c>
      <c r="N41" s="5" t="s">
        <v>29</v>
      </c>
      <c r="O41" s="5" t="s">
        <v>24</v>
      </c>
      <c r="P41" s="5">
        <v>13</v>
      </c>
      <c r="Q41" s="5">
        <v>6</v>
      </c>
      <c r="R41" s="5" t="b">
        <v>1</v>
      </c>
      <c r="S41" s="5">
        <v>8</v>
      </c>
      <c r="T41" s="5">
        <v>5</v>
      </c>
    </row>
    <row r="42" spans="1:20">
      <c r="A42" s="5" t="s">
        <v>125</v>
      </c>
      <c r="B42" s="5" t="s">
        <v>126</v>
      </c>
      <c r="C42" s="6">
        <v>44931</v>
      </c>
      <c r="D42" s="6" t="str">
        <f t="shared" si="1"/>
        <v>Thursday</v>
      </c>
      <c r="E42" s="5">
        <v>51</v>
      </c>
      <c r="F42" s="5" t="str">
        <f t="shared" si="0"/>
        <v>Gen X/Boomers</v>
      </c>
      <c r="G42" s="5" t="s">
        <v>27</v>
      </c>
      <c r="H42" s="5" t="s">
        <v>83</v>
      </c>
      <c r="I42" s="5" t="s">
        <v>54</v>
      </c>
      <c r="J42" s="5">
        <v>129.16</v>
      </c>
      <c r="K42" s="5">
        <v>1</v>
      </c>
      <c r="L42" s="5">
        <v>14.33</v>
      </c>
      <c r="M42" s="5">
        <v>114.83</v>
      </c>
      <c r="N42" s="5" t="s">
        <v>29</v>
      </c>
      <c r="O42" s="5" t="s">
        <v>42</v>
      </c>
      <c r="P42" s="5">
        <v>2</v>
      </c>
      <c r="Q42" s="5">
        <v>8</v>
      </c>
      <c r="R42" s="5" t="b">
        <v>1</v>
      </c>
      <c r="S42" s="5">
        <v>6</v>
      </c>
      <c r="T42" s="5">
        <v>5</v>
      </c>
    </row>
    <row r="43" spans="1:20">
      <c r="A43" s="5" t="s">
        <v>127</v>
      </c>
      <c r="B43" s="5" t="s">
        <v>128</v>
      </c>
      <c r="C43" s="6">
        <v>44931</v>
      </c>
      <c r="D43" s="6" t="str">
        <f t="shared" si="1"/>
        <v>Thursday</v>
      </c>
      <c r="E43" s="5">
        <v>40</v>
      </c>
      <c r="F43" s="5" t="str">
        <f t="shared" si="0"/>
        <v>Millennials</v>
      </c>
      <c r="G43" s="5" t="s">
        <v>129</v>
      </c>
      <c r="H43" s="5" t="s">
        <v>83</v>
      </c>
      <c r="I43" s="5" t="s">
        <v>70</v>
      </c>
      <c r="J43" s="5">
        <v>21.87</v>
      </c>
      <c r="K43" s="5">
        <v>2</v>
      </c>
      <c r="L43" s="5">
        <v>0</v>
      </c>
      <c r="M43" s="5">
        <v>43.74</v>
      </c>
      <c r="N43" s="5" t="s">
        <v>29</v>
      </c>
      <c r="O43" s="5" t="s">
        <v>24</v>
      </c>
      <c r="P43" s="5">
        <v>16</v>
      </c>
      <c r="Q43" s="5">
        <v>4</v>
      </c>
      <c r="R43" s="5" t="b">
        <v>0</v>
      </c>
      <c r="S43" s="5">
        <v>8</v>
      </c>
      <c r="T43" s="5">
        <v>4</v>
      </c>
    </row>
    <row r="44" spans="1:20">
      <c r="A44" s="5" t="s">
        <v>130</v>
      </c>
      <c r="B44" s="5" t="s">
        <v>131</v>
      </c>
      <c r="C44" s="6">
        <v>44931</v>
      </c>
      <c r="D44" s="6" t="str">
        <f t="shared" si="1"/>
        <v>Thursday</v>
      </c>
      <c r="E44" s="5">
        <v>22</v>
      </c>
      <c r="F44" s="5" t="str">
        <f t="shared" si="0"/>
        <v>Gen Z</v>
      </c>
      <c r="G44" s="5" t="s">
        <v>20</v>
      </c>
      <c r="H44" s="5" t="s">
        <v>28</v>
      </c>
      <c r="I44" s="5" t="s">
        <v>70</v>
      </c>
      <c r="J44" s="5">
        <v>77.599999999999994</v>
      </c>
      <c r="K44" s="5">
        <v>1</v>
      </c>
      <c r="L44" s="5">
        <v>10.69</v>
      </c>
      <c r="M44" s="5">
        <v>66.91</v>
      </c>
      <c r="N44" s="5" t="s">
        <v>41</v>
      </c>
      <c r="O44" s="5" t="s">
        <v>24</v>
      </c>
      <c r="P44" s="5">
        <v>9</v>
      </c>
      <c r="Q44" s="5">
        <v>10</v>
      </c>
      <c r="R44" s="5" t="b">
        <v>1</v>
      </c>
      <c r="S44" s="5">
        <v>1</v>
      </c>
      <c r="T44" s="5">
        <v>4</v>
      </c>
    </row>
    <row r="45" spans="1:20">
      <c r="A45" s="5" t="s">
        <v>132</v>
      </c>
      <c r="B45" s="5" t="s">
        <v>133</v>
      </c>
      <c r="C45" s="6">
        <v>44931</v>
      </c>
      <c r="D45" s="6" t="str">
        <f t="shared" si="1"/>
        <v>Thursday</v>
      </c>
      <c r="E45" s="5">
        <v>20</v>
      </c>
      <c r="F45" s="5" t="str">
        <f t="shared" si="0"/>
        <v>Gen Z</v>
      </c>
      <c r="G45" s="5" t="s">
        <v>20</v>
      </c>
      <c r="H45" s="5" t="s">
        <v>32</v>
      </c>
      <c r="I45" s="5" t="s">
        <v>37</v>
      </c>
      <c r="J45" s="5">
        <v>1624.97</v>
      </c>
      <c r="K45" s="5">
        <v>1</v>
      </c>
      <c r="L45" s="5">
        <v>0</v>
      </c>
      <c r="M45" s="5">
        <v>1624.97</v>
      </c>
      <c r="N45" s="5" t="s">
        <v>29</v>
      </c>
      <c r="O45" s="5" t="s">
        <v>42</v>
      </c>
      <c r="P45" s="5">
        <v>12</v>
      </c>
      <c r="Q45" s="5">
        <v>7</v>
      </c>
      <c r="R45" s="5" t="b">
        <v>0</v>
      </c>
      <c r="S45" s="5">
        <v>5</v>
      </c>
      <c r="T45" s="5">
        <v>4</v>
      </c>
    </row>
    <row r="46" spans="1:20">
      <c r="A46" s="5" t="s">
        <v>134</v>
      </c>
      <c r="B46" s="5" t="s">
        <v>135</v>
      </c>
      <c r="C46" s="6">
        <v>44931</v>
      </c>
      <c r="D46" s="6" t="str">
        <f t="shared" si="1"/>
        <v>Thursday</v>
      </c>
      <c r="E46" s="5">
        <v>32</v>
      </c>
      <c r="F46" s="5" t="str">
        <f t="shared" si="0"/>
        <v>Millennials</v>
      </c>
      <c r="G46" s="5" t="s">
        <v>20</v>
      </c>
      <c r="H46" s="5" t="s">
        <v>28</v>
      </c>
      <c r="I46" s="5" t="s">
        <v>45</v>
      </c>
      <c r="J46" s="5">
        <v>101.55</v>
      </c>
      <c r="K46" s="5">
        <v>2</v>
      </c>
      <c r="L46" s="5">
        <v>0</v>
      </c>
      <c r="M46" s="5">
        <v>203.1</v>
      </c>
      <c r="N46" s="5" t="s">
        <v>23</v>
      </c>
      <c r="O46" s="5" t="s">
        <v>24</v>
      </c>
      <c r="P46" s="5">
        <v>3</v>
      </c>
      <c r="Q46" s="5">
        <v>6</v>
      </c>
      <c r="R46" s="5" t="b">
        <v>1</v>
      </c>
      <c r="S46" s="5">
        <v>6</v>
      </c>
      <c r="T46" s="5">
        <v>3</v>
      </c>
    </row>
    <row r="47" spans="1:20">
      <c r="A47" s="5" t="s">
        <v>136</v>
      </c>
      <c r="B47" s="5" t="s">
        <v>137</v>
      </c>
      <c r="C47" s="6">
        <v>44931</v>
      </c>
      <c r="D47" s="6" t="str">
        <f t="shared" si="1"/>
        <v>Thursday</v>
      </c>
      <c r="E47" s="5">
        <v>44</v>
      </c>
      <c r="F47" s="5" t="str">
        <f t="shared" si="0"/>
        <v>Millennials</v>
      </c>
      <c r="G47" s="5" t="s">
        <v>20</v>
      </c>
      <c r="H47" s="5" t="s">
        <v>36</v>
      </c>
      <c r="I47" s="5" t="s">
        <v>67</v>
      </c>
      <c r="J47" s="5">
        <v>530.65</v>
      </c>
      <c r="K47" s="5">
        <v>1</v>
      </c>
      <c r="L47" s="5">
        <v>0</v>
      </c>
      <c r="M47" s="5">
        <v>530.65</v>
      </c>
      <c r="N47" s="5" t="s">
        <v>29</v>
      </c>
      <c r="O47" s="5" t="s">
        <v>24</v>
      </c>
      <c r="P47" s="5">
        <v>25</v>
      </c>
      <c r="Q47" s="5">
        <v>7</v>
      </c>
      <c r="R47" s="5" t="b">
        <v>1</v>
      </c>
      <c r="S47" s="5">
        <v>11</v>
      </c>
      <c r="T47" s="5">
        <v>4</v>
      </c>
    </row>
    <row r="48" spans="1:20">
      <c r="A48" s="5" t="s">
        <v>138</v>
      </c>
      <c r="B48" s="5" t="s">
        <v>139</v>
      </c>
      <c r="C48" s="6">
        <v>44931</v>
      </c>
      <c r="D48" s="6" t="str">
        <f t="shared" si="1"/>
        <v>Thursday</v>
      </c>
      <c r="E48" s="5">
        <v>41</v>
      </c>
      <c r="F48" s="5" t="str">
        <f t="shared" si="0"/>
        <v>Millennials</v>
      </c>
      <c r="G48" s="5" t="s">
        <v>20</v>
      </c>
      <c r="H48" s="5" t="s">
        <v>21</v>
      </c>
      <c r="I48" s="5" t="s">
        <v>67</v>
      </c>
      <c r="J48" s="5">
        <v>182.14</v>
      </c>
      <c r="K48" s="5">
        <v>1</v>
      </c>
      <c r="L48" s="5">
        <v>32.659999999999997</v>
      </c>
      <c r="M48" s="5">
        <v>149.47999999999999</v>
      </c>
      <c r="N48" s="5" t="s">
        <v>23</v>
      </c>
      <c r="O48" s="5" t="s">
        <v>42</v>
      </c>
      <c r="P48" s="5">
        <v>12</v>
      </c>
      <c r="Q48" s="5">
        <v>4</v>
      </c>
      <c r="R48" s="5" t="b">
        <v>0</v>
      </c>
      <c r="S48" s="5">
        <v>2</v>
      </c>
      <c r="T48" s="5">
        <v>5</v>
      </c>
    </row>
    <row r="49" spans="1:20">
      <c r="A49" s="5" t="s">
        <v>140</v>
      </c>
      <c r="B49" s="5" t="s">
        <v>141</v>
      </c>
      <c r="C49" s="6">
        <v>44931</v>
      </c>
      <c r="D49" s="6" t="str">
        <f t="shared" si="1"/>
        <v>Thursday</v>
      </c>
      <c r="E49" s="5">
        <v>32</v>
      </c>
      <c r="F49" s="5" t="str">
        <f t="shared" si="0"/>
        <v>Millennials</v>
      </c>
      <c r="G49" s="5" t="s">
        <v>20</v>
      </c>
      <c r="H49" s="5" t="s">
        <v>36</v>
      </c>
      <c r="I49" s="5" t="s">
        <v>67</v>
      </c>
      <c r="J49" s="5">
        <v>153.87</v>
      </c>
      <c r="K49" s="5">
        <v>4</v>
      </c>
      <c r="L49" s="5">
        <v>0</v>
      </c>
      <c r="M49" s="5">
        <v>615.48</v>
      </c>
      <c r="N49" s="5" t="s">
        <v>29</v>
      </c>
      <c r="O49" s="5" t="s">
        <v>42</v>
      </c>
      <c r="P49" s="5">
        <v>7</v>
      </c>
      <c r="Q49" s="5">
        <v>11</v>
      </c>
      <c r="R49" s="5" t="b">
        <v>1</v>
      </c>
      <c r="S49" s="5">
        <v>8</v>
      </c>
      <c r="T49" s="5">
        <v>4</v>
      </c>
    </row>
    <row r="50" spans="1:20">
      <c r="A50" s="5" t="s">
        <v>142</v>
      </c>
      <c r="B50" s="5" t="s">
        <v>143</v>
      </c>
      <c r="C50" s="6">
        <v>44931</v>
      </c>
      <c r="D50" s="6" t="str">
        <f t="shared" si="1"/>
        <v>Thursday</v>
      </c>
      <c r="E50" s="5">
        <v>24</v>
      </c>
      <c r="F50" s="5" t="str">
        <f t="shared" si="0"/>
        <v>Gen Z</v>
      </c>
      <c r="G50" s="5" t="s">
        <v>27</v>
      </c>
      <c r="H50" s="5" t="s">
        <v>66</v>
      </c>
      <c r="I50" s="5" t="s">
        <v>33</v>
      </c>
      <c r="J50" s="5">
        <v>103.15</v>
      </c>
      <c r="K50" s="5">
        <v>4</v>
      </c>
      <c r="L50" s="5">
        <v>0</v>
      </c>
      <c r="M50" s="5">
        <v>412.6</v>
      </c>
      <c r="N50" s="5" t="s">
        <v>49</v>
      </c>
      <c r="O50" s="5" t="s">
        <v>24</v>
      </c>
      <c r="P50" s="5">
        <v>13</v>
      </c>
      <c r="Q50" s="5">
        <v>13</v>
      </c>
      <c r="R50" s="5" t="b">
        <v>1</v>
      </c>
      <c r="S50" s="5">
        <v>8</v>
      </c>
      <c r="T50" s="5">
        <v>5</v>
      </c>
    </row>
    <row r="51" spans="1:20">
      <c r="A51" s="5" t="s">
        <v>144</v>
      </c>
      <c r="B51" s="5" t="s">
        <v>145</v>
      </c>
      <c r="C51" s="6">
        <v>44932</v>
      </c>
      <c r="D51" s="6" t="str">
        <f t="shared" si="1"/>
        <v>Friday</v>
      </c>
      <c r="E51" s="5">
        <v>24</v>
      </c>
      <c r="F51" s="5" t="str">
        <f t="shared" si="0"/>
        <v>Gen Z</v>
      </c>
      <c r="G51" s="5" t="s">
        <v>20</v>
      </c>
      <c r="H51" s="5" t="s">
        <v>36</v>
      </c>
      <c r="I51" s="5" t="s">
        <v>37</v>
      </c>
      <c r="J51" s="5">
        <v>164.61</v>
      </c>
      <c r="K51" s="5">
        <v>1</v>
      </c>
      <c r="L51" s="5">
        <v>28.42</v>
      </c>
      <c r="M51" s="5">
        <v>136.19</v>
      </c>
      <c r="N51" s="5" t="s">
        <v>29</v>
      </c>
      <c r="O51" s="5" t="s">
        <v>24</v>
      </c>
      <c r="P51" s="5">
        <v>15</v>
      </c>
      <c r="Q51" s="5">
        <v>12</v>
      </c>
      <c r="R51" s="5" t="b">
        <v>1</v>
      </c>
      <c r="S51" s="5">
        <v>7</v>
      </c>
      <c r="T51" s="5">
        <v>4</v>
      </c>
    </row>
    <row r="52" spans="1:20">
      <c r="A52" s="5" t="s">
        <v>146</v>
      </c>
      <c r="B52" s="5" t="s">
        <v>147</v>
      </c>
      <c r="C52" s="6">
        <v>44932</v>
      </c>
      <c r="D52" s="6" t="str">
        <f t="shared" si="1"/>
        <v>Friday</v>
      </c>
      <c r="E52" s="5">
        <v>53</v>
      </c>
      <c r="F52" s="5" t="str">
        <f t="shared" si="0"/>
        <v>Gen X/Boomers</v>
      </c>
      <c r="G52" s="5" t="s">
        <v>27</v>
      </c>
      <c r="H52" s="5" t="s">
        <v>48</v>
      </c>
      <c r="I52" s="5" t="s">
        <v>40</v>
      </c>
      <c r="J52" s="5">
        <v>326.33</v>
      </c>
      <c r="K52" s="5">
        <v>1</v>
      </c>
      <c r="L52" s="5">
        <v>0</v>
      </c>
      <c r="M52" s="5">
        <v>326.33</v>
      </c>
      <c r="N52" s="5" t="s">
        <v>99</v>
      </c>
      <c r="O52" s="5" t="s">
        <v>24</v>
      </c>
      <c r="P52" s="5">
        <v>20</v>
      </c>
      <c r="Q52" s="5">
        <v>7</v>
      </c>
      <c r="R52" s="5" t="b">
        <v>0</v>
      </c>
      <c r="S52" s="5">
        <v>3</v>
      </c>
      <c r="T52" s="5">
        <v>4</v>
      </c>
    </row>
    <row r="53" spans="1:20">
      <c r="A53" s="5" t="s">
        <v>148</v>
      </c>
      <c r="B53" s="5" t="s">
        <v>149</v>
      </c>
      <c r="C53" s="6">
        <v>44932</v>
      </c>
      <c r="D53" s="6" t="str">
        <f t="shared" si="1"/>
        <v>Friday</v>
      </c>
      <c r="E53" s="5">
        <v>39</v>
      </c>
      <c r="F53" s="5" t="str">
        <f t="shared" si="0"/>
        <v>Millennials</v>
      </c>
      <c r="G53" s="5" t="s">
        <v>20</v>
      </c>
      <c r="H53" s="5" t="s">
        <v>36</v>
      </c>
      <c r="I53" s="5" t="s">
        <v>70</v>
      </c>
      <c r="J53" s="5">
        <v>44.85</v>
      </c>
      <c r="K53" s="5">
        <v>1</v>
      </c>
      <c r="L53" s="5">
        <v>0</v>
      </c>
      <c r="M53" s="5">
        <v>44.85</v>
      </c>
      <c r="N53" s="5" t="s">
        <v>29</v>
      </c>
      <c r="O53" s="5" t="s">
        <v>24</v>
      </c>
      <c r="P53" s="5">
        <v>20</v>
      </c>
      <c r="Q53" s="5">
        <v>12</v>
      </c>
      <c r="R53" s="5" t="b">
        <v>1</v>
      </c>
      <c r="S53" s="5">
        <v>3</v>
      </c>
      <c r="T53" s="5">
        <v>5</v>
      </c>
    </row>
    <row r="54" spans="1:20">
      <c r="A54" s="5" t="s">
        <v>150</v>
      </c>
      <c r="B54" s="5" t="s">
        <v>151</v>
      </c>
      <c r="C54" s="6">
        <v>44932</v>
      </c>
      <c r="D54" s="6" t="str">
        <f t="shared" si="1"/>
        <v>Friday</v>
      </c>
      <c r="E54" s="5">
        <v>38</v>
      </c>
      <c r="F54" s="5" t="str">
        <f t="shared" si="0"/>
        <v>Millennials</v>
      </c>
      <c r="G54" s="5" t="s">
        <v>27</v>
      </c>
      <c r="H54" s="5" t="s">
        <v>32</v>
      </c>
      <c r="I54" s="5" t="s">
        <v>45</v>
      </c>
      <c r="J54" s="5">
        <v>51.32</v>
      </c>
      <c r="K54" s="5">
        <v>1</v>
      </c>
      <c r="L54" s="5">
        <v>0</v>
      </c>
      <c r="M54" s="5">
        <v>51.32</v>
      </c>
      <c r="N54" s="5" t="s">
        <v>29</v>
      </c>
      <c r="O54" s="5" t="s">
        <v>55</v>
      </c>
      <c r="P54" s="5">
        <v>7</v>
      </c>
      <c r="Q54" s="5">
        <v>9</v>
      </c>
      <c r="R54" s="5" t="b">
        <v>1</v>
      </c>
      <c r="S54" s="5">
        <v>9</v>
      </c>
      <c r="T54" s="5">
        <v>5</v>
      </c>
    </row>
    <row r="55" spans="1:20">
      <c r="A55" s="5" t="s">
        <v>152</v>
      </c>
      <c r="B55" s="5" t="s">
        <v>153</v>
      </c>
      <c r="C55" s="6">
        <v>44932</v>
      </c>
      <c r="D55" s="6" t="str">
        <f t="shared" si="1"/>
        <v>Friday</v>
      </c>
      <c r="E55" s="5">
        <v>60</v>
      </c>
      <c r="F55" s="5" t="str">
        <f t="shared" si="0"/>
        <v>Gen X/Boomers</v>
      </c>
      <c r="G55" s="5" t="s">
        <v>20</v>
      </c>
      <c r="H55" s="5" t="s">
        <v>124</v>
      </c>
      <c r="I55" s="5" t="s">
        <v>67</v>
      </c>
      <c r="J55" s="5">
        <v>533.72</v>
      </c>
      <c r="K55" s="5">
        <v>5</v>
      </c>
      <c r="L55" s="5">
        <v>0</v>
      </c>
      <c r="M55" s="5">
        <v>2668.6</v>
      </c>
      <c r="N55" s="5" t="s">
        <v>29</v>
      </c>
      <c r="O55" s="5" t="s">
        <v>42</v>
      </c>
      <c r="P55" s="5">
        <v>7</v>
      </c>
      <c r="Q55" s="5">
        <v>14</v>
      </c>
      <c r="R55" s="5" t="b">
        <v>0</v>
      </c>
      <c r="S55" s="5">
        <v>4</v>
      </c>
      <c r="T55" s="5">
        <v>4</v>
      </c>
    </row>
    <row r="56" spans="1:20">
      <c r="A56" s="5" t="s">
        <v>154</v>
      </c>
      <c r="B56" s="5" t="s">
        <v>155</v>
      </c>
      <c r="C56" s="6">
        <v>44933</v>
      </c>
      <c r="D56" s="6" t="str">
        <f t="shared" si="1"/>
        <v>Saturday</v>
      </c>
      <c r="E56" s="5">
        <v>40</v>
      </c>
      <c r="F56" s="5" t="str">
        <f t="shared" si="0"/>
        <v>Millennials</v>
      </c>
      <c r="G56" s="5" t="s">
        <v>20</v>
      </c>
      <c r="H56" s="5" t="s">
        <v>48</v>
      </c>
      <c r="I56" s="5" t="s">
        <v>54</v>
      </c>
      <c r="J56" s="5">
        <v>216.82</v>
      </c>
      <c r="K56" s="5">
        <v>2</v>
      </c>
      <c r="L56" s="5">
        <v>0</v>
      </c>
      <c r="M56" s="5">
        <v>433.64</v>
      </c>
      <c r="N56" s="5" t="s">
        <v>23</v>
      </c>
      <c r="O56" s="5" t="s">
        <v>24</v>
      </c>
      <c r="P56" s="5">
        <v>30</v>
      </c>
      <c r="Q56" s="5">
        <v>10</v>
      </c>
      <c r="R56" s="5" t="b">
        <v>1</v>
      </c>
      <c r="S56" s="5">
        <v>3</v>
      </c>
      <c r="T56" s="5">
        <v>3</v>
      </c>
    </row>
    <row r="57" spans="1:20">
      <c r="A57" s="5" t="s">
        <v>156</v>
      </c>
      <c r="B57" s="5" t="s">
        <v>157</v>
      </c>
      <c r="C57" s="6">
        <v>44933</v>
      </c>
      <c r="D57" s="6" t="str">
        <f t="shared" si="1"/>
        <v>Saturday</v>
      </c>
      <c r="E57" s="5">
        <v>37</v>
      </c>
      <c r="F57" s="5" t="str">
        <f t="shared" si="0"/>
        <v>Millennials</v>
      </c>
      <c r="G57" s="5" t="s">
        <v>27</v>
      </c>
      <c r="H57" s="5" t="s">
        <v>124</v>
      </c>
      <c r="I57" s="5" t="s">
        <v>40</v>
      </c>
      <c r="J57" s="5">
        <v>117.12</v>
      </c>
      <c r="K57" s="5">
        <v>2</v>
      </c>
      <c r="L57" s="5">
        <v>31.05</v>
      </c>
      <c r="M57" s="5">
        <v>203.19</v>
      </c>
      <c r="N57" s="5" t="s">
        <v>41</v>
      </c>
      <c r="O57" s="5" t="s">
        <v>24</v>
      </c>
      <c r="P57" s="5">
        <v>14</v>
      </c>
      <c r="Q57" s="5">
        <v>11</v>
      </c>
      <c r="R57" s="5" t="b">
        <v>1</v>
      </c>
      <c r="S57" s="5">
        <v>7</v>
      </c>
      <c r="T57" s="5">
        <v>4</v>
      </c>
    </row>
    <row r="58" spans="1:20">
      <c r="A58" s="5" t="s">
        <v>158</v>
      </c>
      <c r="B58" s="5" t="s">
        <v>159</v>
      </c>
      <c r="C58" s="6">
        <v>44933</v>
      </c>
      <c r="D58" s="6" t="str">
        <f t="shared" si="1"/>
        <v>Saturday</v>
      </c>
      <c r="E58" s="5">
        <v>41</v>
      </c>
      <c r="F58" s="5" t="str">
        <f t="shared" si="0"/>
        <v>Millennials</v>
      </c>
      <c r="G58" s="5" t="s">
        <v>27</v>
      </c>
      <c r="H58" s="5" t="s">
        <v>48</v>
      </c>
      <c r="I58" s="5" t="s">
        <v>67</v>
      </c>
      <c r="J58" s="5">
        <v>1016.3</v>
      </c>
      <c r="K58" s="5">
        <v>2</v>
      </c>
      <c r="L58" s="5">
        <v>0</v>
      </c>
      <c r="M58" s="5">
        <v>2032.6</v>
      </c>
      <c r="N58" s="5" t="s">
        <v>29</v>
      </c>
      <c r="O58" s="5" t="s">
        <v>24</v>
      </c>
      <c r="P58" s="5">
        <v>22</v>
      </c>
      <c r="Q58" s="5">
        <v>10</v>
      </c>
      <c r="R58" s="5" t="b">
        <v>1</v>
      </c>
      <c r="S58" s="5">
        <v>6</v>
      </c>
      <c r="T58" s="5">
        <v>3</v>
      </c>
    </row>
    <row r="59" spans="1:20">
      <c r="A59" s="5" t="s">
        <v>160</v>
      </c>
      <c r="B59" s="5" t="s">
        <v>161</v>
      </c>
      <c r="C59" s="6">
        <v>44933</v>
      </c>
      <c r="D59" s="6" t="str">
        <f t="shared" si="1"/>
        <v>Saturday</v>
      </c>
      <c r="E59" s="5">
        <v>36</v>
      </c>
      <c r="F59" s="5" t="str">
        <f t="shared" si="0"/>
        <v>Millennials</v>
      </c>
      <c r="G59" s="5" t="s">
        <v>27</v>
      </c>
      <c r="H59" s="5" t="s">
        <v>36</v>
      </c>
      <c r="I59" s="5" t="s">
        <v>70</v>
      </c>
      <c r="J59" s="5">
        <v>109.93</v>
      </c>
      <c r="K59" s="5">
        <v>1</v>
      </c>
      <c r="L59" s="5">
        <v>0</v>
      </c>
      <c r="M59" s="5">
        <v>109.93</v>
      </c>
      <c r="N59" s="5" t="s">
        <v>99</v>
      </c>
      <c r="O59" s="5" t="s">
        <v>24</v>
      </c>
      <c r="P59" s="5">
        <v>48</v>
      </c>
      <c r="Q59" s="5">
        <v>10</v>
      </c>
      <c r="R59" s="5" t="b">
        <v>1</v>
      </c>
      <c r="S59" s="5">
        <v>6</v>
      </c>
      <c r="T59" s="5">
        <v>5</v>
      </c>
    </row>
    <row r="60" spans="1:20">
      <c r="A60" s="5" t="s">
        <v>162</v>
      </c>
      <c r="B60" s="5" t="s">
        <v>163</v>
      </c>
      <c r="C60" s="6">
        <v>44933</v>
      </c>
      <c r="D60" s="6" t="str">
        <f t="shared" si="1"/>
        <v>Saturday</v>
      </c>
      <c r="E60" s="5">
        <v>43</v>
      </c>
      <c r="F60" s="5" t="str">
        <f t="shared" si="0"/>
        <v>Millennials</v>
      </c>
      <c r="G60" s="5" t="s">
        <v>20</v>
      </c>
      <c r="H60" s="5" t="s">
        <v>36</v>
      </c>
      <c r="I60" s="5" t="s">
        <v>67</v>
      </c>
      <c r="J60" s="5">
        <v>1228.33</v>
      </c>
      <c r="K60" s="5">
        <v>2</v>
      </c>
      <c r="L60" s="5">
        <v>0</v>
      </c>
      <c r="M60" s="5">
        <v>2456.66</v>
      </c>
      <c r="N60" s="5" t="s">
        <v>99</v>
      </c>
      <c r="O60" s="5" t="s">
        <v>42</v>
      </c>
      <c r="P60" s="5">
        <v>6</v>
      </c>
      <c r="Q60" s="5">
        <v>8</v>
      </c>
      <c r="R60" s="5" t="b">
        <v>1</v>
      </c>
      <c r="S60" s="5">
        <v>11</v>
      </c>
      <c r="T60" s="5">
        <v>1</v>
      </c>
    </row>
    <row r="61" spans="1:20">
      <c r="A61" s="5" t="s">
        <v>164</v>
      </c>
      <c r="B61" s="5" t="s">
        <v>165</v>
      </c>
      <c r="C61" s="6">
        <v>44933</v>
      </c>
      <c r="D61" s="6" t="str">
        <f t="shared" si="1"/>
        <v>Saturday</v>
      </c>
      <c r="E61" s="5">
        <v>60</v>
      </c>
      <c r="F61" s="5" t="str">
        <f t="shared" si="0"/>
        <v>Gen X/Boomers</v>
      </c>
      <c r="G61" s="5" t="s">
        <v>20</v>
      </c>
      <c r="H61" s="5" t="s">
        <v>32</v>
      </c>
      <c r="I61" s="5" t="s">
        <v>37</v>
      </c>
      <c r="J61" s="5">
        <v>674.39</v>
      </c>
      <c r="K61" s="5">
        <v>2</v>
      </c>
      <c r="L61" s="5">
        <v>100.41</v>
      </c>
      <c r="M61" s="5">
        <v>1248.3699999999999</v>
      </c>
      <c r="N61" s="5" t="s">
        <v>49</v>
      </c>
      <c r="O61" s="5" t="s">
        <v>24</v>
      </c>
      <c r="P61" s="5">
        <v>12</v>
      </c>
      <c r="Q61" s="5">
        <v>10</v>
      </c>
      <c r="R61" s="5" t="b">
        <v>0</v>
      </c>
      <c r="S61" s="5">
        <v>11</v>
      </c>
      <c r="T61" s="5">
        <v>3</v>
      </c>
    </row>
    <row r="62" spans="1:20">
      <c r="A62" s="5" t="s">
        <v>166</v>
      </c>
      <c r="B62" s="5" t="s">
        <v>167</v>
      </c>
      <c r="C62" s="6">
        <v>44933</v>
      </c>
      <c r="D62" s="6" t="str">
        <f t="shared" si="1"/>
        <v>Saturday</v>
      </c>
      <c r="E62" s="5">
        <v>37</v>
      </c>
      <c r="F62" s="5" t="str">
        <f t="shared" si="0"/>
        <v>Millennials</v>
      </c>
      <c r="G62" s="5" t="s">
        <v>20</v>
      </c>
      <c r="H62" s="5" t="s">
        <v>36</v>
      </c>
      <c r="I62" s="5" t="s">
        <v>40</v>
      </c>
      <c r="J62" s="5">
        <v>118.37</v>
      </c>
      <c r="K62" s="5">
        <v>2</v>
      </c>
      <c r="L62" s="5">
        <v>0</v>
      </c>
      <c r="M62" s="5">
        <v>236.74</v>
      </c>
      <c r="N62" s="5" t="s">
        <v>29</v>
      </c>
      <c r="O62" s="5" t="s">
        <v>24</v>
      </c>
      <c r="P62" s="5">
        <v>12</v>
      </c>
      <c r="Q62" s="5">
        <v>9</v>
      </c>
      <c r="R62" s="5" t="b">
        <v>1</v>
      </c>
      <c r="S62" s="5">
        <v>2</v>
      </c>
      <c r="T62" s="5">
        <v>2</v>
      </c>
    </row>
    <row r="63" spans="1:20">
      <c r="A63" s="5" t="s">
        <v>168</v>
      </c>
      <c r="B63" s="5" t="s">
        <v>169</v>
      </c>
      <c r="C63" s="6">
        <v>44934</v>
      </c>
      <c r="D63" s="6" t="str">
        <f t="shared" si="1"/>
        <v>Sunday</v>
      </c>
      <c r="E63" s="5">
        <v>39</v>
      </c>
      <c r="F63" s="5" t="str">
        <f t="shared" si="0"/>
        <v>Millennials</v>
      </c>
      <c r="G63" s="5" t="s">
        <v>20</v>
      </c>
      <c r="H63" s="5" t="s">
        <v>124</v>
      </c>
      <c r="I63" s="5" t="s">
        <v>33</v>
      </c>
      <c r="J63" s="5">
        <v>145.58000000000001</v>
      </c>
      <c r="K63" s="5">
        <v>1</v>
      </c>
      <c r="L63" s="5">
        <v>25.45</v>
      </c>
      <c r="M63" s="5">
        <v>120.13</v>
      </c>
      <c r="N63" s="5" t="s">
        <v>23</v>
      </c>
      <c r="O63" s="5" t="s">
        <v>42</v>
      </c>
      <c r="P63" s="5">
        <v>14</v>
      </c>
      <c r="Q63" s="5">
        <v>9</v>
      </c>
      <c r="R63" s="5" t="b">
        <v>0</v>
      </c>
      <c r="S63" s="5">
        <v>3</v>
      </c>
      <c r="T63" s="5">
        <v>4</v>
      </c>
    </row>
    <row r="64" spans="1:20">
      <c r="A64" s="5" t="s">
        <v>170</v>
      </c>
      <c r="B64" s="5" t="s">
        <v>171</v>
      </c>
      <c r="C64" s="6">
        <v>44934</v>
      </c>
      <c r="D64" s="6" t="str">
        <f t="shared" si="1"/>
        <v>Sunday</v>
      </c>
      <c r="E64" s="5">
        <v>18</v>
      </c>
      <c r="F64" s="5" t="str">
        <f t="shared" si="0"/>
        <v>Gen Z</v>
      </c>
      <c r="G64" s="5" t="s">
        <v>20</v>
      </c>
      <c r="H64" s="5" t="s">
        <v>48</v>
      </c>
      <c r="I64" s="5" t="s">
        <v>54</v>
      </c>
      <c r="J64" s="5">
        <v>53.25</v>
      </c>
      <c r="K64" s="5">
        <v>1</v>
      </c>
      <c r="L64" s="5">
        <v>2.71</v>
      </c>
      <c r="M64" s="5">
        <v>50.54</v>
      </c>
      <c r="N64" s="5" t="s">
        <v>29</v>
      </c>
      <c r="O64" s="5" t="s">
        <v>24</v>
      </c>
      <c r="P64" s="5">
        <v>16</v>
      </c>
      <c r="Q64" s="5">
        <v>14</v>
      </c>
      <c r="R64" s="5" t="b">
        <v>1</v>
      </c>
      <c r="S64" s="5">
        <v>11</v>
      </c>
      <c r="T64" s="5">
        <v>5</v>
      </c>
    </row>
    <row r="65" spans="1:20">
      <c r="A65" s="5" t="s">
        <v>172</v>
      </c>
      <c r="B65" s="5" t="s">
        <v>173</v>
      </c>
      <c r="C65" s="6">
        <v>44934</v>
      </c>
      <c r="D65" s="6" t="str">
        <f t="shared" si="1"/>
        <v>Sunday</v>
      </c>
      <c r="E65" s="5">
        <v>23</v>
      </c>
      <c r="F65" s="5" t="str">
        <f t="shared" si="0"/>
        <v>Gen Z</v>
      </c>
      <c r="G65" s="5" t="s">
        <v>20</v>
      </c>
      <c r="H65" s="5" t="s">
        <v>32</v>
      </c>
      <c r="I65" s="5" t="s">
        <v>45</v>
      </c>
      <c r="J65" s="5">
        <v>74.510000000000005</v>
      </c>
      <c r="K65" s="5">
        <v>3</v>
      </c>
      <c r="L65" s="5">
        <v>0</v>
      </c>
      <c r="M65" s="5">
        <v>223.53</v>
      </c>
      <c r="N65" s="5" t="s">
        <v>41</v>
      </c>
      <c r="O65" s="5" t="s">
        <v>42</v>
      </c>
      <c r="P65" s="5">
        <v>25</v>
      </c>
      <c r="Q65" s="5">
        <v>14</v>
      </c>
      <c r="R65" s="5" t="b">
        <v>1</v>
      </c>
      <c r="S65" s="5">
        <v>5</v>
      </c>
      <c r="T65" s="5">
        <v>4</v>
      </c>
    </row>
    <row r="66" spans="1:20">
      <c r="A66" s="5" t="s">
        <v>174</v>
      </c>
      <c r="B66" s="5" t="s">
        <v>175</v>
      </c>
      <c r="C66" s="6">
        <v>44934</v>
      </c>
      <c r="D66" s="6" t="str">
        <f t="shared" si="1"/>
        <v>Sunday</v>
      </c>
      <c r="E66" s="5">
        <v>38</v>
      </c>
      <c r="F66" s="5" t="str">
        <f t="shared" ref="F66:F129" si="2">IFERROR(IF(E66&lt;25, "Gen Z", IF(E66&lt;45, "Millennials", "Gen X/Boomers")),"Not Valide Age")</f>
        <v>Millennials</v>
      </c>
      <c r="G66" s="5" t="s">
        <v>20</v>
      </c>
      <c r="H66" s="5" t="s">
        <v>66</v>
      </c>
      <c r="I66" s="5" t="s">
        <v>40</v>
      </c>
      <c r="J66" s="5">
        <v>536.13</v>
      </c>
      <c r="K66" s="5">
        <v>1</v>
      </c>
      <c r="L66" s="5">
        <v>0</v>
      </c>
      <c r="M66" s="5">
        <v>536.13</v>
      </c>
      <c r="N66" s="5" t="s">
        <v>29</v>
      </c>
      <c r="O66" s="5" t="s">
        <v>42</v>
      </c>
      <c r="P66" s="5">
        <v>12</v>
      </c>
      <c r="Q66" s="5">
        <v>9</v>
      </c>
      <c r="R66" s="5" t="b">
        <v>0</v>
      </c>
      <c r="S66" s="5">
        <v>5</v>
      </c>
      <c r="T66" s="5">
        <v>4</v>
      </c>
    </row>
    <row r="67" spans="1:20">
      <c r="A67" s="5" t="s">
        <v>176</v>
      </c>
      <c r="B67" s="5" t="s">
        <v>177</v>
      </c>
      <c r="C67" s="6">
        <v>44934</v>
      </c>
      <c r="D67" s="6" t="str">
        <f t="shared" ref="D67:D130" si="3">TEXT(C67, "dddd")</f>
        <v>Sunday</v>
      </c>
      <c r="E67" s="5">
        <v>43</v>
      </c>
      <c r="F67" s="5" t="str">
        <f t="shared" si="2"/>
        <v>Millennials</v>
      </c>
      <c r="G67" s="5" t="s">
        <v>20</v>
      </c>
      <c r="H67" s="5" t="s">
        <v>178</v>
      </c>
      <c r="I67" s="5" t="s">
        <v>37</v>
      </c>
      <c r="J67" s="5">
        <v>484.14</v>
      </c>
      <c r="K67" s="5">
        <v>2</v>
      </c>
      <c r="L67" s="5">
        <v>0</v>
      </c>
      <c r="M67" s="5">
        <v>968.28</v>
      </c>
      <c r="N67" s="5" t="s">
        <v>23</v>
      </c>
      <c r="O67" s="5" t="s">
        <v>24</v>
      </c>
      <c r="P67" s="5">
        <v>14</v>
      </c>
      <c r="Q67" s="5">
        <v>4</v>
      </c>
      <c r="R67" s="5" t="b">
        <v>0</v>
      </c>
      <c r="S67" s="5">
        <v>3</v>
      </c>
      <c r="T67" s="5">
        <v>5</v>
      </c>
    </row>
    <row r="68" spans="1:20">
      <c r="A68" s="5" t="s">
        <v>179</v>
      </c>
      <c r="B68" s="5" t="s">
        <v>180</v>
      </c>
      <c r="C68" s="6">
        <v>44934</v>
      </c>
      <c r="D68" s="6" t="str">
        <f t="shared" si="3"/>
        <v>Sunday</v>
      </c>
      <c r="E68" s="5">
        <v>35</v>
      </c>
      <c r="F68" s="5" t="str">
        <f t="shared" si="2"/>
        <v>Millennials</v>
      </c>
      <c r="G68" s="5" t="s">
        <v>27</v>
      </c>
      <c r="H68" s="5" t="s">
        <v>36</v>
      </c>
      <c r="I68" s="5" t="s">
        <v>22</v>
      </c>
      <c r="J68" s="5">
        <v>154.13999999999999</v>
      </c>
      <c r="K68" s="5">
        <v>2</v>
      </c>
      <c r="L68" s="5">
        <v>0</v>
      </c>
      <c r="M68" s="5">
        <v>308.27999999999997</v>
      </c>
      <c r="N68" s="5" t="s">
        <v>23</v>
      </c>
      <c r="O68" s="5" t="s">
        <v>55</v>
      </c>
      <c r="P68" s="5">
        <v>12</v>
      </c>
      <c r="Q68" s="5">
        <v>12</v>
      </c>
      <c r="R68" s="5" t="b">
        <v>0</v>
      </c>
      <c r="S68" s="5">
        <v>10</v>
      </c>
      <c r="T68" s="5">
        <v>3</v>
      </c>
    </row>
    <row r="69" spans="1:20">
      <c r="A69" s="5" t="s">
        <v>181</v>
      </c>
      <c r="B69" s="5" t="s">
        <v>182</v>
      </c>
      <c r="C69" s="6">
        <v>44934</v>
      </c>
      <c r="D69" s="6" t="str">
        <f t="shared" si="3"/>
        <v>Sunday</v>
      </c>
      <c r="E69" s="5">
        <v>38</v>
      </c>
      <c r="F69" s="5" t="str">
        <f t="shared" si="2"/>
        <v>Millennials</v>
      </c>
      <c r="G69" s="5" t="s">
        <v>20</v>
      </c>
      <c r="H69" s="5" t="s">
        <v>32</v>
      </c>
      <c r="I69" s="5" t="s">
        <v>45</v>
      </c>
      <c r="J69" s="5">
        <v>94.59</v>
      </c>
      <c r="K69" s="5">
        <v>3</v>
      </c>
      <c r="L69" s="5">
        <v>0</v>
      </c>
      <c r="M69" s="5">
        <v>283.77</v>
      </c>
      <c r="N69" s="5" t="s">
        <v>41</v>
      </c>
      <c r="O69" s="5" t="s">
        <v>24</v>
      </c>
      <c r="P69" s="5">
        <v>24</v>
      </c>
      <c r="Q69" s="5">
        <v>13</v>
      </c>
      <c r="R69" s="5" t="b">
        <v>1</v>
      </c>
      <c r="S69" s="5">
        <v>2</v>
      </c>
      <c r="T69" s="5">
        <v>4</v>
      </c>
    </row>
    <row r="70" spans="1:20">
      <c r="A70" s="5" t="s">
        <v>183</v>
      </c>
      <c r="B70" s="5" t="s">
        <v>184</v>
      </c>
      <c r="C70" s="6">
        <v>44934</v>
      </c>
      <c r="D70" s="6" t="str">
        <f t="shared" si="3"/>
        <v>Sunday</v>
      </c>
      <c r="E70" s="5">
        <v>33</v>
      </c>
      <c r="F70" s="5" t="str">
        <f t="shared" si="2"/>
        <v>Millennials</v>
      </c>
      <c r="G70" s="5" t="s">
        <v>27</v>
      </c>
      <c r="H70" s="5" t="s">
        <v>32</v>
      </c>
      <c r="I70" s="5" t="s">
        <v>70</v>
      </c>
      <c r="J70" s="5">
        <v>71.42</v>
      </c>
      <c r="K70" s="5">
        <v>3</v>
      </c>
      <c r="L70" s="5">
        <v>0</v>
      </c>
      <c r="M70" s="5">
        <v>214.26</v>
      </c>
      <c r="N70" s="5" t="s">
        <v>41</v>
      </c>
      <c r="O70" s="5" t="s">
        <v>55</v>
      </c>
      <c r="P70" s="5">
        <v>8</v>
      </c>
      <c r="Q70" s="5">
        <v>11</v>
      </c>
      <c r="R70" s="5" t="b">
        <v>1</v>
      </c>
      <c r="S70" s="5">
        <v>3</v>
      </c>
      <c r="T70" s="5">
        <v>5</v>
      </c>
    </row>
    <row r="71" spans="1:20">
      <c r="A71" s="5" t="s">
        <v>185</v>
      </c>
      <c r="B71" s="5" t="s">
        <v>186</v>
      </c>
      <c r="C71" s="6">
        <v>44934</v>
      </c>
      <c r="D71" s="6" t="str">
        <f t="shared" si="3"/>
        <v>Sunday</v>
      </c>
      <c r="E71" s="5">
        <v>31</v>
      </c>
      <c r="F71" s="5" t="str">
        <f t="shared" si="2"/>
        <v>Millennials</v>
      </c>
      <c r="G71" s="5" t="s">
        <v>27</v>
      </c>
      <c r="H71" s="5" t="s">
        <v>36</v>
      </c>
      <c r="I71" s="5" t="s">
        <v>67</v>
      </c>
      <c r="J71" s="5">
        <v>246.03</v>
      </c>
      <c r="K71" s="5">
        <v>4</v>
      </c>
      <c r="L71" s="5">
        <v>0</v>
      </c>
      <c r="M71" s="5">
        <v>984.12</v>
      </c>
      <c r="N71" s="5" t="s">
        <v>99</v>
      </c>
      <c r="O71" s="5" t="s">
        <v>42</v>
      </c>
      <c r="P71" s="5">
        <v>13</v>
      </c>
      <c r="Q71" s="5">
        <v>9</v>
      </c>
      <c r="R71" s="5" t="b">
        <v>0</v>
      </c>
      <c r="S71" s="5">
        <v>11</v>
      </c>
      <c r="T71" s="5">
        <v>4</v>
      </c>
    </row>
    <row r="72" spans="1:20">
      <c r="A72" s="5" t="s">
        <v>187</v>
      </c>
      <c r="B72" s="5" t="s">
        <v>188</v>
      </c>
      <c r="C72" s="6">
        <v>44935</v>
      </c>
      <c r="D72" s="6" t="str">
        <f t="shared" si="3"/>
        <v>Monday</v>
      </c>
      <c r="E72" s="5">
        <v>26</v>
      </c>
      <c r="F72" s="5" t="str">
        <f t="shared" si="2"/>
        <v>Millennials</v>
      </c>
      <c r="G72" s="5" t="s">
        <v>27</v>
      </c>
      <c r="H72" s="5" t="s">
        <v>36</v>
      </c>
      <c r="I72" s="5" t="s">
        <v>45</v>
      </c>
      <c r="J72" s="5">
        <v>41.21</v>
      </c>
      <c r="K72" s="5">
        <v>1</v>
      </c>
      <c r="L72" s="5">
        <v>0</v>
      </c>
      <c r="M72" s="5">
        <v>41.21</v>
      </c>
      <c r="N72" s="5" t="s">
        <v>29</v>
      </c>
      <c r="O72" s="5" t="s">
        <v>42</v>
      </c>
      <c r="P72" s="5">
        <v>5</v>
      </c>
      <c r="Q72" s="5">
        <v>10</v>
      </c>
      <c r="R72" s="5" t="b">
        <v>1</v>
      </c>
      <c r="S72" s="5">
        <v>4</v>
      </c>
      <c r="T72" s="5">
        <v>3</v>
      </c>
    </row>
    <row r="73" spans="1:20">
      <c r="A73" s="5" t="s">
        <v>189</v>
      </c>
      <c r="B73" s="5" t="s">
        <v>190</v>
      </c>
      <c r="C73" s="6">
        <v>44935</v>
      </c>
      <c r="D73" s="6" t="str">
        <f t="shared" si="3"/>
        <v>Monday</v>
      </c>
      <c r="E73" s="5">
        <v>38</v>
      </c>
      <c r="F73" s="5" t="str">
        <f t="shared" si="2"/>
        <v>Millennials</v>
      </c>
      <c r="G73" s="5" t="s">
        <v>27</v>
      </c>
      <c r="H73" s="5" t="s">
        <v>36</v>
      </c>
      <c r="I73" s="5" t="s">
        <v>40</v>
      </c>
      <c r="J73" s="5">
        <v>371.2</v>
      </c>
      <c r="K73" s="5">
        <v>5</v>
      </c>
      <c r="L73" s="5">
        <v>0</v>
      </c>
      <c r="M73" s="5">
        <v>1856</v>
      </c>
      <c r="N73" s="5" t="s">
        <v>49</v>
      </c>
      <c r="O73" s="5" t="s">
        <v>24</v>
      </c>
      <c r="P73" s="5">
        <v>18</v>
      </c>
      <c r="Q73" s="5">
        <v>8</v>
      </c>
      <c r="R73" s="5" t="b">
        <v>1</v>
      </c>
      <c r="S73" s="5">
        <v>4</v>
      </c>
      <c r="T73" s="5">
        <v>5</v>
      </c>
    </row>
    <row r="74" spans="1:20">
      <c r="A74" s="5" t="s">
        <v>191</v>
      </c>
      <c r="B74" s="5" t="s">
        <v>192</v>
      </c>
      <c r="C74" s="6">
        <v>44935</v>
      </c>
      <c r="D74" s="6" t="str">
        <f t="shared" si="3"/>
        <v>Monday</v>
      </c>
      <c r="E74" s="5">
        <v>23</v>
      </c>
      <c r="F74" s="5" t="str">
        <f t="shared" si="2"/>
        <v>Gen Z</v>
      </c>
      <c r="G74" s="5" t="s">
        <v>20</v>
      </c>
      <c r="H74" s="5" t="s">
        <v>28</v>
      </c>
      <c r="I74" s="5" t="s">
        <v>40</v>
      </c>
      <c r="J74" s="5">
        <v>402.95</v>
      </c>
      <c r="K74" s="5">
        <v>3</v>
      </c>
      <c r="L74" s="5">
        <v>0</v>
      </c>
      <c r="M74" s="5">
        <v>1208.8499999999999</v>
      </c>
      <c r="N74" s="5" t="s">
        <v>29</v>
      </c>
      <c r="O74" s="5" t="s">
        <v>24</v>
      </c>
      <c r="P74" s="5">
        <v>14</v>
      </c>
      <c r="Q74" s="5">
        <v>9</v>
      </c>
      <c r="R74" s="5" t="b">
        <v>1</v>
      </c>
      <c r="S74" s="5">
        <v>4</v>
      </c>
      <c r="T74" s="5">
        <v>4</v>
      </c>
    </row>
    <row r="75" spans="1:20">
      <c r="A75" s="5" t="s">
        <v>193</v>
      </c>
      <c r="B75" s="5" t="s">
        <v>194</v>
      </c>
      <c r="C75" s="6">
        <v>44935</v>
      </c>
      <c r="D75" s="6" t="str">
        <f t="shared" si="3"/>
        <v>Monday</v>
      </c>
      <c r="E75" s="5">
        <v>29</v>
      </c>
      <c r="F75" s="5" t="str">
        <f t="shared" si="2"/>
        <v>Millennials</v>
      </c>
      <c r="G75" s="5" t="s">
        <v>20</v>
      </c>
      <c r="H75" s="5" t="s">
        <v>124</v>
      </c>
      <c r="I75" s="5" t="s">
        <v>54</v>
      </c>
      <c r="J75" s="5">
        <v>370.25</v>
      </c>
      <c r="K75" s="5">
        <v>1</v>
      </c>
      <c r="L75" s="5">
        <v>0</v>
      </c>
      <c r="M75" s="5">
        <v>370.25</v>
      </c>
      <c r="N75" s="5" t="s">
        <v>49</v>
      </c>
      <c r="O75" s="5" t="s">
        <v>24</v>
      </c>
      <c r="P75" s="5">
        <v>18</v>
      </c>
      <c r="Q75" s="5">
        <v>9</v>
      </c>
      <c r="R75" s="5" t="b">
        <v>1</v>
      </c>
      <c r="S75" s="5">
        <v>8</v>
      </c>
      <c r="T75" s="5">
        <v>5</v>
      </c>
    </row>
    <row r="76" spans="1:20">
      <c r="A76" s="5" t="s">
        <v>195</v>
      </c>
      <c r="B76" s="5" t="s">
        <v>196</v>
      </c>
      <c r="C76" s="6">
        <v>44935</v>
      </c>
      <c r="D76" s="6" t="str">
        <f t="shared" si="3"/>
        <v>Monday</v>
      </c>
      <c r="E76" s="5">
        <v>30</v>
      </c>
      <c r="F76" s="5" t="str">
        <f t="shared" si="2"/>
        <v>Millennials</v>
      </c>
      <c r="G76" s="5" t="s">
        <v>27</v>
      </c>
      <c r="H76" s="5" t="s">
        <v>36</v>
      </c>
      <c r="I76" s="5" t="s">
        <v>54</v>
      </c>
      <c r="J76" s="5">
        <v>165.99</v>
      </c>
      <c r="K76" s="5">
        <v>2</v>
      </c>
      <c r="L76" s="5">
        <v>21.55</v>
      </c>
      <c r="M76" s="5">
        <v>310.43</v>
      </c>
      <c r="N76" s="5" t="s">
        <v>99</v>
      </c>
      <c r="O76" s="5" t="s">
        <v>24</v>
      </c>
      <c r="P76" s="5">
        <v>5</v>
      </c>
      <c r="Q76" s="5">
        <v>12</v>
      </c>
      <c r="R76" s="5" t="b">
        <v>0</v>
      </c>
      <c r="S76" s="5">
        <v>6</v>
      </c>
      <c r="T76" s="5">
        <v>3</v>
      </c>
    </row>
    <row r="77" spans="1:20">
      <c r="A77" s="5" t="s">
        <v>197</v>
      </c>
      <c r="B77" s="5" t="s">
        <v>198</v>
      </c>
      <c r="C77" s="6">
        <v>44935</v>
      </c>
      <c r="D77" s="6" t="str">
        <f t="shared" si="3"/>
        <v>Monday</v>
      </c>
      <c r="E77" s="5">
        <v>23</v>
      </c>
      <c r="F77" s="5" t="str">
        <f t="shared" si="2"/>
        <v>Gen Z</v>
      </c>
      <c r="G77" s="5" t="s">
        <v>27</v>
      </c>
      <c r="H77" s="5" t="s">
        <v>88</v>
      </c>
      <c r="I77" s="5" t="s">
        <v>33</v>
      </c>
      <c r="J77" s="5">
        <v>23.55</v>
      </c>
      <c r="K77" s="5">
        <v>2</v>
      </c>
      <c r="L77" s="5">
        <v>2.11</v>
      </c>
      <c r="M77" s="5">
        <v>44.99</v>
      </c>
      <c r="N77" s="5" t="s">
        <v>29</v>
      </c>
      <c r="O77" s="5" t="s">
        <v>24</v>
      </c>
      <c r="P77" s="5">
        <v>27</v>
      </c>
      <c r="Q77" s="5">
        <v>8</v>
      </c>
      <c r="R77" s="5" t="b">
        <v>0</v>
      </c>
      <c r="S77" s="5">
        <v>3</v>
      </c>
      <c r="T77" s="5">
        <v>3</v>
      </c>
    </row>
    <row r="78" spans="1:20">
      <c r="A78" s="5" t="s">
        <v>199</v>
      </c>
      <c r="B78" s="5" t="s">
        <v>200</v>
      </c>
      <c r="C78" s="6">
        <v>44935</v>
      </c>
      <c r="D78" s="6" t="str">
        <f t="shared" si="3"/>
        <v>Monday</v>
      </c>
      <c r="E78" s="5">
        <v>31</v>
      </c>
      <c r="F78" s="5" t="str">
        <f t="shared" si="2"/>
        <v>Millennials</v>
      </c>
      <c r="G78" s="5" t="s">
        <v>20</v>
      </c>
      <c r="H78" s="5" t="s">
        <v>83</v>
      </c>
      <c r="I78" s="5" t="s">
        <v>45</v>
      </c>
      <c r="J78" s="5">
        <v>105.69</v>
      </c>
      <c r="K78" s="5">
        <v>1</v>
      </c>
      <c r="L78" s="5">
        <v>14</v>
      </c>
      <c r="M78" s="5">
        <v>91.69</v>
      </c>
      <c r="N78" s="5" t="s">
        <v>99</v>
      </c>
      <c r="O78" s="5" t="s">
        <v>42</v>
      </c>
      <c r="P78" s="5">
        <v>7</v>
      </c>
      <c r="Q78" s="5">
        <v>7</v>
      </c>
      <c r="R78" s="5" t="b">
        <v>1</v>
      </c>
      <c r="S78" s="5">
        <v>8</v>
      </c>
      <c r="T78" s="5">
        <v>4</v>
      </c>
    </row>
    <row r="79" spans="1:20">
      <c r="A79" s="5" t="s">
        <v>201</v>
      </c>
      <c r="B79" s="5" t="s">
        <v>202</v>
      </c>
      <c r="C79" s="6">
        <v>44935</v>
      </c>
      <c r="D79" s="6" t="str">
        <f t="shared" si="3"/>
        <v>Monday</v>
      </c>
      <c r="E79" s="5">
        <v>52</v>
      </c>
      <c r="F79" s="5" t="str">
        <f t="shared" si="2"/>
        <v>Gen X/Boomers</v>
      </c>
      <c r="G79" s="5" t="s">
        <v>27</v>
      </c>
      <c r="H79" s="5" t="s">
        <v>36</v>
      </c>
      <c r="I79" s="5" t="s">
        <v>37</v>
      </c>
      <c r="J79" s="5">
        <v>476.38</v>
      </c>
      <c r="K79" s="5">
        <v>1</v>
      </c>
      <c r="L79" s="5">
        <v>68.97</v>
      </c>
      <c r="M79" s="5">
        <v>407.41</v>
      </c>
      <c r="N79" s="5" t="s">
        <v>49</v>
      </c>
      <c r="O79" s="5" t="s">
        <v>42</v>
      </c>
      <c r="P79" s="5">
        <v>6</v>
      </c>
      <c r="Q79" s="5">
        <v>11</v>
      </c>
      <c r="R79" s="5" t="b">
        <v>0</v>
      </c>
      <c r="S79" s="5">
        <v>2</v>
      </c>
      <c r="T79" s="5">
        <v>5</v>
      </c>
    </row>
    <row r="80" spans="1:20">
      <c r="A80" s="5" t="s">
        <v>203</v>
      </c>
      <c r="B80" s="5" t="s">
        <v>204</v>
      </c>
      <c r="C80" s="6">
        <v>44935</v>
      </c>
      <c r="D80" s="6" t="str">
        <f t="shared" si="3"/>
        <v>Monday</v>
      </c>
      <c r="E80" s="5">
        <v>40</v>
      </c>
      <c r="F80" s="5" t="str">
        <f t="shared" si="2"/>
        <v>Millennials</v>
      </c>
      <c r="G80" s="5" t="s">
        <v>20</v>
      </c>
      <c r="H80" s="5" t="s">
        <v>21</v>
      </c>
      <c r="I80" s="5" t="s">
        <v>40</v>
      </c>
      <c r="J80" s="5">
        <v>476.23</v>
      </c>
      <c r="K80" s="5">
        <v>3</v>
      </c>
      <c r="L80" s="5">
        <v>0</v>
      </c>
      <c r="M80" s="5">
        <v>1428.69</v>
      </c>
      <c r="N80" s="5" t="s">
        <v>29</v>
      </c>
      <c r="O80" s="5" t="s">
        <v>42</v>
      </c>
      <c r="P80" s="5">
        <v>33</v>
      </c>
      <c r="Q80" s="5">
        <v>10</v>
      </c>
      <c r="R80" s="5" t="b">
        <v>0</v>
      </c>
      <c r="S80" s="5">
        <v>6</v>
      </c>
      <c r="T80" s="5">
        <v>5</v>
      </c>
    </row>
    <row r="81" spans="1:20">
      <c r="A81" s="5" t="s">
        <v>205</v>
      </c>
      <c r="B81" s="5" t="s">
        <v>206</v>
      </c>
      <c r="C81" s="6">
        <v>44935</v>
      </c>
      <c r="D81" s="6" t="str">
        <f t="shared" si="3"/>
        <v>Monday</v>
      </c>
      <c r="E81" s="5">
        <v>40</v>
      </c>
      <c r="F81" s="5" t="str">
        <f t="shared" si="2"/>
        <v>Millennials</v>
      </c>
      <c r="G81" s="5" t="s">
        <v>20</v>
      </c>
      <c r="H81" s="5" t="s">
        <v>36</v>
      </c>
      <c r="I81" s="5" t="s">
        <v>40</v>
      </c>
      <c r="J81" s="5">
        <v>450.42</v>
      </c>
      <c r="K81" s="5">
        <v>2</v>
      </c>
      <c r="L81" s="5">
        <v>0</v>
      </c>
      <c r="M81" s="5">
        <v>900.84</v>
      </c>
      <c r="N81" s="5" t="s">
        <v>49</v>
      </c>
      <c r="O81" s="5" t="s">
        <v>24</v>
      </c>
      <c r="P81" s="5">
        <v>24</v>
      </c>
      <c r="Q81" s="5">
        <v>9</v>
      </c>
      <c r="R81" s="5" t="b">
        <v>0</v>
      </c>
      <c r="S81" s="5">
        <v>4</v>
      </c>
      <c r="T81" s="5">
        <v>5</v>
      </c>
    </row>
    <row r="82" spans="1:20">
      <c r="A82" s="5" t="s">
        <v>207</v>
      </c>
      <c r="B82" s="5" t="s">
        <v>208</v>
      </c>
      <c r="C82" s="6">
        <v>44935</v>
      </c>
      <c r="D82" s="6" t="str">
        <f t="shared" si="3"/>
        <v>Monday</v>
      </c>
      <c r="E82" s="5">
        <v>33</v>
      </c>
      <c r="F82" s="5" t="str">
        <f t="shared" si="2"/>
        <v>Millennials</v>
      </c>
      <c r="G82" s="5" t="s">
        <v>27</v>
      </c>
      <c r="H82" s="5" t="s">
        <v>36</v>
      </c>
      <c r="I82" s="5" t="s">
        <v>33</v>
      </c>
      <c r="J82" s="5">
        <v>32.92</v>
      </c>
      <c r="K82" s="5">
        <v>1</v>
      </c>
      <c r="L82" s="5">
        <v>0</v>
      </c>
      <c r="M82" s="5">
        <v>32.92</v>
      </c>
      <c r="N82" s="5" t="s">
        <v>29</v>
      </c>
      <c r="O82" s="5" t="s">
        <v>55</v>
      </c>
      <c r="P82" s="5">
        <v>2</v>
      </c>
      <c r="Q82" s="5">
        <v>10</v>
      </c>
      <c r="R82" s="5" t="b">
        <v>0</v>
      </c>
      <c r="S82" s="5">
        <v>9</v>
      </c>
      <c r="T82" s="5">
        <v>5</v>
      </c>
    </row>
    <row r="83" spans="1:20">
      <c r="A83" s="5" t="s">
        <v>209</v>
      </c>
      <c r="B83" s="5" t="s">
        <v>210</v>
      </c>
      <c r="C83" s="6">
        <v>44935</v>
      </c>
      <c r="D83" s="6" t="str">
        <f t="shared" si="3"/>
        <v>Monday</v>
      </c>
      <c r="E83" s="5">
        <v>33</v>
      </c>
      <c r="F83" s="5" t="str">
        <f t="shared" si="2"/>
        <v>Millennials</v>
      </c>
      <c r="G83" s="5" t="s">
        <v>27</v>
      </c>
      <c r="H83" s="5" t="s">
        <v>32</v>
      </c>
      <c r="I83" s="5" t="s">
        <v>22</v>
      </c>
      <c r="J83" s="5">
        <v>131.77000000000001</v>
      </c>
      <c r="K83" s="5">
        <v>2</v>
      </c>
      <c r="L83" s="5">
        <v>26.14</v>
      </c>
      <c r="M83" s="5">
        <v>237.4</v>
      </c>
      <c r="N83" s="5" t="s">
        <v>29</v>
      </c>
      <c r="O83" s="5" t="s">
        <v>24</v>
      </c>
      <c r="P83" s="5">
        <v>13</v>
      </c>
      <c r="Q83" s="5">
        <v>10</v>
      </c>
      <c r="R83" s="5" t="b">
        <v>1</v>
      </c>
      <c r="S83" s="5">
        <v>1</v>
      </c>
      <c r="T83" s="5">
        <v>5</v>
      </c>
    </row>
    <row r="84" spans="1:20">
      <c r="A84" s="5" t="s">
        <v>211</v>
      </c>
      <c r="B84" s="5" t="s">
        <v>212</v>
      </c>
      <c r="C84" s="6">
        <v>44935</v>
      </c>
      <c r="D84" s="6" t="str">
        <f t="shared" si="3"/>
        <v>Monday</v>
      </c>
      <c r="E84" s="5">
        <v>31</v>
      </c>
      <c r="F84" s="5" t="str">
        <f t="shared" si="2"/>
        <v>Millennials</v>
      </c>
      <c r="G84" s="5" t="s">
        <v>27</v>
      </c>
      <c r="H84" s="5" t="s">
        <v>48</v>
      </c>
      <c r="I84" s="5" t="s">
        <v>40</v>
      </c>
      <c r="J84" s="5">
        <v>105.36</v>
      </c>
      <c r="K84" s="5">
        <v>5</v>
      </c>
      <c r="L84" s="5">
        <v>0</v>
      </c>
      <c r="M84" s="5">
        <v>526.79999999999995</v>
      </c>
      <c r="N84" s="5" t="s">
        <v>23</v>
      </c>
      <c r="O84" s="5" t="s">
        <v>24</v>
      </c>
      <c r="P84" s="5">
        <v>19</v>
      </c>
      <c r="Q84" s="5">
        <v>12</v>
      </c>
      <c r="R84" s="5" t="b">
        <v>1</v>
      </c>
      <c r="S84" s="5">
        <v>4</v>
      </c>
      <c r="T84" s="5">
        <v>2</v>
      </c>
    </row>
    <row r="85" spans="1:20">
      <c r="A85" s="5" t="s">
        <v>213</v>
      </c>
      <c r="B85" s="5" t="s">
        <v>214</v>
      </c>
      <c r="C85" s="6">
        <v>44936</v>
      </c>
      <c r="D85" s="6" t="str">
        <f t="shared" si="3"/>
        <v>Tuesday</v>
      </c>
      <c r="E85" s="5">
        <v>18</v>
      </c>
      <c r="F85" s="5" t="str">
        <f t="shared" si="2"/>
        <v>Gen Z</v>
      </c>
      <c r="G85" s="5" t="s">
        <v>20</v>
      </c>
      <c r="H85" s="5" t="s">
        <v>66</v>
      </c>
      <c r="I85" s="5" t="s">
        <v>37</v>
      </c>
      <c r="J85" s="5">
        <v>1652.27</v>
      </c>
      <c r="K85" s="5">
        <v>1</v>
      </c>
      <c r="L85" s="5">
        <v>317.69</v>
      </c>
      <c r="M85" s="5">
        <v>1334.58</v>
      </c>
      <c r="N85" s="5" t="s">
        <v>49</v>
      </c>
      <c r="O85" s="5" t="s">
        <v>42</v>
      </c>
      <c r="P85" s="5">
        <v>15</v>
      </c>
      <c r="Q85" s="5">
        <v>5</v>
      </c>
      <c r="R85" s="5" t="b">
        <v>1</v>
      </c>
      <c r="S85" s="5">
        <v>11</v>
      </c>
      <c r="T85" s="5">
        <v>4</v>
      </c>
    </row>
    <row r="86" spans="1:20">
      <c r="A86" s="5" t="s">
        <v>215</v>
      </c>
      <c r="B86" s="5" t="s">
        <v>216</v>
      </c>
      <c r="C86" s="6">
        <v>44936</v>
      </c>
      <c r="D86" s="6" t="str">
        <f t="shared" si="3"/>
        <v>Tuesday</v>
      </c>
      <c r="E86" s="5">
        <v>35</v>
      </c>
      <c r="F86" s="5" t="str">
        <f t="shared" si="2"/>
        <v>Millennials</v>
      </c>
      <c r="G86" s="5" t="s">
        <v>27</v>
      </c>
      <c r="H86" s="5" t="s">
        <v>28</v>
      </c>
      <c r="I86" s="5" t="s">
        <v>33</v>
      </c>
      <c r="J86" s="5">
        <v>78.19</v>
      </c>
      <c r="K86" s="5">
        <v>1</v>
      </c>
      <c r="L86" s="5">
        <v>0</v>
      </c>
      <c r="M86" s="5">
        <v>78.19</v>
      </c>
      <c r="N86" s="5" t="s">
        <v>49</v>
      </c>
      <c r="O86" s="5" t="s">
        <v>24</v>
      </c>
      <c r="P86" s="5">
        <v>12</v>
      </c>
      <c r="Q86" s="5">
        <v>12</v>
      </c>
      <c r="R86" s="5" t="b">
        <v>1</v>
      </c>
      <c r="S86" s="5">
        <v>3</v>
      </c>
      <c r="T86" s="5">
        <v>5</v>
      </c>
    </row>
    <row r="87" spans="1:20">
      <c r="A87" s="5" t="s">
        <v>217</v>
      </c>
      <c r="B87" s="5" t="s">
        <v>218</v>
      </c>
      <c r="C87" s="6">
        <v>44936</v>
      </c>
      <c r="D87" s="6" t="str">
        <f t="shared" si="3"/>
        <v>Tuesday</v>
      </c>
      <c r="E87" s="5">
        <v>40</v>
      </c>
      <c r="F87" s="5" t="str">
        <f t="shared" si="2"/>
        <v>Millennials</v>
      </c>
      <c r="G87" s="5" t="s">
        <v>20</v>
      </c>
      <c r="H87" s="5" t="s">
        <v>32</v>
      </c>
      <c r="I87" s="5" t="s">
        <v>22</v>
      </c>
      <c r="J87" s="5">
        <v>103.02</v>
      </c>
      <c r="K87" s="5">
        <v>1</v>
      </c>
      <c r="L87" s="5">
        <v>0</v>
      </c>
      <c r="M87" s="5">
        <v>103.02</v>
      </c>
      <c r="N87" s="5" t="s">
        <v>23</v>
      </c>
      <c r="O87" s="5" t="s">
        <v>24</v>
      </c>
      <c r="P87" s="5">
        <v>29</v>
      </c>
      <c r="Q87" s="5">
        <v>5</v>
      </c>
      <c r="R87" s="5" t="b">
        <v>1</v>
      </c>
      <c r="S87" s="5">
        <v>7</v>
      </c>
      <c r="T87" s="5">
        <v>5</v>
      </c>
    </row>
    <row r="88" spans="1:20">
      <c r="A88" s="5" t="s">
        <v>219</v>
      </c>
      <c r="B88" s="5" t="s">
        <v>220</v>
      </c>
      <c r="C88" s="6">
        <v>44936</v>
      </c>
      <c r="D88" s="6" t="str">
        <f t="shared" si="3"/>
        <v>Tuesday</v>
      </c>
      <c r="E88" s="5">
        <v>35</v>
      </c>
      <c r="F88" s="5" t="str">
        <f t="shared" si="2"/>
        <v>Millennials</v>
      </c>
      <c r="G88" s="5" t="s">
        <v>129</v>
      </c>
      <c r="H88" s="5" t="s">
        <v>48</v>
      </c>
      <c r="I88" s="5" t="s">
        <v>40</v>
      </c>
      <c r="J88" s="5">
        <v>480.97</v>
      </c>
      <c r="K88" s="5">
        <v>1</v>
      </c>
      <c r="L88" s="5">
        <v>0</v>
      </c>
      <c r="M88" s="5">
        <v>480.97</v>
      </c>
      <c r="N88" s="5" t="s">
        <v>49</v>
      </c>
      <c r="O88" s="5" t="s">
        <v>42</v>
      </c>
      <c r="P88" s="5">
        <v>16</v>
      </c>
      <c r="Q88" s="5">
        <v>5</v>
      </c>
      <c r="R88" s="5" t="b">
        <v>1</v>
      </c>
      <c r="S88" s="5">
        <v>5</v>
      </c>
      <c r="T88" s="5">
        <v>4</v>
      </c>
    </row>
    <row r="89" spans="1:20">
      <c r="A89" s="5" t="s">
        <v>221</v>
      </c>
      <c r="B89" s="5" t="s">
        <v>222</v>
      </c>
      <c r="C89" s="6">
        <v>44936</v>
      </c>
      <c r="D89" s="6" t="str">
        <f t="shared" si="3"/>
        <v>Tuesday</v>
      </c>
      <c r="E89" s="5">
        <v>24</v>
      </c>
      <c r="F89" s="5" t="str">
        <f t="shared" si="2"/>
        <v>Gen Z</v>
      </c>
      <c r="G89" s="5" t="s">
        <v>27</v>
      </c>
      <c r="H89" s="5" t="s">
        <v>178</v>
      </c>
      <c r="I89" s="5" t="s">
        <v>40</v>
      </c>
      <c r="J89" s="5">
        <v>428.98</v>
      </c>
      <c r="K89" s="5">
        <v>1</v>
      </c>
      <c r="L89" s="5">
        <v>0</v>
      </c>
      <c r="M89" s="5">
        <v>428.98</v>
      </c>
      <c r="N89" s="5" t="s">
        <v>29</v>
      </c>
      <c r="O89" s="5" t="s">
        <v>24</v>
      </c>
      <c r="P89" s="5">
        <v>20</v>
      </c>
      <c r="Q89" s="5">
        <v>6</v>
      </c>
      <c r="R89" s="5" t="b">
        <v>0</v>
      </c>
      <c r="S89" s="5">
        <v>4</v>
      </c>
      <c r="T89" s="5">
        <v>3</v>
      </c>
    </row>
    <row r="90" spans="1:20">
      <c r="A90" s="5" t="s">
        <v>223</v>
      </c>
      <c r="B90" s="5" t="s">
        <v>224</v>
      </c>
      <c r="C90" s="6">
        <v>44936</v>
      </c>
      <c r="D90" s="6" t="str">
        <f t="shared" si="3"/>
        <v>Tuesday</v>
      </c>
      <c r="E90" s="5">
        <v>37</v>
      </c>
      <c r="F90" s="5" t="str">
        <f t="shared" si="2"/>
        <v>Millennials</v>
      </c>
      <c r="G90" s="5" t="s">
        <v>20</v>
      </c>
      <c r="H90" s="5" t="s">
        <v>36</v>
      </c>
      <c r="I90" s="5" t="s">
        <v>33</v>
      </c>
      <c r="J90" s="5">
        <v>86.39</v>
      </c>
      <c r="K90" s="5">
        <v>3</v>
      </c>
      <c r="L90" s="5">
        <v>6.36</v>
      </c>
      <c r="M90" s="5">
        <v>252.81</v>
      </c>
      <c r="N90" s="5" t="s">
        <v>29</v>
      </c>
      <c r="O90" s="5" t="s">
        <v>24</v>
      </c>
      <c r="P90" s="5">
        <v>24</v>
      </c>
      <c r="Q90" s="5">
        <v>10</v>
      </c>
      <c r="R90" s="5" t="b">
        <v>1</v>
      </c>
      <c r="S90" s="5">
        <v>8</v>
      </c>
      <c r="T90" s="5">
        <v>5</v>
      </c>
    </row>
    <row r="91" spans="1:20">
      <c r="A91" s="5" t="s">
        <v>225</v>
      </c>
      <c r="B91" s="5" t="s">
        <v>226</v>
      </c>
      <c r="C91" s="6">
        <v>44937</v>
      </c>
      <c r="D91" s="6" t="str">
        <f t="shared" si="3"/>
        <v>Wednesday</v>
      </c>
      <c r="E91" s="5">
        <v>46</v>
      </c>
      <c r="F91" s="5" t="str">
        <f t="shared" si="2"/>
        <v>Gen X/Boomers</v>
      </c>
      <c r="G91" s="5" t="s">
        <v>27</v>
      </c>
      <c r="H91" s="5" t="s">
        <v>83</v>
      </c>
      <c r="I91" s="5" t="s">
        <v>45</v>
      </c>
      <c r="J91" s="5">
        <v>54.43</v>
      </c>
      <c r="K91" s="5">
        <v>3</v>
      </c>
      <c r="L91" s="5">
        <v>5.89</v>
      </c>
      <c r="M91" s="5">
        <v>157.4</v>
      </c>
      <c r="N91" s="5" t="s">
        <v>29</v>
      </c>
      <c r="O91" s="5" t="s">
        <v>55</v>
      </c>
      <c r="P91" s="5">
        <v>7</v>
      </c>
      <c r="Q91" s="5">
        <v>6</v>
      </c>
      <c r="R91" s="5" t="b">
        <v>1</v>
      </c>
      <c r="S91" s="5">
        <v>3</v>
      </c>
      <c r="T91" s="5">
        <v>3</v>
      </c>
    </row>
    <row r="92" spans="1:20">
      <c r="A92" s="5" t="s">
        <v>227</v>
      </c>
      <c r="B92" s="5" t="s">
        <v>228</v>
      </c>
      <c r="C92" s="6">
        <v>44937</v>
      </c>
      <c r="D92" s="6" t="str">
        <f t="shared" si="3"/>
        <v>Wednesday</v>
      </c>
      <c r="E92" s="5">
        <v>46</v>
      </c>
      <c r="F92" s="5" t="str">
        <f t="shared" si="2"/>
        <v>Gen X/Boomers</v>
      </c>
      <c r="G92" s="5" t="s">
        <v>27</v>
      </c>
      <c r="H92" s="5" t="s">
        <v>83</v>
      </c>
      <c r="I92" s="5" t="s">
        <v>22</v>
      </c>
      <c r="J92" s="5">
        <v>275.70999999999998</v>
      </c>
      <c r="K92" s="5">
        <v>1</v>
      </c>
      <c r="L92" s="5">
        <v>64.61</v>
      </c>
      <c r="M92" s="5">
        <v>211.1</v>
      </c>
      <c r="N92" s="5" t="s">
        <v>29</v>
      </c>
      <c r="O92" s="5" t="s">
        <v>42</v>
      </c>
      <c r="P92" s="5">
        <v>16</v>
      </c>
      <c r="Q92" s="5">
        <v>11</v>
      </c>
      <c r="R92" s="5" t="b">
        <v>1</v>
      </c>
      <c r="S92" s="5">
        <v>7</v>
      </c>
      <c r="T92" s="5">
        <v>4</v>
      </c>
    </row>
    <row r="93" spans="1:20">
      <c r="A93" s="5" t="s">
        <v>229</v>
      </c>
      <c r="B93" s="5" t="s">
        <v>230</v>
      </c>
      <c r="C93" s="6">
        <v>44937</v>
      </c>
      <c r="D93" s="6" t="str">
        <f t="shared" si="3"/>
        <v>Wednesday</v>
      </c>
      <c r="E93" s="5">
        <v>32</v>
      </c>
      <c r="F93" s="5" t="str">
        <f t="shared" si="2"/>
        <v>Millennials</v>
      </c>
      <c r="G93" s="5" t="s">
        <v>20</v>
      </c>
      <c r="H93" s="5" t="s">
        <v>28</v>
      </c>
      <c r="I93" s="5" t="s">
        <v>70</v>
      </c>
      <c r="J93" s="5">
        <v>53.31</v>
      </c>
      <c r="K93" s="5">
        <v>1</v>
      </c>
      <c r="L93" s="5">
        <v>9.0399999999999991</v>
      </c>
      <c r="M93" s="5">
        <v>44.27</v>
      </c>
      <c r="N93" s="5" t="s">
        <v>23</v>
      </c>
      <c r="O93" s="5" t="s">
        <v>42</v>
      </c>
      <c r="P93" s="5">
        <v>13</v>
      </c>
      <c r="Q93" s="5">
        <v>8</v>
      </c>
      <c r="R93" s="5" t="b">
        <v>1</v>
      </c>
      <c r="S93" s="5">
        <v>7</v>
      </c>
      <c r="T93" s="5">
        <v>5</v>
      </c>
    </row>
    <row r="94" spans="1:20">
      <c r="A94" s="5" t="s">
        <v>231</v>
      </c>
      <c r="B94" s="5" t="s">
        <v>232</v>
      </c>
      <c r="C94" s="6">
        <v>44937</v>
      </c>
      <c r="D94" s="6" t="str">
        <f t="shared" si="3"/>
        <v>Wednesday</v>
      </c>
      <c r="E94" s="5">
        <v>46</v>
      </c>
      <c r="F94" s="5" t="str">
        <f t="shared" si="2"/>
        <v>Gen X/Boomers</v>
      </c>
      <c r="G94" s="5" t="s">
        <v>20</v>
      </c>
      <c r="H94" s="5" t="s">
        <v>32</v>
      </c>
      <c r="I94" s="5" t="s">
        <v>45</v>
      </c>
      <c r="J94" s="5">
        <v>97.74</v>
      </c>
      <c r="K94" s="5">
        <v>1</v>
      </c>
      <c r="L94" s="5">
        <v>0</v>
      </c>
      <c r="M94" s="5">
        <v>97.74</v>
      </c>
      <c r="N94" s="5" t="s">
        <v>29</v>
      </c>
      <c r="O94" s="5" t="s">
        <v>42</v>
      </c>
      <c r="P94" s="5">
        <v>20</v>
      </c>
      <c r="Q94" s="5">
        <v>7</v>
      </c>
      <c r="R94" s="5" t="b">
        <v>1</v>
      </c>
      <c r="S94" s="5">
        <v>8</v>
      </c>
      <c r="T94" s="5">
        <v>5</v>
      </c>
    </row>
    <row r="95" spans="1:20">
      <c r="A95" s="5" t="s">
        <v>233</v>
      </c>
      <c r="B95" s="5" t="s">
        <v>234</v>
      </c>
      <c r="C95" s="6">
        <v>44937</v>
      </c>
      <c r="D95" s="6" t="str">
        <f t="shared" si="3"/>
        <v>Wednesday</v>
      </c>
      <c r="E95" s="5">
        <v>35</v>
      </c>
      <c r="F95" s="5" t="str">
        <f t="shared" si="2"/>
        <v>Millennials</v>
      </c>
      <c r="G95" s="5" t="s">
        <v>27</v>
      </c>
      <c r="H95" s="5" t="s">
        <v>36</v>
      </c>
      <c r="I95" s="5" t="s">
        <v>40</v>
      </c>
      <c r="J95" s="5">
        <v>1148.1099999999999</v>
      </c>
      <c r="K95" s="5">
        <v>1</v>
      </c>
      <c r="L95" s="5">
        <v>0</v>
      </c>
      <c r="M95" s="5">
        <v>1148.1099999999999</v>
      </c>
      <c r="N95" s="5" t="s">
        <v>49</v>
      </c>
      <c r="O95" s="5" t="s">
        <v>24</v>
      </c>
      <c r="P95" s="5">
        <v>26</v>
      </c>
      <c r="Q95" s="5">
        <v>9</v>
      </c>
      <c r="R95" s="5" t="b">
        <v>0</v>
      </c>
      <c r="S95" s="5">
        <v>12</v>
      </c>
      <c r="T95" s="5">
        <v>5</v>
      </c>
    </row>
    <row r="96" spans="1:20">
      <c r="A96" s="5" t="s">
        <v>235</v>
      </c>
      <c r="B96" s="5" t="s">
        <v>236</v>
      </c>
      <c r="C96" s="6">
        <v>44937</v>
      </c>
      <c r="D96" s="6" t="str">
        <f t="shared" si="3"/>
        <v>Wednesday</v>
      </c>
      <c r="E96" s="5">
        <v>44</v>
      </c>
      <c r="F96" s="5" t="str">
        <f t="shared" si="2"/>
        <v>Millennials</v>
      </c>
      <c r="G96" s="5" t="s">
        <v>20</v>
      </c>
      <c r="H96" s="5" t="s">
        <v>36</v>
      </c>
      <c r="I96" s="5" t="s">
        <v>22</v>
      </c>
      <c r="J96" s="5">
        <v>160.44999999999999</v>
      </c>
      <c r="K96" s="5">
        <v>3</v>
      </c>
      <c r="L96" s="5">
        <v>12.05</v>
      </c>
      <c r="M96" s="5">
        <v>469.3</v>
      </c>
      <c r="N96" s="5" t="s">
        <v>49</v>
      </c>
      <c r="O96" s="5" t="s">
        <v>24</v>
      </c>
      <c r="P96" s="5">
        <v>10</v>
      </c>
      <c r="Q96" s="5">
        <v>6</v>
      </c>
      <c r="R96" s="5" t="b">
        <v>1</v>
      </c>
      <c r="S96" s="5">
        <v>4</v>
      </c>
      <c r="T96" s="5">
        <v>4</v>
      </c>
    </row>
    <row r="97" spans="1:20">
      <c r="A97" s="5" t="s">
        <v>237</v>
      </c>
      <c r="B97" s="5" t="s">
        <v>238</v>
      </c>
      <c r="C97" s="6">
        <v>44937</v>
      </c>
      <c r="D97" s="6" t="str">
        <f t="shared" si="3"/>
        <v>Wednesday</v>
      </c>
      <c r="E97" s="5">
        <v>39</v>
      </c>
      <c r="F97" s="5" t="str">
        <f t="shared" si="2"/>
        <v>Millennials</v>
      </c>
      <c r="G97" s="5" t="s">
        <v>27</v>
      </c>
      <c r="H97" s="5" t="s">
        <v>36</v>
      </c>
      <c r="I97" s="5" t="s">
        <v>45</v>
      </c>
      <c r="J97" s="5">
        <v>41.11</v>
      </c>
      <c r="K97" s="5">
        <v>1</v>
      </c>
      <c r="L97" s="5">
        <v>0</v>
      </c>
      <c r="M97" s="5">
        <v>41.11</v>
      </c>
      <c r="N97" s="5" t="s">
        <v>29</v>
      </c>
      <c r="O97" s="5" t="s">
        <v>42</v>
      </c>
      <c r="P97" s="5">
        <v>15</v>
      </c>
      <c r="Q97" s="5">
        <v>12</v>
      </c>
      <c r="R97" s="5" t="b">
        <v>1</v>
      </c>
      <c r="S97" s="5">
        <v>15</v>
      </c>
      <c r="T97" s="5">
        <v>4</v>
      </c>
    </row>
    <row r="98" spans="1:20">
      <c r="A98" s="5" t="s">
        <v>239</v>
      </c>
      <c r="B98" s="5" t="s">
        <v>240</v>
      </c>
      <c r="C98" s="6">
        <v>44938</v>
      </c>
      <c r="D98" s="6" t="str">
        <f t="shared" si="3"/>
        <v>Thursday</v>
      </c>
      <c r="E98" s="5">
        <v>42</v>
      </c>
      <c r="F98" s="5" t="str">
        <f t="shared" si="2"/>
        <v>Millennials</v>
      </c>
      <c r="G98" s="5" t="s">
        <v>20</v>
      </c>
      <c r="H98" s="5" t="s">
        <v>21</v>
      </c>
      <c r="I98" s="5" t="s">
        <v>22</v>
      </c>
      <c r="J98" s="5">
        <v>185.71</v>
      </c>
      <c r="K98" s="5">
        <v>4</v>
      </c>
      <c r="L98" s="5">
        <v>54.51</v>
      </c>
      <c r="M98" s="5">
        <v>688.33</v>
      </c>
      <c r="N98" s="5" t="s">
        <v>49</v>
      </c>
      <c r="O98" s="5" t="s">
        <v>24</v>
      </c>
      <c r="P98" s="5">
        <v>17</v>
      </c>
      <c r="Q98" s="5">
        <v>9</v>
      </c>
      <c r="R98" s="5" t="b">
        <v>0</v>
      </c>
      <c r="S98" s="5">
        <v>3</v>
      </c>
      <c r="T98" s="5">
        <v>5</v>
      </c>
    </row>
    <row r="99" spans="1:20">
      <c r="A99" s="5" t="s">
        <v>241</v>
      </c>
      <c r="B99" s="5" t="s">
        <v>242</v>
      </c>
      <c r="C99" s="6">
        <v>44938</v>
      </c>
      <c r="D99" s="6" t="str">
        <f t="shared" si="3"/>
        <v>Thursday</v>
      </c>
      <c r="E99" s="5">
        <v>47</v>
      </c>
      <c r="F99" s="5" t="str">
        <f t="shared" si="2"/>
        <v>Gen X/Boomers</v>
      </c>
      <c r="G99" s="5" t="s">
        <v>20</v>
      </c>
      <c r="H99" s="5" t="s">
        <v>178</v>
      </c>
      <c r="I99" s="5" t="s">
        <v>22</v>
      </c>
      <c r="J99" s="5">
        <v>434.12</v>
      </c>
      <c r="K99" s="5">
        <v>1</v>
      </c>
      <c r="L99" s="5">
        <v>0</v>
      </c>
      <c r="M99" s="5">
        <v>434.12</v>
      </c>
      <c r="N99" s="5" t="s">
        <v>29</v>
      </c>
      <c r="O99" s="5" t="s">
        <v>42</v>
      </c>
      <c r="P99" s="5">
        <v>26</v>
      </c>
      <c r="Q99" s="5">
        <v>11</v>
      </c>
      <c r="R99" s="5" t="b">
        <v>0</v>
      </c>
      <c r="S99" s="5">
        <v>9</v>
      </c>
      <c r="T99" s="5">
        <v>4</v>
      </c>
    </row>
    <row r="100" spans="1:20">
      <c r="A100" s="5" t="s">
        <v>243</v>
      </c>
      <c r="B100" s="5" t="s">
        <v>244</v>
      </c>
      <c r="C100" s="6">
        <v>44938</v>
      </c>
      <c r="D100" s="6" t="str">
        <f t="shared" si="3"/>
        <v>Thursday</v>
      </c>
      <c r="E100" s="5">
        <v>32</v>
      </c>
      <c r="F100" s="5" t="str">
        <f t="shared" si="2"/>
        <v>Millennials</v>
      </c>
      <c r="G100" s="5" t="s">
        <v>27</v>
      </c>
      <c r="H100" s="5" t="s">
        <v>88</v>
      </c>
      <c r="I100" s="5" t="s">
        <v>37</v>
      </c>
      <c r="J100" s="5">
        <v>1860.25</v>
      </c>
      <c r="K100" s="5">
        <v>1</v>
      </c>
      <c r="L100" s="5">
        <v>119.5</v>
      </c>
      <c r="M100" s="5">
        <v>1740.75</v>
      </c>
      <c r="N100" s="5" t="s">
        <v>29</v>
      </c>
      <c r="O100" s="5" t="s">
        <v>24</v>
      </c>
      <c r="P100" s="5">
        <v>22</v>
      </c>
      <c r="Q100" s="5">
        <v>7</v>
      </c>
      <c r="R100" s="5" t="b">
        <v>0</v>
      </c>
      <c r="S100" s="5">
        <v>6</v>
      </c>
      <c r="T100" s="5">
        <v>4</v>
      </c>
    </row>
    <row r="101" spans="1:20">
      <c r="A101" s="5" t="s">
        <v>245</v>
      </c>
      <c r="B101" s="5" t="s">
        <v>246</v>
      </c>
      <c r="C101" s="6">
        <v>44938</v>
      </c>
      <c r="D101" s="6" t="str">
        <f t="shared" si="3"/>
        <v>Thursday</v>
      </c>
      <c r="E101" s="5">
        <v>27</v>
      </c>
      <c r="F101" s="5" t="str">
        <f t="shared" si="2"/>
        <v>Millennials</v>
      </c>
      <c r="G101" s="5" t="s">
        <v>20</v>
      </c>
      <c r="H101" s="5" t="s">
        <v>36</v>
      </c>
      <c r="I101" s="5" t="s">
        <v>54</v>
      </c>
      <c r="J101" s="5">
        <v>673.1</v>
      </c>
      <c r="K101" s="5">
        <v>2</v>
      </c>
      <c r="L101" s="5">
        <v>143.61000000000001</v>
      </c>
      <c r="M101" s="5">
        <v>1202.5899999999999</v>
      </c>
      <c r="N101" s="5" t="s">
        <v>99</v>
      </c>
      <c r="O101" s="5" t="s">
        <v>24</v>
      </c>
      <c r="P101" s="5">
        <v>16</v>
      </c>
      <c r="Q101" s="5">
        <v>11</v>
      </c>
      <c r="R101" s="5" t="b">
        <v>0</v>
      </c>
      <c r="S101" s="5">
        <v>5</v>
      </c>
      <c r="T101" s="5">
        <v>2</v>
      </c>
    </row>
    <row r="102" spans="1:20">
      <c r="A102" s="5" t="s">
        <v>247</v>
      </c>
      <c r="B102" s="5" t="s">
        <v>248</v>
      </c>
      <c r="C102" s="6">
        <v>44938</v>
      </c>
      <c r="D102" s="6" t="str">
        <f t="shared" si="3"/>
        <v>Thursday</v>
      </c>
      <c r="E102" s="5">
        <v>32</v>
      </c>
      <c r="F102" s="5" t="str">
        <f t="shared" si="2"/>
        <v>Millennials</v>
      </c>
      <c r="G102" s="5" t="s">
        <v>27</v>
      </c>
      <c r="H102" s="5" t="s">
        <v>36</v>
      </c>
      <c r="I102" s="5" t="s">
        <v>37</v>
      </c>
      <c r="J102" s="5">
        <v>785.15</v>
      </c>
      <c r="K102" s="5">
        <v>1</v>
      </c>
      <c r="L102" s="5">
        <v>66.97</v>
      </c>
      <c r="M102" s="5">
        <v>718.18</v>
      </c>
      <c r="N102" s="5" t="s">
        <v>29</v>
      </c>
      <c r="O102" s="5" t="s">
        <v>24</v>
      </c>
      <c r="P102" s="5">
        <v>20</v>
      </c>
      <c r="Q102" s="5">
        <v>13</v>
      </c>
      <c r="R102" s="5" t="b">
        <v>0</v>
      </c>
      <c r="S102" s="5">
        <v>8</v>
      </c>
      <c r="T102" s="5">
        <v>5</v>
      </c>
    </row>
    <row r="103" spans="1:20">
      <c r="A103" s="5" t="s">
        <v>249</v>
      </c>
      <c r="B103" s="5" t="s">
        <v>250</v>
      </c>
      <c r="C103" s="6">
        <v>44939</v>
      </c>
      <c r="D103" s="6" t="str">
        <f t="shared" si="3"/>
        <v>Friday</v>
      </c>
      <c r="E103" s="5">
        <v>28</v>
      </c>
      <c r="F103" s="5" t="str">
        <f t="shared" si="2"/>
        <v>Millennials</v>
      </c>
      <c r="G103" s="5" t="s">
        <v>27</v>
      </c>
      <c r="H103" s="5" t="s">
        <v>88</v>
      </c>
      <c r="I103" s="5" t="s">
        <v>45</v>
      </c>
      <c r="J103" s="5">
        <v>82.07</v>
      </c>
      <c r="K103" s="5">
        <v>2</v>
      </c>
      <c r="L103" s="5">
        <v>0</v>
      </c>
      <c r="M103" s="5">
        <v>164.14</v>
      </c>
      <c r="N103" s="5" t="s">
        <v>49</v>
      </c>
      <c r="O103" s="5" t="s">
        <v>24</v>
      </c>
      <c r="P103" s="5">
        <v>8</v>
      </c>
      <c r="Q103" s="5">
        <v>10</v>
      </c>
      <c r="R103" s="5" t="b">
        <v>0</v>
      </c>
      <c r="S103" s="5">
        <v>4</v>
      </c>
      <c r="T103" s="5">
        <v>2</v>
      </c>
    </row>
    <row r="104" spans="1:20">
      <c r="A104" s="5" t="s">
        <v>251</v>
      </c>
      <c r="B104" s="5" t="s">
        <v>252</v>
      </c>
      <c r="C104" s="6">
        <v>44939</v>
      </c>
      <c r="D104" s="6" t="str">
        <f t="shared" si="3"/>
        <v>Friday</v>
      </c>
      <c r="E104" s="5">
        <v>27</v>
      </c>
      <c r="F104" s="5" t="str">
        <f t="shared" si="2"/>
        <v>Millennials</v>
      </c>
      <c r="G104" s="5" t="s">
        <v>27</v>
      </c>
      <c r="H104" s="5" t="s">
        <v>66</v>
      </c>
      <c r="I104" s="5" t="s">
        <v>40</v>
      </c>
      <c r="J104" s="5">
        <v>581.30999999999995</v>
      </c>
      <c r="K104" s="5">
        <v>3</v>
      </c>
      <c r="L104" s="5">
        <v>158.19</v>
      </c>
      <c r="M104" s="5">
        <v>1585.74</v>
      </c>
      <c r="N104" s="5" t="s">
        <v>99</v>
      </c>
      <c r="O104" s="5" t="s">
        <v>24</v>
      </c>
      <c r="P104" s="5">
        <v>21</v>
      </c>
      <c r="Q104" s="5">
        <v>7</v>
      </c>
      <c r="R104" s="5" t="b">
        <v>1</v>
      </c>
      <c r="S104" s="5">
        <v>9</v>
      </c>
      <c r="T104" s="5">
        <v>3</v>
      </c>
    </row>
    <row r="105" spans="1:20">
      <c r="A105" s="5" t="s">
        <v>253</v>
      </c>
      <c r="B105" s="5" t="s">
        <v>254</v>
      </c>
      <c r="C105" s="6">
        <v>44939</v>
      </c>
      <c r="D105" s="6" t="str">
        <f t="shared" si="3"/>
        <v>Friday</v>
      </c>
      <c r="E105" s="5">
        <v>33</v>
      </c>
      <c r="F105" s="5" t="str">
        <f t="shared" si="2"/>
        <v>Millennials</v>
      </c>
      <c r="G105" s="5" t="s">
        <v>27</v>
      </c>
      <c r="H105" s="5" t="s">
        <v>48</v>
      </c>
      <c r="I105" s="5" t="s">
        <v>33</v>
      </c>
      <c r="J105" s="5">
        <v>86.32</v>
      </c>
      <c r="K105" s="5">
        <v>1</v>
      </c>
      <c r="L105" s="5">
        <v>0</v>
      </c>
      <c r="M105" s="5">
        <v>86.32</v>
      </c>
      <c r="N105" s="5" t="s">
        <v>23</v>
      </c>
      <c r="O105" s="5" t="s">
        <v>42</v>
      </c>
      <c r="P105" s="5">
        <v>10</v>
      </c>
      <c r="Q105" s="5">
        <v>7</v>
      </c>
      <c r="R105" s="5" t="b">
        <v>1</v>
      </c>
      <c r="S105" s="5">
        <v>3</v>
      </c>
      <c r="T105" s="5">
        <v>5</v>
      </c>
    </row>
    <row r="106" spans="1:20">
      <c r="A106" s="5" t="s">
        <v>255</v>
      </c>
      <c r="B106" s="5" t="s">
        <v>256</v>
      </c>
      <c r="C106" s="6">
        <v>44939</v>
      </c>
      <c r="D106" s="6" t="str">
        <f t="shared" si="3"/>
        <v>Friday</v>
      </c>
      <c r="E106" s="5">
        <v>30</v>
      </c>
      <c r="F106" s="5" t="str">
        <f t="shared" si="2"/>
        <v>Millennials</v>
      </c>
      <c r="G106" s="5" t="s">
        <v>20</v>
      </c>
      <c r="H106" s="5" t="s">
        <v>178</v>
      </c>
      <c r="I106" s="5" t="s">
        <v>67</v>
      </c>
      <c r="J106" s="5">
        <v>549.57000000000005</v>
      </c>
      <c r="K106" s="5">
        <v>1</v>
      </c>
      <c r="L106" s="5">
        <v>70.349999999999994</v>
      </c>
      <c r="M106" s="5">
        <v>479.22</v>
      </c>
      <c r="N106" s="5" t="s">
        <v>49</v>
      </c>
      <c r="O106" s="5" t="s">
        <v>24</v>
      </c>
      <c r="P106" s="5">
        <v>14</v>
      </c>
      <c r="Q106" s="5">
        <v>10</v>
      </c>
      <c r="R106" s="5" t="b">
        <v>1</v>
      </c>
      <c r="S106" s="5">
        <v>8</v>
      </c>
      <c r="T106" s="5">
        <v>4</v>
      </c>
    </row>
    <row r="107" spans="1:20">
      <c r="A107" s="5" t="s">
        <v>257</v>
      </c>
      <c r="B107" s="5" t="s">
        <v>258</v>
      </c>
      <c r="C107" s="6">
        <v>44939</v>
      </c>
      <c r="D107" s="6" t="str">
        <f t="shared" si="3"/>
        <v>Friday</v>
      </c>
      <c r="E107" s="5">
        <v>22</v>
      </c>
      <c r="F107" s="5" t="str">
        <f t="shared" si="2"/>
        <v>Gen Z</v>
      </c>
      <c r="G107" s="5" t="s">
        <v>20</v>
      </c>
      <c r="H107" s="5" t="s">
        <v>48</v>
      </c>
      <c r="I107" s="5" t="s">
        <v>37</v>
      </c>
      <c r="J107" s="5">
        <v>2111.5700000000002</v>
      </c>
      <c r="K107" s="5">
        <v>3</v>
      </c>
      <c r="L107" s="5">
        <v>0</v>
      </c>
      <c r="M107" s="5">
        <v>6334.71</v>
      </c>
      <c r="N107" s="5" t="s">
        <v>99</v>
      </c>
      <c r="O107" s="5" t="s">
        <v>55</v>
      </c>
      <c r="P107" s="5">
        <v>6</v>
      </c>
      <c r="Q107" s="5">
        <v>7</v>
      </c>
      <c r="R107" s="5" t="b">
        <v>0</v>
      </c>
      <c r="S107" s="5">
        <v>3</v>
      </c>
      <c r="T107" s="5">
        <v>2</v>
      </c>
    </row>
    <row r="108" spans="1:20">
      <c r="A108" s="5" t="s">
        <v>259</v>
      </c>
      <c r="B108" s="5" t="s">
        <v>260</v>
      </c>
      <c r="C108" s="6">
        <v>44939</v>
      </c>
      <c r="D108" s="6" t="str">
        <f t="shared" si="3"/>
        <v>Friday</v>
      </c>
      <c r="E108" s="5">
        <v>44</v>
      </c>
      <c r="F108" s="5" t="str">
        <f t="shared" si="2"/>
        <v>Millennials</v>
      </c>
      <c r="G108" s="5" t="s">
        <v>27</v>
      </c>
      <c r="H108" s="5" t="s">
        <v>124</v>
      </c>
      <c r="I108" s="5" t="s">
        <v>37</v>
      </c>
      <c r="J108" s="5">
        <v>952.19</v>
      </c>
      <c r="K108" s="5">
        <v>1</v>
      </c>
      <c r="L108" s="5">
        <v>0</v>
      </c>
      <c r="M108" s="5">
        <v>952.19</v>
      </c>
      <c r="N108" s="5" t="s">
        <v>23</v>
      </c>
      <c r="O108" s="5" t="s">
        <v>24</v>
      </c>
      <c r="P108" s="5">
        <v>33</v>
      </c>
      <c r="Q108" s="5">
        <v>8</v>
      </c>
      <c r="R108" s="5" t="b">
        <v>1</v>
      </c>
      <c r="S108" s="5">
        <v>3</v>
      </c>
      <c r="T108" s="5">
        <v>2</v>
      </c>
    </row>
    <row r="109" spans="1:20">
      <c r="A109" s="5" t="s">
        <v>261</v>
      </c>
      <c r="B109" s="5" t="s">
        <v>262</v>
      </c>
      <c r="C109" s="6">
        <v>44939</v>
      </c>
      <c r="D109" s="6" t="str">
        <f t="shared" si="3"/>
        <v>Friday</v>
      </c>
      <c r="E109" s="5">
        <v>42</v>
      </c>
      <c r="F109" s="5" t="str">
        <f t="shared" si="2"/>
        <v>Millennials</v>
      </c>
      <c r="G109" s="5" t="s">
        <v>27</v>
      </c>
      <c r="H109" s="5" t="s">
        <v>28</v>
      </c>
      <c r="I109" s="5" t="s">
        <v>33</v>
      </c>
      <c r="J109" s="5">
        <v>66.44</v>
      </c>
      <c r="K109" s="5">
        <v>1</v>
      </c>
      <c r="L109" s="5">
        <v>0</v>
      </c>
      <c r="M109" s="5">
        <v>66.44</v>
      </c>
      <c r="N109" s="5" t="s">
        <v>23</v>
      </c>
      <c r="O109" s="5" t="s">
        <v>42</v>
      </c>
      <c r="P109" s="5">
        <v>9</v>
      </c>
      <c r="Q109" s="5">
        <v>5</v>
      </c>
      <c r="R109" s="5" t="b">
        <v>0</v>
      </c>
      <c r="S109" s="5">
        <v>3</v>
      </c>
      <c r="T109" s="5">
        <v>5</v>
      </c>
    </row>
    <row r="110" spans="1:20">
      <c r="A110" s="5" t="s">
        <v>263</v>
      </c>
      <c r="B110" s="5" t="s">
        <v>264</v>
      </c>
      <c r="C110" s="6">
        <v>44940</v>
      </c>
      <c r="D110" s="6" t="str">
        <f t="shared" si="3"/>
        <v>Saturday</v>
      </c>
      <c r="E110" s="5">
        <v>18</v>
      </c>
      <c r="F110" s="5" t="str">
        <f t="shared" si="2"/>
        <v>Gen Z</v>
      </c>
      <c r="G110" s="5" t="s">
        <v>20</v>
      </c>
      <c r="H110" s="5" t="s">
        <v>21</v>
      </c>
      <c r="I110" s="5" t="s">
        <v>40</v>
      </c>
      <c r="J110" s="5">
        <v>79.59</v>
      </c>
      <c r="K110" s="5">
        <v>1</v>
      </c>
      <c r="L110" s="5">
        <v>0</v>
      </c>
      <c r="M110" s="5">
        <v>79.59</v>
      </c>
      <c r="N110" s="5" t="s">
        <v>99</v>
      </c>
      <c r="O110" s="5" t="s">
        <v>24</v>
      </c>
      <c r="P110" s="5">
        <v>6</v>
      </c>
      <c r="Q110" s="5">
        <v>11</v>
      </c>
      <c r="R110" s="5" t="b">
        <v>0</v>
      </c>
      <c r="S110" s="5">
        <v>4</v>
      </c>
      <c r="T110" s="5">
        <v>3</v>
      </c>
    </row>
    <row r="111" spans="1:20">
      <c r="A111" s="5" t="s">
        <v>265</v>
      </c>
      <c r="B111" s="5" t="s">
        <v>266</v>
      </c>
      <c r="C111" s="6">
        <v>44940</v>
      </c>
      <c r="D111" s="6" t="str">
        <f t="shared" si="3"/>
        <v>Saturday</v>
      </c>
      <c r="E111" s="5">
        <v>34</v>
      </c>
      <c r="F111" s="5" t="str">
        <f t="shared" si="2"/>
        <v>Millennials</v>
      </c>
      <c r="G111" s="5" t="s">
        <v>20</v>
      </c>
      <c r="H111" s="5" t="s">
        <v>48</v>
      </c>
      <c r="I111" s="5" t="s">
        <v>70</v>
      </c>
      <c r="J111" s="5">
        <v>33.9</v>
      </c>
      <c r="K111" s="5">
        <v>1</v>
      </c>
      <c r="L111" s="5">
        <v>0</v>
      </c>
      <c r="M111" s="5">
        <v>33.9</v>
      </c>
      <c r="N111" s="5" t="s">
        <v>29</v>
      </c>
      <c r="O111" s="5" t="s">
        <v>24</v>
      </c>
      <c r="P111" s="5">
        <v>3</v>
      </c>
      <c r="Q111" s="5">
        <v>6</v>
      </c>
      <c r="R111" s="5" t="b">
        <v>1</v>
      </c>
      <c r="S111" s="5">
        <v>5</v>
      </c>
      <c r="T111" s="5">
        <v>5</v>
      </c>
    </row>
    <row r="112" spans="1:20">
      <c r="A112" s="5" t="s">
        <v>267</v>
      </c>
      <c r="B112" s="5" t="s">
        <v>268</v>
      </c>
      <c r="C112" s="6">
        <v>44940</v>
      </c>
      <c r="D112" s="6" t="str">
        <f t="shared" si="3"/>
        <v>Saturday</v>
      </c>
      <c r="E112" s="5">
        <v>26</v>
      </c>
      <c r="F112" s="5" t="str">
        <f t="shared" si="2"/>
        <v>Millennials</v>
      </c>
      <c r="G112" s="5" t="s">
        <v>27</v>
      </c>
      <c r="H112" s="5" t="s">
        <v>32</v>
      </c>
      <c r="I112" s="5" t="s">
        <v>22</v>
      </c>
      <c r="J112" s="5">
        <v>199.67</v>
      </c>
      <c r="K112" s="5">
        <v>1</v>
      </c>
      <c r="L112" s="5">
        <v>53.91</v>
      </c>
      <c r="M112" s="5">
        <v>145.76</v>
      </c>
      <c r="N112" s="5" t="s">
        <v>29</v>
      </c>
      <c r="O112" s="5" t="s">
        <v>55</v>
      </c>
      <c r="P112" s="5">
        <v>19</v>
      </c>
      <c r="Q112" s="5">
        <v>9</v>
      </c>
      <c r="R112" s="5" t="b">
        <v>0</v>
      </c>
      <c r="S112" s="5">
        <v>7</v>
      </c>
      <c r="T112" s="5">
        <v>1</v>
      </c>
    </row>
    <row r="113" spans="1:20">
      <c r="A113" s="5" t="s">
        <v>269</v>
      </c>
      <c r="B113" s="5" t="s">
        <v>270</v>
      </c>
      <c r="C113" s="6">
        <v>44940</v>
      </c>
      <c r="D113" s="6" t="str">
        <f t="shared" si="3"/>
        <v>Saturday</v>
      </c>
      <c r="E113" s="5">
        <v>49</v>
      </c>
      <c r="F113" s="5" t="str">
        <f t="shared" si="2"/>
        <v>Gen X/Boomers</v>
      </c>
      <c r="G113" s="5" t="s">
        <v>20</v>
      </c>
      <c r="H113" s="5" t="s">
        <v>48</v>
      </c>
      <c r="I113" s="5" t="s">
        <v>67</v>
      </c>
      <c r="J113" s="5">
        <v>301.89999999999998</v>
      </c>
      <c r="K113" s="5">
        <v>1</v>
      </c>
      <c r="L113" s="5">
        <v>0</v>
      </c>
      <c r="M113" s="5">
        <v>301.89999999999998</v>
      </c>
      <c r="N113" s="5" t="s">
        <v>49</v>
      </c>
      <c r="O113" s="5" t="s">
        <v>24</v>
      </c>
      <c r="P113" s="5">
        <v>22</v>
      </c>
      <c r="Q113" s="5">
        <v>7</v>
      </c>
      <c r="R113" s="5" t="b">
        <v>1</v>
      </c>
      <c r="S113" s="5">
        <v>3</v>
      </c>
      <c r="T113" s="5">
        <v>4</v>
      </c>
    </row>
    <row r="114" spans="1:20">
      <c r="A114" s="5" t="s">
        <v>271</v>
      </c>
      <c r="B114" s="5" t="s">
        <v>272</v>
      </c>
      <c r="C114" s="6">
        <v>44940</v>
      </c>
      <c r="D114" s="6" t="str">
        <f t="shared" si="3"/>
        <v>Saturday</v>
      </c>
      <c r="E114" s="5">
        <v>23</v>
      </c>
      <c r="F114" s="5" t="str">
        <f t="shared" si="2"/>
        <v>Gen Z</v>
      </c>
      <c r="G114" s="5" t="s">
        <v>27</v>
      </c>
      <c r="H114" s="5" t="s">
        <v>36</v>
      </c>
      <c r="I114" s="5" t="s">
        <v>45</v>
      </c>
      <c r="J114" s="5">
        <v>34.14</v>
      </c>
      <c r="K114" s="5">
        <v>5</v>
      </c>
      <c r="L114" s="5">
        <v>0</v>
      </c>
      <c r="M114" s="5">
        <v>170.7</v>
      </c>
      <c r="N114" s="5" t="s">
        <v>29</v>
      </c>
      <c r="O114" s="5" t="s">
        <v>24</v>
      </c>
      <c r="P114" s="5">
        <v>36</v>
      </c>
      <c r="Q114" s="5">
        <v>10</v>
      </c>
      <c r="R114" s="5" t="b">
        <v>1</v>
      </c>
      <c r="S114" s="5">
        <v>3</v>
      </c>
      <c r="T114" s="5">
        <v>5</v>
      </c>
    </row>
    <row r="115" spans="1:20">
      <c r="A115" s="5" t="s">
        <v>273</v>
      </c>
      <c r="B115" s="5" t="s">
        <v>274</v>
      </c>
      <c r="C115" s="6">
        <v>44940</v>
      </c>
      <c r="D115" s="6" t="str">
        <f t="shared" si="3"/>
        <v>Saturday</v>
      </c>
      <c r="E115" s="5">
        <v>39</v>
      </c>
      <c r="F115" s="5" t="str">
        <f t="shared" si="2"/>
        <v>Millennials</v>
      </c>
      <c r="G115" s="5" t="s">
        <v>27</v>
      </c>
      <c r="H115" s="5" t="s">
        <v>32</v>
      </c>
      <c r="I115" s="5" t="s">
        <v>33</v>
      </c>
      <c r="J115" s="5">
        <v>81.790000000000006</v>
      </c>
      <c r="K115" s="5">
        <v>1</v>
      </c>
      <c r="L115" s="5">
        <v>0</v>
      </c>
      <c r="M115" s="5">
        <v>81.790000000000006</v>
      </c>
      <c r="N115" s="5" t="s">
        <v>29</v>
      </c>
      <c r="O115" s="5" t="s">
        <v>24</v>
      </c>
      <c r="P115" s="5">
        <v>7</v>
      </c>
      <c r="Q115" s="5">
        <v>5</v>
      </c>
      <c r="R115" s="5" t="b">
        <v>1</v>
      </c>
      <c r="S115" s="5">
        <v>2</v>
      </c>
      <c r="T115" s="5">
        <v>4</v>
      </c>
    </row>
    <row r="116" spans="1:20">
      <c r="A116" s="5" t="s">
        <v>275</v>
      </c>
      <c r="B116" s="5" t="s">
        <v>276</v>
      </c>
      <c r="C116" s="6">
        <v>44940</v>
      </c>
      <c r="D116" s="6" t="str">
        <f t="shared" si="3"/>
        <v>Saturday</v>
      </c>
      <c r="E116" s="5">
        <v>27</v>
      </c>
      <c r="F116" s="5" t="str">
        <f t="shared" si="2"/>
        <v>Millennials</v>
      </c>
      <c r="G116" s="5" t="s">
        <v>27</v>
      </c>
      <c r="H116" s="5" t="s">
        <v>83</v>
      </c>
      <c r="I116" s="5" t="s">
        <v>54</v>
      </c>
      <c r="J116" s="5">
        <v>479.68</v>
      </c>
      <c r="K116" s="5">
        <v>3</v>
      </c>
      <c r="L116" s="5">
        <v>0</v>
      </c>
      <c r="M116" s="5">
        <v>1439.04</v>
      </c>
      <c r="N116" s="5" t="s">
        <v>23</v>
      </c>
      <c r="O116" s="5" t="s">
        <v>24</v>
      </c>
      <c r="P116" s="5">
        <v>13</v>
      </c>
      <c r="Q116" s="5">
        <v>10</v>
      </c>
      <c r="R116" s="5" t="b">
        <v>1</v>
      </c>
      <c r="S116" s="5">
        <v>4</v>
      </c>
      <c r="T116" s="5">
        <v>5</v>
      </c>
    </row>
    <row r="117" spans="1:20">
      <c r="A117" s="5" t="s">
        <v>277</v>
      </c>
      <c r="B117" s="5" t="s">
        <v>278</v>
      </c>
      <c r="C117" s="6">
        <v>44940</v>
      </c>
      <c r="D117" s="6" t="str">
        <f t="shared" si="3"/>
        <v>Saturday</v>
      </c>
      <c r="E117" s="5">
        <v>26</v>
      </c>
      <c r="F117" s="5" t="str">
        <f t="shared" si="2"/>
        <v>Millennials</v>
      </c>
      <c r="G117" s="5" t="s">
        <v>27</v>
      </c>
      <c r="H117" s="5" t="s">
        <v>83</v>
      </c>
      <c r="I117" s="5" t="s">
        <v>54</v>
      </c>
      <c r="J117" s="5">
        <v>96.62</v>
      </c>
      <c r="K117" s="5">
        <v>2</v>
      </c>
      <c r="L117" s="5">
        <v>19.5</v>
      </c>
      <c r="M117" s="5">
        <v>173.74</v>
      </c>
      <c r="N117" s="5" t="s">
        <v>41</v>
      </c>
      <c r="O117" s="5" t="s">
        <v>42</v>
      </c>
      <c r="P117" s="5">
        <v>10</v>
      </c>
      <c r="Q117" s="5">
        <v>8</v>
      </c>
      <c r="R117" s="5" t="b">
        <v>0</v>
      </c>
      <c r="S117" s="5">
        <v>5</v>
      </c>
      <c r="T117" s="5">
        <v>3</v>
      </c>
    </row>
    <row r="118" spans="1:20">
      <c r="A118" s="5" t="s">
        <v>279</v>
      </c>
      <c r="B118" s="5" t="s">
        <v>280</v>
      </c>
      <c r="C118" s="6">
        <v>44940</v>
      </c>
      <c r="D118" s="6" t="str">
        <f t="shared" si="3"/>
        <v>Saturday</v>
      </c>
      <c r="E118" s="5">
        <v>18</v>
      </c>
      <c r="F118" s="5" t="str">
        <f t="shared" si="2"/>
        <v>Gen Z</v>
      </c>
      <c r="G118" s="5" t="s">
        <v>20</v>
      </c>
      <c r="H118" s="5" t="s">
        <v>124</v>
      </c>
      <c r="I118" s="5" t="s">
        <v>22</v>
      </c>
      <c r="J118" s="5">
        <v>106.13</v>
      </c>
      <c r="K118" s="5">
        <v>1</v>
      </c>
      <c r="L118" s="5">
        <v>0</v>
      </c>
      <c r="M118" s="5">
        <v>106.13</v>
      </c>
      <c r="N118" s="5" t="s">
        <v>23</v>
      </c>
      <c r="O118" s="5" t="s">
        <v>42</v>
      </c>
      <c r="P118" s="5">
        <v>9</v>
      </c>
      <c r="Q118" s="5">
        <v>10</v>
      </c>
      <c r="R118" s="5" t="b">
        <v>1</v>
      </c>
      <c r="S118" s="5">
        <v>5</v>
      </c>
      <c r="T118" s="5">
        <v>5</v>
      </c>
    </row>
    <row r="119" spans="1:20">
      <c r="A119" s="5" t="s">
        <v>281</v>
      </c>
      <c r="B119" s="5" t="s">
        <v>282</v>
      </c>
      <c r="C119" s="6">
        <v>44940</v>
      </c>
      <c r="D119" s="6" t="str">
        <f t="shared" si="3"/>
        <v>Saturday</v>
      </c>
      <c r="E119" s="5">
        <v>34</v>
      </c>
      <c r="F119" s="5" t="str">
        <f t="shared" si="2"/>
        <v>Millennials</v>
      </c>
      <c r="G119" s="5" t="s">
        <v>27</v>
      </c>
      <c r="H119" s="5" t="s">
        <v>178</v>
      </c>
      <c r="I119" s="5" t="s">
        <v>45</v>
      </c>
      <c r="J119" s="5">
        <v>66.28</v>
      </c>
      <c r="K119" s="5">
        <v>2</v>
      </c>
      <c r="L119" s="5">
        <v>0</v>
      </c>
      <c r="M119" s="5">
        <v>132.56</v>
      </c>
      <c r="N119" s="5" t="s">
        <v>29</v>
      </c>
      <c r="O119" s="5" t="s">
        <v>24</v>
      </c>
      <c r="P119" s="5">
        <v>13</v>
      </c>
      <c r="Q119" s="5">
        <v>12</v>
      </c>
      <c r="R119" s="5" t="b">
        <v>1</v>
      </c>
      <c r="S119" s="5">
        <v>3</v>
      </c>
      <c r="T119" s="5">
        <v>5</v>
      </c>
    </row>
    <row r="120" spans="1:20">
      <c r="A120" s="5" t="s">
        <v>283</v>
      </c>
      <c r="B120" s="5" t="s">
        <v>284</v>
      </c>
      <c r="C120" s="6">
        <v>44940</v>
      </c>
      <c r="D120" s="6" t="str">
        <f t="shared" si="3"/>
        <v>Saturday</v>
      </c>
      <c r="E120" s="5">
        <v>21</v>
      </c>
      <c r="F120" s="5" t="str">
        <f t="shared" si="2"/>
        <v>Gen Z</v>
      </c>
      <c r="G120" s="5" t="s">
        <v>20</v>
      </c>
      <c r="H120" s="5" t="s">
        <v>83</v>
      </c>
      <c r="I120" s="5" t="s">
        <v>40</v>
      </c>
      <c r="J120" s="5">
        <v>349.71</v>
      </c>
      <c r="K120" s="5">
        <v>2</v>
      </c>
      <c r="L120" s="5">
        <v>57.46</v>
      </c>
      <c r="M120" s="5">
        <v>641.96</v>
      </c>
      <c r="N120" s="5" t="s">
        <v>49</v>
      </c>
      <c r="O120" s="5" t="s">
        <v>24</v>
      </c>
      <c r="P120" s="5">
        <v>11</v>
      </c>
      <c r="Q120" s="5">
        <v>10</v>
      </c>
      <c r="R120" s="5" t="b">
        <v>0</v>
      </c>
      <c r="S120" s="5">
        <v>4</v>
      </c>
      <c r="T120" s="5">
        <v>4</v>
      </c>
    </row>
    <row r="121" spans="1:20">
      <c r="A121" s="5" t="s">
        <v>285</v>
      </c>
      <c r="B121" s="5" t="s">
        <v>286</v>
      </c>
      <c r="C121" s="6">
        <v>44940</v>
      </c>
      <c r="D121" s="6" t="str">
        <f t="shared" si="3"/>
        <v>Saturday</v>
      </c>
      <c r="E121" s="5">
        <v>49</v>
      </c>
      <c r="F121" s="5" t="str">
        <f t="shared" si="2"/>
        <v>Gen X/Boomers</v>
      </c>
      <c r="G121" s="5" t="s">
        <v>20</v>
      </c>
      <c r="H121" s="5" t="s">
        <v>32</v>
      </c>
      <c r="I121" s="5" t="s">
        <v>70</v>
      </c>
      <c r="J121" s="5">
        <v>29.41</v>
      </c>
      <c r="K121" s="5">
        <v>1</v>
      </c>
      <c r="L121" s="5">
        <v>0</v>
      </c>
      <c r="M121" s="5">
        <v>29.41</v>
      </c>
      <c r="N121" s="5" t="s">
        <v>23</v>
      </c>
      <c r="O121" s="5" t="s">
        <v>42</v>
      </c>
      <c r="P121" s="5">
        <v>34</v>
      </c>
      <c r="Q121" s="5">
        <v>8</v>
      </c>
      <c r="R121" s="5" t="b">
        <v>0</v>
      </c>
      <c r="S121" s="5">
        <v>3</v>
      </c>
      <c r="T121" s="5">
        <v>4</v>
      </c>
    </row>
    <row r="122" spans="1:20">
      <c r="A122" s="5" t="s">
        <v>287</v>
      </c>
      <c r="B122" s="5" t="s">
        <v>288</v>
      </c>
      <c r="C122" s="6">
        <v>44940</v>
      </c>
      <c r="D122" s="6" t="str">
        <f t="shared" si="3"/>
        <v>Saturday</v>
      </c>
      <c r="E122" s="5">
        <v>36</v>
      </c>
      <c r="F122" s="5" t="str">
        <f t="shared" si="2"/>
        <v>Millennials</v>
      </c>
      <c r="G122" s="5" t="s">
        <v>27</v>
      </c>
      <c r="H122" s="5" t="s">
        <v>36</v>
      </c>
      <c r="I122" s="5" t="s">
        <v>70</v>
      </c>
      <c r="J122" s="5">
        <v>47.45</v>
      </c>
      <c r="K122" s="5">
        <v>1</v>
      </c>
      <c r="L122" s="5">
        <v>0</v>
      </c>
      <c r="M122" s="5">
        <v>47.45</v>
      </c>
      <c r="N122" s="5" t="s">
        <v>29</v>
      </c>
      <c r="O122" s="5" t="s">
        <v>42</v>
      </c>
      <c r="P122" s="5">
        <v>38</v>
      </c>
      <c r="Q122" s="5">
        <v>5</v>
      </c>
      <c r="R122" s="5" t="b">
        <v>1</v>
      </c>
      <c r="S122" s="5">
        <v>4</v>
      </c>
      <c r="T122" s="5">
        <v>4</v>
      </c>
    </row>
    <row r="123" spans="1:20">
      <c r="A123" s="5" t="s">
        <v>289</v>
      </c>
      <c r="B123" s="5" t="s">
        <v>290</v>
      </c>
      <c r="C123" s="6">
        <v>44940</v>
      </c>
      <c r="D123" s="6" t="str">
        <f t="shared" si="3"/>
        <v>Saturday</v>
      </c>
      <c r="E123" s="5">
        <v>43</v>
      </c>
      <c r="F123" s="5" t="str">
        <f t="shared" si="2"/>
        <v>Millennials</v>
      </c>
      <c r="G123" s="5" t="s">
        <v>20</v>
      </c>
      <c r="H123" s="5" t="s">
        <v>36</v>
      </c>
      <c r="I123" s="5" t="s">
        <v>40</v>
      </c>
      <c r="J123" s="5">
        <v>666.91</v>
      </c>
      <c r="K123" s="5">
        <v>1</v>
      </c>
      <c r="L123" s="5">
        <v>0</v>
      </c>
      <c r="M123" s="5">
        <v>666.91</v>
      </c>
      <c r="N123" s="5" t="s">
        <v>23</v>
      </c>
      <c r="O123" s="5" t="s">
        <v>24</v>
      </c>
      <c r="P123" s="5">
        <v>19</v>
      </c>
      <c r="Q123" s="5">
        <v>8</v>
      </c>
      <c r="R123" s="5" t="b">
        <v>1</v>
      </c>
      <c r="S123" s="5">
        <v>5</v>
      </c>
      <c r="T123" s="5">
        <v>3</v>
      </c>
    </row>
    <row r="124" spans="1:20">
      <c r="A124" s="5" t="s">
        <v>291</v>
      </c>
      <c r="B124" s="5" t="s">
        <v>292</v>
      </c>
      <c r="C124" s="6">
        <v>44941</v>
      </c>
      <c r="D124" s="6" t="str">
        <f t="shared" si="3"/>
        <v>Sunday</v>
      </c>
      <c r="E124" s="5">
        <v>30</v>
      </c>
      <c r="F124" s="5" t="str">
        <f t="shared" si="2"/>
        <v>Millennials</v>
      </c>
      <c r="G124" s="5" t="s">
        <v>27</v>
      </c>
      <c r="H124" s="5" t="s">
        <v>124</v>
      </c>
      <c r="I124" s="5" t="s">
        <v>70</v>
      </c>
      <c r="J124" s="5">
        <v>74.72</v>
      </c>
      <c r="K124" s="5">
        <v>1</v>
      </c>
      <c r="L124" s="5">
        <v>0</v>
      </c>
      <c r="M124" s="5">
        <v>74.72</v>
      </c>
      <c r="N124" s="5" t="s">
        <v>29</v>
      </c>
      <c r="O124" s="5" t="s">
        <v>55</v>
      </c>
      <c r="P124" s="5">
        <v>12</v>
      </c>
      <c r="Q124" s="5">
        <v>4</v>
      </c>
      <c r="R124" s="5" t="b">
        <v>1</v>
      </c>
      <c r="S124" s="5">
        <v>7</v>
      </c>
      <c r="T124" s="5">
        <v>5</v>
      </c>
    </row>
    <row r="125" spans="1:20">
      <c r="A125" s="5" t="s">
        <v>293</v>
      </c>
      <c r="B125" s="5" t="s">
        <v>294</v>
      </c>
      <c r="C125" s="6">
        <v>44941</v>
      </c>
      <c r="D125" s="6" t="str">
        <f t="shared" si="3"/>
        <v>Sunday</v>
      </c>
      <c r="E125" s="5">
        <v>39</v>
      </c>
      <c r="F125" s="5" t="str">
        <f t="shared" si="2"/>
        <v>Millennials</v>
      </c>
      <c r="G125" s="5" t="s">
        <v>20</v>
      </c>
      <c r="H125" s="5" t="s">
        <v>36</v>
      </c>
      <c r="I125" s="5" t="s">
        <v>33</v>
      </c>
      <c r="J125" s="5">
        <v>33.520000000000003</v>
      </c>
      <c r="K125" s="5">
        <v>2</v>
      </c>
      <c r="L125" s="5">
        <v>0</v>
      </c>
      <c r="M125" s="5">
        <v>67.040000000000006</v>
      </c>
      <c r="N125" s="5" t="s">
        <v>41</v>
      </c>
      <c r="O125" s="5" t="s">
        <v>24</v>
      </c>
      <c r="P125" s="5">
        <v>22</v>
      </c>
      <c r="Q125" s="5">
        <v>10</v>
      </c>
      <c r="R125" s="5" t="b">
        <v>0</v>
      </c>
      <c r="S125" s="5">
        <v>4</v>
      </c>
      <c r="T125" s="5">
        <v>2</v>
      </c>
    </row>
    <row r="126" spans="1:20">
      <c r="A126" s="5" t="s">
        <v>295</v>
      </c>
      <c r="B126" s="5" t="s">
        <v>296</v>
      </c>
      <c r="C126" s="6">
        <v>44941</v>
      </c>
      <c r="D126" s="6" t="str">
        <f t="shared" si="3"/>
        <v>Sunday</v>
      </c>
      <c r="E126" s="5">
        <v>23</v>
      </c>
      <c r="F126" s="5" t="str">
        <f t="shared" si="2"/>
        <v>Gen Z</v>
      </c>
      <c r="G126" s="5" t="s">
        <v>27</v>
      </c>
      <c r="H126" s="5" t="s">
        <v>36</v>
      </c>
      <c r="I126" s="5" t="s">
        <v>40</v>
      </c>
      <c r="J126" s="5">
        <v>292.8</v>
      </c>
      <c r="K126" s="5">
        <v>1</v>
      </c>
      <c r="L126" s="5">
        <v>41.69</v>
      </c>
      <c r="M126" s="5">
        <v>251.11</v>
      </c>
      <c r="N126" s="5" t="s">
        <v>49</v>
      </c>
      <c r="O126" s="5" t="s">
        <v>42</v>
      </c>
      <c r="P126" s="5">
        <v>19</v>
      </c>
      <c r="Q126" s="5">
        <v>9</v>
      </c>
      <c r="R126" s="5" t="b">
        <v>0</v>
      </c>
      <c r="S126" s="5">
        <v>8</v>
      </c>
      <c r="T126" s="5">
        <v>5</v>
      </c>
    </row>
    <row r="127" spans="1:20">
      <c r="A127" s="5" t="s">
        <v>297</v>
      </c>
      <c r="B127" s="5" t="s">
        <v>298</v>
      </c>
      <c r="C127" s="6">
        <v>44941</v>
      </c>
      <c r="D127" s="6" t="str">
        <f t="shared" si="3"/>
        <v>Sunday</v>
      </c>
      <c r="E127" s="5">
        <v>29</v>
      </c>
      <c r="F127" s="5" t="str">
        <f t="shared" si="2"/>
        <v>Millennials</v>
      </c>
      <c r="G127" s="5" t="s">
        <v>27</v>
      </c>
      <c r="H127" s="5" t="s">
        <v>21</v>
      </c>
      <c r="I127" s="5" t="s">
        <v>37</v>
      </c>
      <c r="J127" s="5">
        <v>2340.15</v>
      </c>
      <c r="K127" s="5">
        <v>4</v>
      </c>
      <c r="L127" s="5">
        <v>402.1</v>
      </c>
      <c r="M127" s="5">
        <v>8958.5</v>
      </c>
      <c r="N127" s="5" t="s">
        <v>29</v>
      </c>
      <c r="O127" s="5" t="s">
        <v>42</v>
      </c>
      <c r="P127" s="5">
        <v>9</v>
      </c>
      <c r="Q127" s="5">
        <v>14</v>
      </c>
      <c r="R127" s="5" t="b">
        <v>1</v>
      </c>
      <c r="S127" s="5">
        <v>3</v>
      </c>
      <c r="T127" s="5">
        <v>5</v>
      </c>
    </row>
    <row r="128" spans="1:20">
      <c r="A128" s="5" t="s">
        <v>299</v>
      </c>
      <c r="B128" s="5" t="s">
        <v>300</v>
      </c>
      <c r="C128" s="6">
        <v>44941</v>
      </c>
      <c r="D128" s="6" t="str">
        <f t="shared" si="3"/>
        <v>Sunday</v>
      </c>
      <c r="E128" s="5">
        <v>53</v>
      </c>
      <c r="F128" s="5" t="str">
        <f t="shared" si="2"/>
        <v>Gen X/Boomers</v>
      </c>
      <c r="G128" s="5" t="s">
        <v>20</v>
      </c>
      <c r="H128" s="5" t="s">
        <v>32</v>
      </c>
      <c r="I128" s="5" t="s">
        <v>37</v>
      </c>
      <c r="J128" s="5">
        <v>1121.67</v>
      </c>
      <c r="K128" s="5">
        <v>5</v>
      </c>
      <c r="L128" s="5">
        <v>0</v>
      </c>
      <c r="M128" s="5">
        <v>5608.35</v>
      </c>
      <c r="N128" s="5" t="s">
        <v>41</v>
      </c>
      <c r="O128" s="5" t="s">
        <v>42</v>
      </c>
      <c r="P128" s="5">
        <v>18</v>
      </c>
      <c r="Q128" s="5">
        <v>8</v>
      </c>
      <c r="R128" s="5" t="b">
        <v>0</v>
      </c>
      <c r="S128" s="5">
        <v>4</v>
      </c>
      <c r="T128" s="5">
        <v>3</v>
      </c>
    </row>
    <row r="129" spans="1:20">
      <c r="A129" s="5" t="s">
        <v>301</v>
      </c>
      <c r="B129" s="5" t="s">
        <v>302</v>
      </c>
      <c r="C129" s="6">
        <v>44941</v>
      </c>
      <c r="D129" s="6" t="str">
        <f t="shared" si="3"/>
        <v>Sunday</v>
      </c>
      <c r="E129" s="5">
        <v>29</v>
      </c>
      <c r="F129" s="5" t="str">
        <f t="shared" si="2"/>
        <v>Millennials</v>
      </c>
      <c r="G129" s="5" t="s">
        <v>20</v>
      </c>
      <c r="H129" s="5" t="s">
        <v>83</v>
      </c>
      <c r="I129" s="5" t="s">
        <v>70</v>
      </c>
      <c r="J129" s="5">
        <v>27.13</v>
      </c>
      <c r="K129" s="5">
        <v>4</v>
      </c>
      <c r="L129" s="5">
        <v>5.54</v>
      </c>
      <c r="M129" s="5">
        <v>102.98</v>
      </c>
      <c r="N129" s="5" t="s">
        <v>23</v>
      </c>
      <c r="O129" s="5" t="s">
        <v>24</v>
      </c>
      <c r="P129" s="5">
        <v>14</v>
      </c>
      <c r="Q129" s="5">
        <v>7</v>
      </c>
      <c r="R129" s="5" t="b">
        <v>1</v>
      </c>
      <c r="S129" s="5">
        <v>5</v>
      </c>
      <c r="T129" s="5">
        <v>2</v>
      </c>
    </row>
    <row r="130" spans="1:20">
      <c r="A130" s="5" t="s">
        <v>303</v>
      </c>
      <c r="B130" s="5" t="s">
        <v>304</v>
      </c>
      <c r="C130" s="6">
        <v>44941</v>
      </c>
      <c r="D130" s="6" t="str">
        <f t="shared" si="3"/>
        <v>Sunday</v>
      </c>
      <c r="E130" s="5">
        <v>40</v>
      </c>
      <c r="F130" s="5" t="str">
        <f t="shared" ref="F130:F193" si="4">IFERROR(IF(E130&lt;25, "Gen Z", IF(E130&lt;45, "Millennials", "Gen X/Boomers")),"Not Valide Age")</f>
        <v>Millennials</v>
      </c>
      <c r="G130" s="5" t="s">
        <v>20</v>
      </c>
      <c r="H130" s="5" t="s">
        <v>124</v>
      </c>
      <c r="I130" s="5" t="s">
        <v>37</v>
      </c>
      <c r="J130" s="5">
        <v>1239.23</v>
      </c>
      <c r="K130" s="5">
        <v>1</v>
      </c>
      <c r="L130" s="5">
        <v>0</v>
      </c>
      <c r="M130" s="5">
        <v>1239.23</v>
      </c>
      <c r="N130" s="5" t="s">
        <v>29</v>
      </c>
      <c r="O130" s="5" t="s">
        <v>42</v>
      </c>
      <c r="P130" s="5">
        <v>31</v>
      </c>
      <c r="Q130" s="5">
        <v>13</v>
      </c>
      <c r="R130" s="5" t="b">
        <v>1</v>
      </c>
      <c r="S130" s="5">
        <v>12</v>
      </c>
      <c r="T130" s="5">
        <v>5</v>
      </c>
    </row>
    <row r="131" spans="1:20">
      <c r="A131" s="5" t="s">
        <v>305</v>
      </c>
      <c r="B131" s="5" t="s">
        <v>306</v>
      </c>
      <c r="C131" s="6">
        <v>44941</v>
      </c>
      <c r="D131" s="6" t="str">
        <f t="shared" ref="D131:D194" si="5">TEXT(C131, "dddd")</f>
        <v>Sunday</v>
      </c>
      <c r="E131" s="5">
        <v>27</v>
      </c>
      <c r="F131" s="5" t="str">
        <f t="shared" si="4"/>
        <v>Millennials</v>
      </c>
      <c r="G131" s="5" t="s">
        <v>20</v>
      </c>
      <c r="H131" s="5" t="s">
        <v>21</v>
      </c>
      <c r="I131" s="5" t="s">
        <v>54</v>
      </c>
      <c r="J131" s="5">
        <v>118.65</v>
      </c>
      <c r="K131" s="5">
        <v>3</v>
      </c>
      <c r="L131" s="5">
        <v>0</v>
      </c>
      <c r="M131" s="5">
        <v>355.95</v>
      </c>
      <c r="N131" s="5" t="s">
        <v>23</v>
      </c>
      <c r="O131" s="5" t="s">
        <v>24</v>
      </c>
      <c r="P131" s="5">
        <v>4</v>
      </c>
      <c r="Q131" s="5">
        <v>7</v>
      </c>
      <c r="R131" s="5" t="b">
        <v>0</v>
      </c>
      <c r="S131" s="5">
        <v>8</v>
      </c>
      <c r="T131" s="5">
        <v>4</v>
      </c>
    </row>
    <row r="132" spans="1:20">
      <c r="A132" s="5" t="s">
        <v>307</v>
      </c>
      <c r="B132" s="5" t="s">
        <v>308</v>
      </c>
      <c r="C132" s="6">
        <v>44941</v>
      </c>
      <c r="D132" s="6" t="str">
        <f t="shared" si="5"/>
        <v>Sunday</v>
      </c>
      <c r="E132" s="5">
        <v>43</v>
      </c>
      <c r="F132" s="5" t="str">
        <f t="shared" si="4"/>
        <v>Millennials</v>
      </c>
      <c r="G132" s="5" t="s">
        <v>27</v>
      </c>
      <c r="H132" s="5" t="s">
        <v>83</v>
      </c>
      <c r="I132" s="5" t="s">
        <v>33</v>
      </c>
      <c r="J132" s="5">
        <v>140.01</v>
      </c>
      <c r="K132" s="5">
        <v>1</v>
      </c>
      <c r="L132" s="5">
        <v>23.2</v>
      </c>
      <c r="M132" s="5">
        <v>116.81</v>
      </c>
      <c r="N132" s="5" t="s">
        <v>49</v>
      </c>
      <c r="O132" s="5" t="s">
        <v>42</v>
      </c>
      <c r="P132" s="5">
        <v>13</v>
      </c>
      <c r="Q132" s="5">
        <v>9</v>
      </c>
      <c r="R132" s="5" t="b">
        <v>0</v>
      </c>
      <c r="S132" s="5">
        <v>7</v>
      </c>
      <c r="T132" s="5">
        <v>4</v>
      </c>
    </row>
    <row r="133" spans="1:20">
      <c r="A133" s="5" t="s">
        <v>309</v>
      </c>
      <c r="B133" s="5" t="s">
        <v>310</v>
      </c>
      <c r="C133" s="6">
        <v>44942</v>
      </c>
      <c r="D133" s="6" t="str">
        <f t="shared" si="5"/>
        <v>Monday</v>
      </c>
      <c r="E133" s="5">
        <v>38</v>
      </c>
      <c r="F133" s="5" t="str">
        <f t="shared" si="4"/>
        <v>Millennials</v>
      </c>
      <c r="G133" s="5" t="s">
        <v>27</v>
      </c>
      <c r="H133" s="5" t="s">
        <v>124</v>
      </c>
      <c r="I133" s="5" t="s">
        <v>67</v>
      </c>
      <c r="J133" s="5">
        <v>1469.76</v>
      </c>
      <c r="K133" s="5">
        <v>1</v>
      </c>
      <c r="L133" s="5">
        <v>0</v>
      </c>
      <c r="M133" s="5">
        <v>1469.76</v>
      </c>
      <c r="N133" s="5" t="s">
        <v>99</v>
      </c>
      <c r="O133" s="5" t="s">
        <v>42</v>
      </c>
      <c r="P133" s="5">
        <v>13</v>
      </c>
      <c r="Q133" s="5">
        <v>13</v>
      </c>
      <c r="R133" s="5" t="b">
        <v>0</v>
      </c>
      <c r="S133" s="5">
        <v>4</v>
      </c>
      <c r="T133" s="5">
        <v>3</v>
      </c>
    </row>
    <row r="134" spans="1:20">
      <c r="A134" s="5" t="s">
        <v>311</v>
      </c>
      <c r="B134" s="5" t="s">
        <v>312</v>
      </c>
      <c r="C134" s="6">
        <v>44942</v>
      </c>
      <c r="D134" s="6" t="str">
        <f t="shared" si="5"/>
        <v>Monday</v>
      </c>
      <c r="E134" s="5">
        <v>23</v>
      </c>
      <c r="F134" s="5" t="str">
        <f t="shared" si="4"/>
        <v>Gen Z</v>
      </c>
      <c r="G134" s="5" t="s">
        <v>20</v>
      </c>
      <c r="H134" s="5" t="s">
        <v>48</v>
      </c>
      <c r="I134" s="5" t="s">
        <v>22</v>
      </c>
      <c r="J134" s="5">
        <v>25.11</v>
      </c>
      <c r="K134" s="5">
        <v>2</v>
      </c>
      <c r="L134" s="5">
        <v>0</v>
      </c>
      <c r="M134" s="5">
        <v>50.22</v>
      </c>
      <c r="N134" s="5" t="s">
        <v>99</v>
      </c>
      <c r="O134" s="5" t="s">
        <v>24</v>
      </c>
      <c r="P134" s="5">
        <v>12</v>
      </c>
      <c r="Q134" s="5">
        <v>6</v>
      </c>
      <c r="R134" s="5" t="b">
        <v>0</v>
      </c>
      <c r="S134" s="5">
        <v>7</v>
      </c>
      <c r="T134" s="5">
        <v>5</v>
      </c>
    </row>
    <row r="135" spans="1:20">
      <c r="A135" s="5" t="s">
        <v>313</v>
      </c>
      <c r="B135" s="5" t="s">
        <v>314</v>
      </c>
      <c r="C135" s="6">
        <v>44942</v>
      </c>
      <c r="D135" s="6" t="str">
        <f t="shared" si="5"/>
        <v>Monday</v>
      </c>
      <c r="E135" s="5">
        <v>26</v>
      </c>
      <c r="F135" s="5" t="str">
        <f t="shared" si="4"/>
        <v>Millennials</v>
      </c>
      <c r="G135" s="5" t="s">
        <v>27</v>
      </c>
      <c r="H135" s="5" t="s">
        <v>124</v>
      </c>
      <c r="I135" s="5" t="s">
        <v>22</v>
      </c>
      <c r="J135" s="5">
        <v>130.84</v>
      </c>
      <c r="K135" s="5">
        <v>2</v>
      </c>
      <c r="L135" s="5">
        <v>7.16</v>
      </c>
      <c r="M135" s="5">
        <v>254.52</v>
      </c>
      <c r="N135" s="5" t="s">
        <v>49</v>
      </c>
      <c r="O135" s="5" t="s">
        <v>24</v>
      </c>
      <c r="P135" s="5">
        <v>14</v>
      </c>
      <c r="Q135" s="5">
        <v>8</v>
      </c>
      <c r="R135" s="5" t="b">
        <v>1</v>
      </c>
      <c r="S135" s="5">
        <v>6</v>
      </c>
      <c r="T135" s="5">
        <v>4</v>
      </c>
    </row>
    <row r="136" spans="1:20">
      <c r="A136" s="5" t="s">
        <v>315</v>
      </c>
      <c r="B136" s="5" t="s">
        <v>316</v>
      </c>
      <c r="C136" s="6">
        <v>44942</v>
      </c>
      <c r="D136" s="6" t="str">
        <f t="shared" si="5"/>
        <v>Monday</v>
      </c>
      <c r="E136" s="5">
        <v>38</v>
      </c>
      <c r="F136" s="5" t="str">
        <f t="shared" si="4"/>
        <v>Millennials</v>
      </c>
      <c r="G136" s="5" t="s">
        <v>20</v>
      </c>
      <c r="H136" s="5" t="s">
        <v>21</v>
      </c>
      <c r="I136" s="5" t="s">
        <v>54</v>
      </c>
      <c r="J136" s="5">
        <v>198.21</v>
      </c>
      <c r="K136" s="5">
        <v>1</v>
      </c>
      <c r="L136" s="5">
        <v>0</v>
      </c>
      <c r="M136" s="5">
        <v>198.21</v>
      </c>
      <c r="N136" s="5" t="s">
        <v>99</v>
      </c>
      <c r="O136" s="5" t="s">
        <v>42</v>
      </c>
      <c r="P136" s="5">
        <v>20</v>
      </c>
      <c r="Q136" s="5">
        <v>6</v>
      </c>
      <c r="R136" s="5" t="b">
        <v>1</v>
      </c>
      <c r="S136" s="5">
        <v>2</v>
      </c>
      <c r="T136" s="5">
        <v>2</v>
      </c>
    </row>
    <row r="137" spans="1:20">
      <c r="A137" s="5" t="s">
        <v>317</v>
      </c>
      <c r="B137" s="5" t="s">
        <v>318</v>
      </c>
      <c r="C137" s="6">
        <v>44942</v>
      </c>
      <c r="D137" s="6" t="str">
        <f t="shared" si="5"/>
        <v>Monday</v>
      </c>
      <c r="E137" s="5">
        <v>21</v>
      </c>
      <c r="F137" s="5" t="str">
        <f t="shared" si="4"/>
        <v>Gen Z</v>
      </c>
      <c r="G137" s="5" t="s">
        <v>20</v>
      </c>
      <c r="H137" s="5" t="s">
        <v>178</v>
      </c>
      <c r="I137" s="5" t="s">
        <v>45</v>
      </c>
      <c r="J137" s="5">
        <v>153.06</v>
      </c>
      <c r="K137" s="5">
        <v>4</v>
      </c>
      <c r="L137" s="5">
        <v>20.83</v>
      </c>
      <c r="M137" s="5">
        <v>591.41</v>
      </c>
      <c r="N137" s="5" t="s">
        <v>23</v>
      </c>
      <c r="O137" s="5" t="s">
        <v>42</v>
      </c>
      <c r="P137" s="5">
        <v>10</v>
      </c>
      <c r="Q137" s="5">
        <v>2</v>
      </c>
      <c r="R137" s="5" t="b">
        <v>1</v>
      </c>
      <c r="S137" s="5">
        <v>4</v>
      </c>
      <c r="T137" s="5">
        <v>2</v>
      </c>
    </row>
    <row r="138" spans="1:20">
      <c r="A138" s="5" t="s">
        <v>319</v>
      </c>
      <c r="B138" s="5" t="s">
        <v>320</v>
      </c>
      <c r="C138" s="6">
        <v>44942</v>
      </c>
      <c r="D138" s="6" t="str">
        <f t="shared" si="5"/>
        <v>Monday</v>
      </c>
      <c r="E138" s="5">
        <v>27</v>
      </c>
      <c r="F138" s="5" t="str">
        <f t="shared" si="4"/>
        <v>Millennials</v>
      </c>
      <c r="G138" s="5" t="s">
        <v>20</v>
      </c>
      <c r="H138" s="5" t="s">
        <v>36</v>
      </c>
      <c r="I138" s="5" t="s">
        <v>37</v>
      </c>
      <c r="J138" s="5">
        <v>1783.81</v>
      </c>
      <c r="K138" s="5">
        <v>2</v>
      </c>
      <c r="L138" s="5">
        <v>501.44</v>
      </c>
      <c r="M138" s="5">
        <v>3066.18</v>
      </c>
      <c r="N138" s="5" t="s">
        <v>23</v>
      </c>
      <c r="O138" s="5" t="s">
        <v>42</v>
      </c>
      <c r="P138" s="5">
        <v>7</v>
      </c>
      <c r="Q138" s="5">
        <v>5</v>
      </c>
      <c r="R138" s="5" t="b">
        <v>1</v>
      </c>
      <c r="S138" s="5">
        <v>5</v>
      </c>
      <c r="T138" s="5">
        <v>4</v>
      </c>
    </row>
    <row r="139" spans="1:20">
      <c r="A139" s="5" t="s">
        <v>321</v>
      </c>
      <c r="B139" s="5" t="s">
        <v>322</v>
      </c>
      <c r="C139" s="6">
        <v>44942</v>
      </c>
      <c r="D139" s="6" t="str">
        <f t="shared" si="5"/>
        <v>Monday</v>
      </c>
      <c r="E139" s="5">
        <v>18</v>
      </c>
      <c r="F139" s="5" t="str">
        <f t="shared" si="4"/>
        <v>Gen Z</v>
      </c>
      <c r="G139" s="5" t="s">
        <v>20</v>
      </c>
      <c r="H139" s="5" t="s">
        <v>124</v>
      </c>
      <c r="I139" s="5" t="s">
        <v>54</v>
      </c>
      <c r="J139" s="5">
        <v>498.6</v>
      </c>
      <c r="K139" s="5">
        <v>1</v>
      </c>
      <c r="L139" s="5">
        <v>0</v>
      </c>
      <c r="M139" s="5">
        <v>498.6</v>
      </c>
      <c r="N139" s="5" t="s">
        <v>49</v>
      </c>
      <c r="O139" s="5" t="s">
        <v>24</v>
      </c>
      <c r="P139" s="5">
        <v>1</v>
      </c>
      <c r="Q139" s="5">
        <v>5</v>
      </c>
      <c r="R139" s="5" t="b">
        <v>1</v>
      </c>
      <c r="S139" s="5">
        <v>1</v>
      </c>
      <c r="T139" s="5">
        <v>5</v>
      </c>
    </row>
    <row r="140" spans="1:20">
      <c r="A140" s="5" t="s">
        <v>323</v>
      </c>
      <c r="B140" s="5" t="s">
        <v>324</v>
      </c>
      <c r="C140" s="6">
        <v>44942</v>
      </c>
      <c r="D140" s="6" t="str">
        <f t="shared" si="5"/>
        <v>Monday</v>
      </c>
      <c r="E140" s="5">
        <v>37</v>
      </c>
      <c r="F140" s="5" t="str">
        <f t="shared" si="4"/>
        <v>Millennials</v>
      </c>
      <c r="G140" s="5" t="s">
        <v>27</v>
      </c>
      <c r="H140" s="5" t="s">
        <v>36</v>
      </c>
      <c r="I140" s="5" t="s">
        <v>67</v>
      </c>
      <c r="J140" s="5">
        <v>656.04</v>
      </c>
      <c r="K140" s="5">
        <v>2</v>
      </c>
      <c r="L140" s="5">
        <v>0</v>
      </c>
      <c r="M140" s="5">
        <v>1312.08</v>
      </c>
      <c r="N140" s="5" t="s">
        <v>23</v>
      </c>
      <c r="O140" s="5" t="s">
        <v>42</v>
      </c>
      <c r="P140" s="5">
        <v>4</v>
      </c>
      <c r="Q140" s="5">
        <v>8</v>
      </c>
      <c r="R140" s="5" t="b">
        <v>1</v>
      </c>
      <c r="S140" s="5">
        <v>8</v>
      </c>
      <c r="T140" s="5">
        <v>2</v>
      </c>
    </row>
    <row r="141" spans="1:20">
      <c r="A141" s="5" t="s">
        <v>325</v>
      </c>
      <c r="B141" s="5" t="s">
        <v>326</v>
      </c>
      <c r="C141" s="6">
        <v>44942</v>
      </c>
      <c r="D141" s="6" t="str">
        <f t="shared" si="5"/>
        <v>Monday</v>
      </c>
      <c r="E141" s="5">
        <v>39</v>
      </c>
      <c r="F141" s="5" t="str">
        <f t="shared" si="4"/>
        <v>Millennials</v>
      </c>
      <c r="G141" s="5" t="s">
        <v>129</v>
      </c>
      <c r="H141" s="5" t="s">
        <v>28</v>
      </c>
      <c r="I141" s="5" t="s">
        <v>45</v>
      </c>
      <c r="J141" s="5">
        <v>27.5</v>
      </c>
      <c r="K141" s="5">
        <v>2</v>
      </c>
      <c r="L141" s="5">
        <v>0</v>
      </c>
      <c r="M141" s="5">
        <v>55</v>
      </c>
      <c r="N141" s="5" t="s">
        <v>49</v>
      </c>
      <c r="O141" s="5" t="s">
        <v>24</v>
      </c>
      <c r="P141" s="5">
        <v>13</v>
      </c>
      <c r="Q141" s="5">
        <v>11</v>
      </c>
      <c r="R141" s="5" t="b">
        <v>1</v>
      </c>
      <c r="S141" s="5">
        <v>2</v>
      </c>
      <c r="T141" s="5">
        <v>5</v>
      </c>
    </row>
    <row r="142" spans="1:20">
      <c r="A142" s="5" t="s">
        <v>327</v>
      </c>
      <c r="B142" s="5" t="s">
        <v>328</v>
      </c>
      <c r="C142" s="6">
        <v>44942</v>
      </c>
      <c r="D142" s="6" t="str">
        <f t="shared" si="5"/>
        <v>Monday</v>
      </c>
      <c r="E142" s="5">
        <v>23</v>
      </c>
      <c r="F142" s="5" t="str">
        <f t="shared" si="4"/>
        <v>Gen Z</v>
      </c>
      <c r="G142" s="5" t="s">
        <v>20</v>
      </c>
      <c r="H142" s="5" t="s">
        <v>178</v>
      </c>
      <c r="I142" s="5" t="s">
        <v>67</v>
      </c>
      <c r="J142" s="5">
        <v>159.75</v>
      </c>
      <c r="K142" s="5">
        <v>3</v>
      </c>
      <c r="L142" s="5">
        <v>0</v>
      </c>
      <c r="M142" s="5">
        <v>479.25</v>
      </c>
      <c r="N142" s="5" t="s">
        <v>29</v>
      </c>
      <c r="O142" s="5" t="s">
        <v>24</v>
      </c>
      <c r="P142" s="5">
        <v>10</v>
      </c>
      <c r="Q142" s="5">
        <v>9</v>
      </c>
      <c r="R142" s="5" t="b">
        <v>1</v>
      </c>
      <c r="S142" s="5">
        <v>2</v>
      </c>
      <c r="T142" s="5">
        <v>5</v>
      </c>
    </row>
    <row r="143" spans="1:20">
      <c r="A143" s="5" t="s">
        <v>329</v>
      </c>
      <c r="B143" s="5" t="s">
        <v>330</v>
      </c>
      <c r="C143" s="6">
        <v>44943</v>
      </c>
      <c r="D143" s="6" t="str">
        <f t="shared" si="5"/>
        <v>Tuesday</v>
      </c>
      <c r="E143" s="5">
        <v>41</v>
      </c>
      <c r="F143" s="5" t="str">
        <f t="shared" si="4"/>
        <v>Millennials</v>
      </c>
      <c r="G143" s="5" t="s">
        <v>20</v>
      </c>
      <c r="H143" s="5" t="s">
        <v>36</v>
      </c>
      <c r="I143" s="5" t="s">
        <v>22</v>
      </c>
      <c r="J143" s="5">
        <v>107.19</v>
      </c>
      <c r="K143" s="5">
        <v>3</v>
      </c>
      <c r="L143" s="5">
        <v>0</v>
      </c>
      <c r="M143" s="5">
        <v>321.57</v>
      </c>
      <c r="N143" s="5" t="s">
        <v>29</v>
      </c>
      <c r="O143" s="5" t="s">
        <v>42</v>
      </c>
      <c r="P143" s="5">
        <v>4</v>
      </c>
      <c r="Q143" s="5">
        <v>7</v>
      </c>
      <c r="R143" s="5" t="b">
        <v>0</v>
      </c>
      <c r="S143" s="5">
        <v>8</v>
      </c>
      <c r="T143" s="5">
        <v>2</v>
      </c>
    </row>
    <row r="144" spans="1:20">
      <c r="A144" s="5" t="s">
        <v>331</v>
      </c>
      <c r="B144" s="5" t="s">
        <v>332</v>
      </c>
      <c r="C144" s="6">
        <v>44943</v>
      </c>
      <c r="D144" s="6" t="str">
        <f t="shared" si="5"/>
        <v>Tuesday</v>
      </c>
      <c r="E144" s="5">
        <v>41</v>
      </c>
      <c r="F144" s="5" t="str">
        <f t="shared" si="4"/>
        <v>Millennials</v>
      </c>
      <c r="G144" s="5" t="s">
        <v>27</v>
      </c>
      <c r="H144" s="5" t="s">
        <v>36</v>
      </c>
      <c r="I144" s="5" t="s">
        <v>67</v>
      </c>
      <c r="J144" s="5">
        <v>724.84</v>
      </c>
      <c r="K144" s="5">
        <v>3</v>
      </c>
      <c r="L144" s="5">
        <v>140.57</v>
      </c>
      <c r="M144" s="5">
        <v>2033.95</v>
      </c>
      <c r="N144" s="5" t="s">
        <v>49</v>
      </c>
      <c r="O144" s="5" t="s">
        <v>42</v>
      </c>
      <c r="P144" s="5">
        <v>7</v>
      </c>
      <c r="Q144" s="5">
        <v>9</v>
      </c>
      <c r="R144" s="5" t="b">
        <v>1</v>
      </c>
      <c r="S144" s="5">
        <v>8</v>
      </c>
      <c r="T144" s="5">
        <v>3</v>
      </c>
    </row>
    <row r="145" spans="1:20">
      <c r="A145" s="5" t="s">
        <v>333</v>
      </c>
      <c r="B145" s="5" t="s">
        <v>334</v>
      </c>
      <c r="C145" s="6">
        <v>44943</v>
      </c>
      <c r="D145" s="6" t="str">
        <f t="shared" si="5"/>
        <v>Tuesday</v>
      </c>
      <c r="E145" s="5">
        <v>38</v>
      </c>
      <c r="F145" s="5" t="str">
        <f t="shared" si="4"/>
        <v>Millennials</v>
      </c>
      <c r="G145" s="5" t="s">
        <v>20</v>
      </c>
      <c r="H145" s="5" t="s">
        <v>36</v>
      </c>
      <c r="I145" s="5" t="s">
        <v>45</v>
      </c>
      <c r="J145" s="5">
        <v>207.5</v>
      </c>
      <c r="K145" s="5">
        <v>1</v>
      </c>
      <c r="L145" s="5">
        <v>0</v>
      </c>
      <c r="M145" s="5">
        <v>207.5</v>
      </c>
      <c r="N145" s="5" t="s">
        <v>29</v>
      </c>
      <c r="O145" s="5" t="s">
        <v>24</v>
      </c>
      <c r="P145" s="5">
        <v>10</v>
      </c>
      <c r="Q145" s="5">
        <v>6</v>
      </c>
      <c r="R145" s="5" t="b">
        <v>1</v>
      </c>
      <c r="S145" s="5">
        <v>10</v>
      </c>
      <c r="T145" s="5">
        <v>4</v>
      </c>
    </row>
    <row r="146" spans="1:20">
      <c r="A146" s="5" t="s">
        <v>335</v>
      </c>
      <c r="B146" s="5" t="s">
        <v>336</v>
      </c>
      <c r="C146" s="6">
        <v>44943</v>
      </c>
      <c r="D146" s="6" t="str">
        <f t="shared" si="5"/>
        <v>Tuesday</v>
      </c>
      <c r="E146" s="5">
        <v>31</v>
      </c>
      <c r="F146" s="5" t="str">
        <f t="shared" si="4"/>
        <v>Millennials</v>
      </c>
      <c r="G146" s="5" t="s">
        <v>27</v>
      </c>
      <c r="H146" s="5" t="s">
        <v>36</v>
      </c>
      <c r="I146" s="5" t="s">
        <v>40</v>
      </c>
      <c r="J146" s="5">
        <v>1397.66</v>
      </c>
      <c r="K146" s="5">
        <v>1</v>
      </c>
      <c r="L146" s="5">
        <v>0</v>
      </c>
      <c r="M146" s="5">
        <v>1397.66</v>
      </c>
      <c r="N146" s="5" t="s">
        <v>29</v>
      </c>
      <c r="O146" s="5" t="s">
        <v>42</v>
      </c>
      <c r="P146" s="5">
        <v>3</v>
      </c>
      <c r="Q146" s="5">
        <v>13</v>
      </c>
      <c r="R146" s="5" t="b">
        <v>0</v>
      </c>
      <c r="S146" s="5">
        <v>7</v>
      </c>
      <c r="T146" s="5">
        <v>4</v>
      </c>
    </row>
    <row r="147" spans="1:20">
      <c r="A147" s="5" t="s">
        <v>337</v>
      </c>
      <c r="B147" s="5" t="s">
        <v>338</v>
      </c>
      <c r="C147" s="6">
        <v>44943</v>
      </c>
      <c r="D147" s="6" t="str">
        <f t="shared" si="5"/>
        <v>Tuesday</v>
      </c>
      <c r="E147" s="5">
        <v>43</v>
      </c>
      <c r="F147" s="5" t="str">
        <f t="shared" si="4"/>
        <v>Millennials</v>
      </c>
      <c r="G147" s="5" t="s">
        <v>27</v>
      </c>
      <c r="H147" s="5" t="s">
        <v>88</v>
      </c>
      <c r="I147" s="5" t="s">
        <v>45</v>
      </c>
      <c r="J147" s="5">
        <v>286.68</v>
      </c>
      <c r="K147" s="5">
        <v>2</v>
      </c>
      <c r="L147" s="5">
        <v>0</v>
      </c>
      <c r="M147" s="5">
        <v>573.36</v>
      </c>
      <c r="N147" s="5" t="s">
        <v>49</v>
      </c>
      <c r="O147" s="5" t="s">
        <v>42</v>
      </c>
      <c r="P147" s="5">
        <v>28</v>
      </c>
      <c r="Q147" s="5">
        <v>6</v>
      </c>
      <c r="R147" s="5" t="b">
        <v>1</v>
      </c>
      <c r="S147" s="5">
        <v>5</v>
      </c>
      <c r="T147" s="5">
        <v>5</v>
      </c>
    </row>
    <row r="148" spans="1:20">
      <c r="A148" s="5" t="s">
        <v>339</v>
      </c>
      <c r="B148" s="5" t="s">
        <v>340</v>
      </c>
      <c r="C148" s="6">
        <v>44943</v>
      </c>
      <c r="D148" s="6" t="str">
        <f t="shared" si="5"/>
        <v>Tuesday</v>
      </c>
      <c r="E148" s="5">
        <v>38</v>
      </c>
      <c r="F148" s="5" t="str">
        <f t="shared" si="4"/>
        <v>Millennials</v>
      </c>
      <c r="G148" s="5" t="s">
        <v>27</v>
      </c>
      <c r="H148" s="5" t="s">
        <v>83</v>
      </c>
      <c r="I148" s="5" t="s">
        <v>37</v>
      </c>
      <c r="J148" s="5">
        <v>2594.0700000000002</v>
      </c>
      <c r="K148" s="5">
        <v>3</v>
      </c>
      <c r="L148" s="5">
        <v>344.88</v>
      </c>
      <c r="M148" s="5">
        <v>7437.33</v>
      </c>
      <c r="N148" s="5" t="s">
        <v>23</v>
      </c>
      <c r="O148" s="5" t="s">
        <v>24</v>
      </c>
      <c r="P148" s="5">
        <v>14</v>
      </c>
      <c r="Q148" s="5">
        <v>3</v>
      </c>
      <c r="R148" s="5" t="b">
        <v>0</v>
      </c>
      <c r="S148" s="5">
        <v>4</v>
      </c>
      <c r="T148" s="5">
        <v>4</v>
      </c>
    </row>
    <row r="149" spans="1:20">
      <c r="A149" s="5" t="s">
        <v>341</v>
      </c>
      <c r="B149" s="5" t="s">
        <v>342</v>
      </c>
      <c r="C149" s="6">
        <v>44943</v>
      </c>
      <c r="D149" s="6" t="str">
        <f t="shared" si="5"/>
        <v>Tuesday</v>
      </c>
      <c r="E149" s="5">
        <v>32</v>
      </c>
      <c r="F149" s="5" t="str">
        <f t="shared" si="4"/>
        <v>Millennials</v>
      </c>
      <c r="G149" s="5" t="s">
        <v>20</v>
      </c>
      <c r="H149" s="5" t="s">
        <v>32</v>
      </c>
      <c r="I149" s="5" t="s">
        <v>40</v>
      </c>
      <c r="J149" s="5">
        <v>194.41</v>
      </c>
      <c r="K149" s="5">
        <v>1</v>
      </c>
      <c r="L149" s="5">
        <v>0</v>
      </c>
      <c r="M149" s="5">
        <v>194.41</v>
      </c>
      <c r="N149" s="5" t="s">
        <v>29</v>
      </c>
      <c r="O149" s="5" t="s">
        <v>24</v>
      </c>
      <c r="P149" s="5">
        <v>26</v>
      </c>
      <c r="Q149" s="5">
        <v>8</v>
      </c>
      <c r="R149" s="5" t="b">
        <v>0</v>
      </c>
      <c r="S149" s="5">
        <v>8</v>
      </c>
      <c r="T149" s="5">
        <v>3</v>
      </c>
    </row>
    <row r="150" spans="1:20">
      <c r="A150" s="5" t="s">
        <v>343</v>
      </c>
      <c r="B150" s="5" t="s">
        <v>344</v>
      </c>
      <c r="C150" s="6">
        <v>44943</v>
      </c>
      <c r="D150" s="6" t="str">
        <f t="shared" si="5"/>
        <v>Tuesday</v>
      </c>
      <c r="E150" s="5">
        <v>22</v>
      </c>
      <c r="F150" s="5" t="str">
        <f t="shared" si="4"/>
        <v>Gen Z</v>
      </c>
      <c r="G150" s="5" t="s">
        <v>20</v>
      </c>
      <c r="H150" s="5" t="s">
        <v>32</v>
      </c>
      <c r="I150" s="5" t="s">
        <v>67</v>
      </c>
      <c r="J150" s="5">
        <v>234.69</v>
      </c>
      <c r="K150" s="5">
        <v>1</v>
      </c>
      <c r="L150" s="5">
        <v>0</v>
      </c>
      <c r="M150" s="5">
        <v>234.69</v>
      </c>
      <c r="N150" s="5" t="s">
        <v>41</v>
      </c>
      <c r="O150" s="5" t="s">
        <v>24</v>
      </c>
      <c r="P150" s="5">
        <v>15</v>
      </c>
      <c r="Q150" s="5">
        <v>7</v>
      </c>
      <c r="R150" s="5" t="b">
        <v>0</v>
      </c>
      <c r="S150" s="5">
        <v>11</v>
      </c>
      <c r="T150" s="5">
        <v>1</v>
      </c>
    </row>
    <row r="151" spans="1:20">
      <c r="A151" s="5" t="s">
        <v>345</v>
      </c>
      <c r="B151" s="5" t="s">
        <v>346</v>
      </c>
      <c r="C151" s="6">
        <v>44943</v>
      </c>
      <c r="D151" s="6" t="str">
        <f t="shared" si="5"/>
        <v>Tuesday</v>
      </c>
      <c r="E151" s="5">
        <v>28</v>
      </c>
      <c r="F151" s="5" t="str">
        <f t="shared" si="4"/>
        <v>Millennials</v>
      </c>
      <c r="G151" s="5" t="s">
        <v>27</v>
      </c>
      <c r="H151" s="5" t="s">
        <v>36</v>
      </c>
      <c r="I151" s="5" t="s">
        <v>22</v>
      </c>
      <c r="J151" s="5">
        <v>198.69</v>
      </c>
      <c r="K151" s="5">
        <v>3</v>
      </c>
      <c r="L151" s="5">
        <v>0</v>
      </c>
      <c r="M151" s="5">
        <v>596.07000000000005</v>
      </c>
      <c r="N151" s="5" t="s">
        <v>49</v>
      </c>
      <c r="O151" s="5" t="s">
        <v>24</v>
      </c>
      <c r="P151" s="5">
        <v>8</v>
      </c>
      <c r="Q151" s="5">
        <v>5</v>
      </c>
      <c r="R151" s="5" t="b">
        <v>0</v>
      </c>
      <c r="S151" s="5">
        <v>6</v>
      </c>
      <c r="T151" s="5">
        <v>3</v>
      </c>
    </row>
    <row r="152" spans="1:20">
      <c r="A152" s="5" t="s">
        <v>347</v>
      </c>
      <c r="B152" s="5" t="s">
        <v>348</v>
      </c>
      <c r="C152" s="6">
        <v>44943</v>
      </c>
      <c r="D152" s="6" t="str">
        <f t="shared" si="5"/>
        <v>Tuesday</v>
      </c>
      <c r="E152" s="5">
        <v>21</v>
      </c>
      <c r="F152" s="5" t="str">
        <f t="shared" si="4"/>
        <v>Gen Z</v>
      </c>
      <c r="G152" s="5" t="s">
        <v>20</v>
      </c>
      <c r="H152" s="5" t="s">
        <v>178</v>
      </c>
      <c r="I152" s="5" t="s">
        <v>45</v>
      </c>
      <c r="J152" s="5">
        <v>167.43</v>
      </c>
      <c r="K152" s="5">
        <v>5</v>
      </c>
      <c r="L152" s="5">
        <v>0</v>
      </c>
      <c r="M152" s="5">
        <v>837.15</v>
      </c>
      <c r="N152" s="5" t="s">
        <v>41</v>
      </c>
      <c r="O152" s="5" t="s">
        <v>24</v>
      </c>
      <c r="P152" s="5">
        <v>20</v>
      </c>
      <c r="Q152" s="5">
        <v>9</v>
      </c>
      <c r="R152" s="5" t="b">
        <v>1</v>
      </c>
      <c r="S152" s="5">
        <v>8</v>
      </c>
      <c r="T152" s="5">
        <v>1</v>
      </c>
    </row>
    <row r="153" spans="1:20">
      <c r="A153" s="5" t="s">
        <v>349</v>
      </c>
      <c r="B153" s="5" t="s">
        <v>350</v>
      </c>
      <c r="C153" s="6">
        <v>44943</v>
      </c>
      <c r="D153" s="6" t="str">
        <f t="shared" si="5"/>
        <v>Tuesday</v>
      </c>
      <c r="E153" s="5">
        <v>29</v>
      </c>
      <c r="F153" s="5" t="str">
        <f t="shared" si="4"/>
        <v>Millennials</v>
      </c>
      <c r="G153" s="5" t="s">
        <v>20</v>
      </c>
      <c r="H153" s="5" t="s">
        <v>48</v>
      </c>
      <c r="I153" s="5" t="s">
        <v>45</v>
      </c>
      <c r="J153" s="5">
        <v>140.69</v>
      </c>
      <c r="K153" s="5">
        <v>1</v>
      </c>
      <c r="L153" s="5">
        <v>0</v>
      </c>
      <c r="M153" s="5">
        <v>140.69</v>
      </c>
      <c r="N153" s="5" t="s">
        <v>29</v>
      </c>
      <c r="O153" s="5" t="s">
        <v>24</v>
      </c>
      <c r="P153" s="5">
        <v>22</v>
      </c>
      <c r="Q153" s="5">
        <v>12</v>
      </c>
      <c r="R153" s="5" t="b">
        <v>0</v>
      </c>
      <c r="S153" s="5">
        <v>5</v>
      </c>
      <c r="T153" s="5">
        <v>5</v>
      </c>
    </row>
    <row r="154" spans="1:20">
      <c r="A154" s="5" t="s">
        <v>351</v>
      </c>
      <c r="B154" s="5" t="s">
        <v>352</v>
      </c>
      <c r="C154" s="6">
        <v>44943</v>
      </c>
      <c r="D154" s="6" t="str">
        <f t="shared" si="5"/>
        <v>Tuesday</v>
      </c>
      <c r="E154" s="5">
        <v>61</v>
      </c>
      <c r="F154" s="5" t="str">
        <f t="shared" si="4"/>
        <v>Gen X/Boomers</v>
      </c>
      <c r="G154" s="5" t="s">
        <v>20</v>
      </c>
      <c r="H154" s="5" t="s">
        <v>36</v>
      </c>
      <c r="I154" s="5" t="s">
        <v>22</v>
      </c>
      <c r="J154" s="5">
        <v>185.75</v>
      </c>
      <c r="K154" s="5">
        <v>1</v>
      </c>
      <c r="L154" s="5">
        <v>0</v>
      </c>
      <c r="M154" s="5">
        <v>185.75</v>
      </c>
      <c r="N154" s="5" t="s">
        <v>49</v>
      </c>
      <c r="O154" s="5" t="s">
        <v>24</v>
      </c>
      <c r="P154" s="5">
        <v>24</v>
      </c>
      <c r="Q154" s="5">
        <v>12</v>
      </c>
      <c r="R154" s="5" t="b">
        <v>0</v>
      </c>
      <c r="S154" s="5">
        <v>10</v>
      </c>
      <c r="T154" s="5">
        <v>5</v>
      </c>
    </row>
    <row r="155" spans="1:20">
      <c r="A155" s="5" t="s">
        <v>353</v>
      </c>
      <c r="B155" s="5" t="s">
        <v>354</v>
      </c>
      <c r="C155" s="6">
        <v>44943</v>
      </c>
      <c r="D155" s="6" t="str">
        <f t="shared" si="5"/>
        <v>Tuesday</v>
      </c>
      <c r="E155" s="5">
        <v>22</v>
      </c>
      <c r="F155" s="5" t="str">
        <f t="shared" si="4"/>
        <v>Gen Z</v>
      </c>
      <c r="G155" s="5" t="s">
        <v>27</v>
      </c>
      <c r="H155" s="5" t="s">
        <v>32</v>
      </c>
      <c r="I155" s="5" t="s">
        <v>45</v>
      </c>
      <c r="J155" s="5">
        <v>67.22</v>
      </c>
      <c r="K155" s="5">
        <v>1</v>
      </c>
      <c r="L155" s="5">
        <v>0</v>
      </c>
      <c r="M155" s="5">
        <v>67.22</v>
      </c>
      <c r="N155" s="5" t="s">
        <v>99</v>
      </c>
      <c r="O155" s="5" t="s">
        <v>24</v>
      </c>
      <c r="P155" s="5">
        <v>3</v>
      </c>
      <c r="Q155" s="5">
        <v>8</v>
      </c>
      <c r="R155" s="5" t="b">
        <v>1</v>
      </c>
      <c r="S155" s="5">
        <v>6</v>
      </c>
      <c r="T155" s="5">
        <v>5</v>
      </c>
    </row>
    <row r="156" spans="1:20">
      <c r="A156" s="5" t="s">
        <v>355</v>
      </c>
      <c r="B156" s="5" t="s">
        <v>356</v>
      </c>
      <c r="C156" s="6">
        <v>44944</v>
      </c>
      <c r="D156" s="6" t="str">
        <f t="shared" si="5"/>
        <v>Wednesday</v>
      </c>
      <c r="E156" s="5">
        <v>38</v>
      </c>
      <c r="F156" s="5" t="str">
        <f t="shared" si="4"/>
        <v>Millennials</v>
      </c>
      <c r="G156" s="5" t="s">
        <v>20</v>
      </c>
      <c r="H156" s="5" t="s">
        <v>32</v>
      </c>
      <c r="I156" s="5" t="s">
        <v>37</v>
      </c>
      <c r="J156" s="5">
        <v>1597.61</v>
      </c>
      <c r="K156" s="5">
        <v>2</v>
      </c>
      <c r="L156" s="5">
        <v>407.84</v>
      </c>
      <c r="M156" s="5">
        <v>2787.38</v>
      </c>
      <c r="N156" s="5" t="s">
        <v>23</v>
      </c>
      <c r="O156" s="5" t="s">
        <v>24</v>
      </c>
      <c r="P156" s="5">
        <v>7</v>
      </c>
      <c r="Q156" s="5">
        <v>10</v>
      </c>
      <c r="R156" s="5" t="b">
        <v>1</v>
      </c>
      <c r="S156" s="5">
        <v>7</v>
      </c>
      <c r="T156" s="5">
        <v>5</v>
      </c>
    </row>
    <row r="157" spans="1:20">
      <c r="A157" s="5" t="s">
        <v>357</v>
      </c>
      <c r="B157" s="5" t="s">
        <v>358</v>
      </c>
      <c r="C157" s="6">
        <v>44944</v>
      </c>
      <c r="D157" s="6" t="str">
        <f t="shared" si="5"/>
        <v>Wednesday</v>
      </c>
      <c r="E157" s="5">
        <v>26</v>
      </c>
      <c r="F157" s="5" t="str">
        <f t="shared" si="4"/>
        <v>Millennials</v>
      </c>
      <c r="G157" s="5" t="s">
        <v>27</v>
      </c>
      <c r="H157" s="5" t="s">
        <v>32</v>
      </c>
      <c r="I157" s="5" t="s">
        <v>70</v>
      </c>
      <c r="J157" s="5">
        <v>51.77</v>
      </c>
      <c r="K157" s="5">
        <v>1</v>
      </c>
      <c r="L157" s="5">
        <v>4.1900000000000004</v>
      </c>
      <c r="M157" s="5">
        <v>47.58</v>
      </c>
      <c r="N157" s="5" t="s">
        <v>23</v>
      </c>
      <c r="O157" s="5" t="s">
        <v>42</v>
      </c>
      <c r="P157" s="5">
        <v>13</v>
      </c>
      <c r="Q157" s="5">
        <v>10</v>
      </c>
      <c r="R157" s="5" t="b">
        <v>0</v>
      </c>
      <c r="S157" s="5">
        <v>2</v>
      </c>
      <c r="T157" s="5">
        <v>5</v>
      </c>
    </row>
    <row r="158" spans="1:20">
      <c r="A158" s="5" t="s">
        <v>359</v>
      </c>
      <c r="B158" s="5" t="s">
        <v>360</v>
      </c>
      <c r="C158" s="6">
        <v>44944</v>
      </c>
      <c r="D158" s="6" t="str">
        <f t="shared" si="5"/>
        <v>Wednesday</v>
      </c>
      <c r="E158" s="5">
        <v>35</v>
      </c>
      <c r="F158" s="5" t="str">
        <f t="shared" si="4"/>
        <v>Millennials</v>
      </c>
      <c r="G158" s="5" t="s">
        <v>20</v>
      </c>
      <c r="H158" s="5" t="s">
        <v>36</v>
      </c>
      <c r="I158" s="5" t="s">
        <v>45</v>
      </c>
      <c r="J158" s="5">
        <v>128.91</v>
      </c>
      <c r="K158" s="5">
        <v>2</v>
      </c>
      <c r="L158" s="5">
        <v>11.32</v>
      </c>
      <c r="M158" s="5">
        <v>246.5</v>
      </c>
      <c r="N158" s="5" t="s">
        <v>29</v>
      </c>
      <c r="O158" s="5" t="s">
        <v>42</v>
      </c>
      <c r="P158" s="5">
        <v>20</v>
      </c>
      <c r="Q158" s="5">
        <v>5</v>
      </c>
      <c r="R158" s="5" t="b">
        <v>0</v>
      </c>
      <c r="S158" s="5">
        <v>6</v>
      </c>
      <c r="T158" s="5">
        <v>4</v>
      </c>
    </row>
    <row r="159" spans="1:20">
      <c r="A159" s="5" t="s">
        <v>361</v>
      </c>
      <c r="B159" s="5" t="s">
        <v>362</v>
      </c>
      <c r="C159" s="6">
        <v>44944</v>
      </c>
      <c r="D159" s="6" t="str">
        <f t="shared" si="5"/>
        <v>Wednesday</v>
      </c>
      <c r="E159" s="5">
        <v>44</v>
      </c>
      <c r="F159" s="5" t="str">
        <f t="shared" si="4"/>
        <v>Millennials</v>
      </c>
      <c r="G159" s="5" t="s">
        <v>27</v>
      </c>
      <c r="H159" s="5" t="s">
        <v>124</v>
      </c>
      <c r="I159" s="5" t="s">
        <v>40</v>
      </c>
      <c r="J159" s="5">
        <v>701.14</v>
      </c>
      <c r="K159" s="5">
        <v>5</v>
      </c>
      <c r="L159" s="5">
        <v>0</v>
      </c>
      <c r="M159" s="5">
        <v>3505.7</v>
      </c>
      <c r="N159" s="5" t="s">
        <v>29</v>
      </c>
      <c r="O159" s="5" t="s">
        <v>24</v>
      </c>
      <c r="P159" s="5">
        <v>17</v>
      </c>
      <c r="Q159" s="5">
        <v>7</v>
      </c>
      <c r="R159" s="5" t="b">
        <v>0</v>
      </c>
      <c r="S159" s="5">
        <v>1</v>
      </c>
      <c r="T159" s="5">
        <v>5</v>
      </c>
    </row>
    <row r="160" spans="1:20">
      <c r="A160" s="5" t="s">
        <v>363</v>
      </c>
      <c r="B160" s="5" t="s">
        <v>364</v>
      </c>
      <c r="C160" s="6">
        <v>44945</v>
      </c>
      <c r="D160" s="6" t="str">
        <f t="shared" si="5"/>
        <v>Thursday</v>
      </c>
      <c r="E160" s="5">
        <v>19</v>
      </c>
      <c r="F160" s="5" t="str">
        <f t="shared" si="4"/>
        <v>Gen Z</v>
      </c>
      <c r="G160" s="5" t="s">
        <v>27</v>
      </c>
      <c r="H160" s="5" t="s">
        <v>36</v>
      </c>
      <c r="I160" s="5" t="s">
        <v>33</v>
      </c>
      <c r="J160" s="5">
        <v>104.98</v>
      </c>
      <c r="K160" s="5">
        <v>1</v>
      </c>
      <c r="L160" s="5">
        <v>0</v>
      </c>
      <c r="M160" s="5">
        <v>104.98</v>
      </c>
      <c r="N160" s="5" t="s">
        <v>99</v>
      </c>
      <c r="O160" s="5" t="s">
        <v>24</v>
      </c>
      <c r="P160" s="5">
        <v>13</v>
      </c>
      <c r="Q160" s="5">
        <v>5</v>
      </c>
      <c r="R160" s="5" t="b">
        <v>1</v>
      </c>
      <c r="S160" s="5">
        <v>6</v>
      </c>
      <c r="T160" s="5">
        <v>4</v>
      </c>
    </row>
    <row r="161" spans="1:20">
      <c r="A161" s="5" t="s">
        <v>365</v>
      </c>
      <c r="B161" s="5" t="s">
        <v>366</v>
      </c>
      <c r="C161" s="6">
        <v>44945</v>
      </c>
      <c r="D161" s="6" t="str">
        <f t="shared" si="5"/>
        <v>Thursday</v>
      </c>
      <c r="E161" s="5">
        <v>46</v>
      </c>
      <c r="F161" s="5" t="str">
        <f t="shared" si="4"/>
        <v>Gen X/Boomers</v>
      </c>
      <c r="G161" s="5" t="s">
        <v>27</v>
      </c>
      <c r="H161" s="5" t="s">
        <v>36</v>
      </c>
      <c r="I161" s="5" t="s">
        <v>37</v>
      </c>
      <c r="J161" s="5">
        <v>547.73</v>
      </c>
      <c r="K161" s="5">
        <v>4</v>
      </c>
      <c r="L161" s="5">
        <v>111.92</v>
      </c>
      <c r="M161" s="5">
        <v>2079</v>
      </c>
      <c r="N161" s="5" t="s">
        <v>29</v>
      </c>
      <c r="O161" s="5" t="s">
        <v>42</v>
      </c>
      <c r="P161" s="5">
        <v>11</v>
      </c>
      <c r="Q161" s="5">
        <v>9</v>
      </c>
      <c r="R161" s="5" t="b">
        <v>0</v>
      </c>
      <c r="S161" s="5">
        <v>4</v>
      </c>
      <c r="T161" s="5">
        <v>1</v>
      </c>
    </row>
    <row r="162" spans="1:20">
      <c r="A162" s="5" t="s">
        <v>367</v>
      </c>
      <c r="B162" s="5" t="s">
        <v>368</v>
      </c>
      <c r="C162" s="6">
        <v>44945</v>
      </c>
      <c r="D162" s="6" t="str">
        <f t="shared" si="5"/>
        <v>Thursday</v>
      </c>
      <c r="E162" s="5">
        <v>18</v>
      </c>
      <c r="F162" s="5" t="str">
        <f t="shared" si="4"/>
        <v>Gen Z</v>
      </c>
      <c r="G162" s="5" t="s">
        <v>20</v>
      </c>
      <c r="H162" s="5" t="s">
        <v>36</v>
      </c>
      <c r="I162" s="5" t="s">
        <v>45</v>
      </c>
      <c r="J162" s="5">
        <v>143.88</v>
      </c>
      <c r="K162" s="5">
        <v>2</v>
      </c>
      <c r="L162" s="5">
        <v>0</v>
      </c>
      <c r="M162" s="5">
        <v>287.76</v>
      </c>
      <c r="N162" s="5" t="s">
        <v>29</v>
      </c>
      <c r="O162" s="5" t="s">
        <v>24</v>
      </c>
      <c r="P162" s="5">
        <v>1</v>
      </c>
      <c r="Q162" s="5">
        <v>6</v>
      </c>
      <c r="R162" s="5" t="b">
        <v>1</v>
      </c>
      <c r="S162" s="5">
        <v>4</v>
      </c>
      <c r="T162" s="5">
        <v>4</v>
      </c>
    </row>
    <row r="163" spans="1:20">
      <c r="A163" s="5" t="s">
        <v>369</v>
      </c>
      <c r="B163" s="5" t="s">
        <v>370</v>
      </c>
      <c r="C163" s="6">
        <v>44945</v>
      </c>
      <c r="D163" s="6" t="str">
        <f t="shared" si="5"/>
        <v>Thursday</v>
      </c>
      <c r="E163" s="5">
        <v>35</v>
      </c>
      <c r="F163" s="5" t="str">
        <f t="shared" si="4"/>
        <v>Millennials</v>
      </c>
      <c r="G163" s="5" t="s">
        <v>27</v>
      </c>
      <c r="H163" s="5" t="s">
        <v>32</v>
      </c>
      <c r="I163" s="5" t="s">
        <v>40</v>
      </c>
      <c r="J163" s="5">
        <v>87.07</v>
      </c>
      <c r="K163" s="5">
        <v>3</v>
      </c>
      <c r="L163" s="5">
        <v>0</v>
      </c>
      <c r="M163" s="5">
        <v>261.20999999999998</v>
      </c>
      <c r="N163" s="5" t="s">
        <v>23</v>
      </c>
      <c r="O163" s="5" t="s">
        <v>42</v>
      </c>
      <c r="P163" s="5">
        <v>6</v>
      </c>
      <c r="Q163" s="5">
        <v>8</v>
      </c>
      <c r="R163" s="5" t="b">
        <v>0</v>
      </c>
      <c r="S163" s="5">
        <v>6</v>
      </c>
      <c r="T163" s="5">
        <v>3</v>
      </c>
    </row>
    <row r="164" spans="1:20">
      <c r="A164" s="5" t="s">
        <v>371</v>
      </c>
      <c r="B164" s="5" t="s">
        <v>372</v>
      </c>
      <c r="C164" s="6">
        <v>44945</v>
      </c>
      <c r="D164" s="6" t="str">
        <f t="shared" si="5"/>
        <v>Thursday</v>
      </c>
      <c r="E164" s="5">
        <v>34</v>
      </c>
      <c r="F164" s="5" t="str">
        <f t="shared" si="4"/>
        <v>Millennials</v>
      </c>
      <c r="G164" s="5" t="s">
        <v>20</v>
      </c>
      <c r="H164" s="5" t="s">
        <v>83</v>
      </c>
      <c r="I164" s="5" t="s">
        <v>33</v>
      </c>
      <c r="J164" s="5">
        <v>61.34</v>
      </c>
      <c r="K164" s="5">
        <v>1</v>
      </c>
      <c r="L164" s="5">
        <v>13.77</v>
      </c>
      <c r="M164" s="5">
        <v>47.57</v>
      </c>
      <c r="N164" s="5" t="s">
        <v>49</v>
      </c>
      <c r="O164" s="5" t="s">
        <v>42</v>
      </c>
      <c r="P164" s="5">
        <v>27</v>
      </c>
      <c r="Q164" s="5">
        <v>9</v>
      </c>
      <c r="R164" s="5" t="b">
        <v>0</v>
      </c>
      <c r="S164" s="5">
        <v>16</v>
      </c>
      <c r="T164" s="5">
        <v>4</v>
      </c>
    </row>
    <row r="165" spans="1:20">
      <c r="A165" s="5" t="s">
        <v>373</v>
      </c>
      <c r="B165" s="5" t="s">
        <v>374</v>
      </c>
      <c r="C165" s="6">
        <v>44945</v>
      </c>
      <c r="D165" s="6" t="str">
        <f t="shared" si="5"/>
        <v>Thursday</v>
      </c>
      <c r="E165" s="5">
        <v>24</v>
      </c>
      <c r="F165" s="5" t="str">
        <f t="shared" si="4"/>
        <v>Gen Z</v>
      </c>
      <c r="G165" s="5" t="s">
        <v>27</v>
      </c>
      <c r="H165" s="5" t="s">
        <v>48</v>
      </c>
      <c r="I165" s="5" t="s">
        <v>33</v>
      </c>
      <c r="J165" s="5">
        <v>79.58</v>
      </c>
      <c r="K165" s="5">
        <v>2</v>
      </c>
      <c r="L165" s="5">
        <v>0</v>
      </c>
      <c r="M165" s="5">
        <v>159.16</v>
      </c>
      <c r="N165" s="5" t="s">
        <v>49</v>
      </c>
      <c r="O165" s="5" t="s">
        <v>24</v>
      </c>
      <c r="P165" s="5">
        <v>18</v>
      </c>
      <c r="Q165" s="5">
        <v>10</v>
      </c>
      <c r="R165" s="5" t="b">
        <v>1</v>
      </c>
      <c r="S165" s="5">
        <v>4</v>
      </c>
      <c r="T165" s="5">
        <v>5</v>
      </c>
    </row>
    <row r="166" spans="1:20">
      <c r="A166" s="5" t="s">
        <v>375</v>
      </c>
      <c r="B166" s="5" t="s">
        <v>376</v>
      </c>
      <c r="C166" s="6">
        <v>44945</v>
      </c>
      <c r="D166" s="6" t="str">
        <f t="shared" si="5"/>
        <v>Thursday</v>
      </c>
      <c r="E166" s="5">
        <v>29</v>
      </c>
      <c r="F166" s="5" t="str">
        <f t="shared" si="4"/>
        <v>Millennials</v>
      </c>
      <c r="G166" s="5" t="s">
        <v>20</v>
      </c>
      <c r="H166" s="5" t="s">
        <v>36</v>
      </c>
      <c r="I166" s="5" t="s">
        <v>40</v>
      </c>
      <c r="J166" s="5">
        <v>521.91</v>
      </c>
      <c r="K166" s="5">
        <v>1</v>
      </c>
      <c r="L166" s="5">
        <v>0</v>
      </c>
      <c r="M166" s="5">
        <v>521.91</v>
      </c>
      <c r="N166" s="5" t="s">
        <v>29</v>
      </c>
      <c r="O166" s="5" t="s">
        <v>24</v>
      </c>
      <c r="P166" s="5">
        <v>27</v>
      </c>
      <c r="Q166" s="5">
        <v>10</v>
      </c>
      <c r="R166" s="5" t="b">
        <v>1</v>
      </c>
      <c r="S166" s="5">
        <v>6</v>
      </c>
      <c r="T166" s="5">
        <v>4</v>
      </c>
    </row>
    <row r="167" spans="1:20">
      <c r="A167" s="5" t="s">
        <v>377</v>
      </c>
      <c r="B167" s="5" t="s">
        <v>378</v>
      </c>
      <c r="C167" s="6">
        <v>44945</v>
      </c>
      <c r="D167" s="6" t="str">
        <f t="shared" si="5"/>
        <v>Thursday</v>
      </c>
      <c r="E167" s="5">
        <v>19</v>
      </c>
      <c r="F167" s="5" t="str">
        <f t="shared" si="4"/>
        <v>Gen Z</v>
      </c>
      <c r="G167" s="5" t="s">
        <v>20</v>
      </c>
      <c r="H167" s="5" t="s">
        <v>36</v>
      </c>
      <c r="I167" s="5" t="s">
        <v>70</v>
      </c>
      <c r="J167" s="5">
        <v>62.09</v>
      </c>
      <c r="K167" s="5">
        <v>2</v>
      </c>
      <c r="L167" s="5">
        <v>0</v>
      </c>
      <c r="M167" s="5">
        <v>124.18</v>
      </c>
      <c r="N167" s="5" t="s">
        <v>49</v>
      </c>
      <c r="O167" s="5" t="s">
        <v>24</v>
      </c>
      <c r="P167" s="5">
        <v>23</v>
      </c>
      <c r="Q167" s="5">
        <v>11</v>
      </c>
      <c r="R167" s="5" t="b">
        <v>1</v>
      </c>
      <c r="S167" s="5">
        <v>12</v>
      </c>
      <c r="T167" s="5">
        <v>5</v>
      </c>
    </row>
    <row r="168" spans="1:20">
      <c r="A168" s="5" t="s">
        <v>379</v>
      </c>
      <c r="B168" s="5" t="s">
        <v>380</v>
      </c>
      <c r="C168" s="6">
        <v>44945</v>
      </c>
      <c r="D168" s="6" t="str">
        <f t="shared" si="5"/>
        <v>Thursday</v>
      </c>
      <c r="E168" s="5">
        <v>18</v>
      </c>
      <c r="F168" s="5" t="str">
        <f t="shared" si="4"/>
        <v>Gen Z</v>
      </c>
      <c r="G168" s="5" t="s">
        <v>20</v>
      </c>
      <c r="H168" s="5" t="s">
        <v>32</v>
      </c>
      <c r="I168" s="5" t="s">
        <v>37</v>
      </c>
      <c r="J168" s="5">
        <v>3218.66</v>
      </c>
      <c r="K168" s="5">
        <v>2</v>
      </c>
      <c r="L168" s="5">
        <v>0</v>
      </c>
      <c r="M168" s="5">
        <v>6437.32</v>
      </c>
      <c r="N168" s="5" t="s">
        <v>49</v>
      </c>
      <c r="O168" s="5" t="s">
        <v>24</v>
      </c>
      <c r="P168" s="5">
        <v>19</v>
      </c>
      <c r="Q168" s="5">
        <v>7</v>
      </c>
      <c r="R168" s="5" t="b">
        <v>0</v>
      </c>
      <c r="S168" s="5">
        <v>8</v>
      </c>
      <c r="T168" s="5">
        <v>4</v>
      </c>
    </row>
    <row r="169" spans="1:20">
      <c r="A169" s="5" t="s">
        <v>381</v>
      </c>
      <c r="B169" s="5" t="s">
        <v>382</v>
      </c>
      <c r="C169" s="6">
        <v>44946</v>
      </c>
      <c r="D169" s="6" t="str">
        <f t="shared" si="5"/>
        <v>Friday</v>
      </c>
      <c r="E169" s="5">
        <v>28</v>
      </c>
      <c r="F169" s="5" t="str">
        <f t="shared" si="4"/>
        <v>Millennials</v>
      </c>
      <c r="G169" s="5" t="s">
        <v>20</v>
      </c>
      <c r="H169" s="5" t="s">
        <v>36</v>
      </c>
      <c r="I169" s="5" t="s">
        <v>22</v>
      </c>
      <c r="J169" s="5">
        <v>127.29</v>
      </c>
      <c r="K169" s="5">
        <v>2</v>
      </c>
      <c r="L169" s="5">
        <v>0</v>
      </c>
      <c r="M169" s="5">
        <v>254.58</v>
      </c>
      <c r="N169" s="5" t="s">
        <v>23</v>
      </c>
      <c r="O169" s="5" t="s">
        <v>42</v>
      </c>
      <c r="P169" s="5">
        <v>9</v>
      </c>
      <c r="Q169" s="5">
        <v>15</v>
      </c>
      <c r="R169" s="5" t="b">
        <v>1</v>
      </c>
      <c r="S169" s="5">
        <v>8</v>
      </c>
      <c r="T169" s="5">
        <v>5</v>
      </c>
    </row>
    <row r="170" spans="1:20">
      <c r="A170" s="5" t="s">
        <v>383</v>
      </c>
      <c r="B170" s="5" t="s">
        <v>384</v>
      </c>
      <c r="C170" s="6">
        <v>44946</v>
      </c>
      <c r="D170" s="6" t="str">
        <f t="shared" si="5"/>
        <v>Friday</v>
      </c>
      <c r="E170" s="5">
        <v>28</v>
      </c>
      <c r="F170" s="5" t="str">
        <f t="shared" si="4"/>
        <v>Millennials</v>
      </c>
      <c r="G170" s="5" t="s">
        <v>27</v>
      </c>
      <c r="H170" s="5" t="s">
        <v>32</v>
      </c>
      <c r="I170" s="5" t="s">
        <v>40</v>
      </c>
      <c r="J170" s="5">
        <v>491.27</v>
      </c>
      <c r="K170" s="5">
        <v>1</v>
      </c>
      <c r="L170" s="5">
        <v>0</v>
      </c>
      <c r="M170" s="5">
        <v>491.27</v>
      </c>
      <c r="N170" s="5" t="s">
        <v>29</v>
      </c>
      <c r="O170" s="5" t="s">
        <v>42</v>
      </c>
      <c r="P170" s="5">
        <v>10</v>
      </c>
      <c r="Q170" s="5">
        <v>7</v>
      </c>
      <c r="R170" s="5" t="b">
        <v>1</v>
      </c>
      <c r="S170" s="5">
        <v>4</v>
      </c>
      <c r="T170" s="5">
        <v>5</v>
      </c>
    </row>
    <row r="171" spans="1:20">
      <c r="A171" s="5" t="s">
        <v>385</v>
      </c>
      <c r="B171" s="5" t="s">
        <v>386</v>
      </c>
      <c r="C171" s="6">
        <v>44946</v>
      </c>
      <c r="D171" s="6" t="str">
        <f t="shared" si="5"/>
        <v>Friday</v>
      </c>
      <c r="E171" s="5">
        <v>34</v>
      </c>
      <c r="F171" s="5" t="str">
        <f t="shared" si="4"/>
        <v>Millennials</v>
      </c>
      <c r="G171" s="5" t="s">
        <v>27</v>
      </c>
      <c r="H171" s="5" t="s">
        <v>36</v>
      </c>
      <c r="I171" s="5" t="s">
        <v>70</v>
      </c>
      <c r="J171" s="5">
        <v>87.03</v>
      </c>
      <c r="K171" s="5">
        <v>1</v>
      </c>
      <c r="L171" s="5">
        <v>0</v>
      </c>
      <c r="M171" s="5">
        <v>87.03</v>
      </c>
      <c r="N171" s="5" t="s">
        <v>99</v>
      </c>
      <c r="O171" s="5" t="s">
        <v>42</v>
      </c>
      <c r="P171" s="5">
        <v>21</v>
      </c>
      <c r="Q171" s="5">
        <v>13</v>
      </c>
      <c r="R171" s="5" t="b">
        <v>0</v>
      </c>
      <c r="S171" s="5">
        <v>8</v>
      </c>
      <c r="T171" s="5">
        <v>5</v>
      </c>
    </row>
    <row r="172" spans="1:20">
      <c r="A172" s="5" t="s">
        <v>387</v>
      </c>
      <c r="B172" s="5" t="s">
        <v>388</v>
      </c>
      <c r="C172" s="6">
        <v>44946</v>
      </c>
      <c r="D172" s="6" t="str">
        <f t="shared" si="5"/>
        <v>Friday</v>
      </c>
      <c r="E172" s="5">
        <v>28</v>
      </c>
      <c r="F172" s="5" t="str">
        <f t="shared" si="4"/>
        <v>Millennials</v>
      </c>
      <c r="G172" s="5" t="s">
        <v>27</v>
      </c>
      <c r="H172" s="5" t="s">
        <v>124</v>
      </c>
      <c r="I172" s="5" t="s">
        <v>70</v>
      </c>
      <c r="J172" s="5">
        <v>60.16</v>
      </c>
      <c r="K172" s="5">
        <v>1</v>
      </c>
      <c r="L172" s="5">
        <v>13.38</v>
      </c>
      <c r="M172" s="5">
        <v>46.78</v>
      </c>
      <c r="N172" s="5" t="s">
        <v>23</v>
      </c>
      <c r="O172" s="5" t="s">
        <v>42</v>
      </c>
      <c r="P172" s="5">
        <v>10</v>
      </c>
      <c r="Q172" s="5">
        <v>3</v>
      </c>
      <c r="R172" s="5" t="b">
        <v>1</v>
      </c>
      <c r="S172" s="5">
        <v>16</v>
      </c>
      <c r="T172" s="5">
        <v>4</v>
      </c>
    </row>
    <row r="173" spans="1:20">
      <c r="A173" s="5" t="s">
        <v>389</v>
      </c>
      <c r="B173" s="5" t="s">
        <v>390</v>
      </c>
      <c r="C173" s="6">
        <v>44946</v>
      </c>
      <c r="D173" s="6" t="str">
        <f t="shared" si="5"/>
        <v>Friday</v>
      </c>
      <c r="E173" s="5">
        <v>26</v>
      </c>
      <c r="F173" s="5" t="str">
        <f t="shared" si="4"/>
        <v>Millennials</v>
      </c>
      <c r="G173" s="5" t="s">
        <v>20</v>
      </c>
      <c r="H173" s="5" t="s">
        <v>83</v>
      </c>
      <c r="I173" s="5" t="s">
        <v>45</v>
      </c>
      <c r="J173" s="5">
        <v>134.9</v>
      </c>
      <c r="K173" s="5">
        <v>1</v>
      </c>
      <c r="L173" s="5">
        <v>0</v>
      </c>
      <c r="M173" s="5">
        <v>134.9</v>
      </c>
      <c r="N173" s="5" t="s">
        <v>99</v>
      </c>
      <c r="O173" s="5" t="s">
        <v>24</v>
      </c>
      <c r="P173" s="5">
        <v>1</v>
      </c>
      <c r="Q173" s="5">
        <v>11</v>
      </c>
      <c r="R173" s="5" t="b">
        <v>1</v>
      </c>
      <c r="S173" s="5">
        <v>5</v>
      </c>
      <c r="T173" s="5">
        <v>4</v>
      </c>
    </row>
    <row r="174" spans="1:20">
      <c r="A174" s="5" t="s">
        <v>391</v>
      </c>
      <c r="B174" s="5" t="s">
        <v>392</v>
      </c>
      <c r="C174" s="6">
        <v>44946</v>
      </c>
      <c r="D174" s="6" t="str">
        <f t="shared" si="5"/>
        <v>Friday</v>
      </c>
      <c r="E174" s="5">
        <v>32</v>
      </c>
      <c r="F174" s="5" t="str">
        <f t="shared" si="4"/>
        <v>Millennials</v>
      </c>
      <c r="G174" s="5" t="s">
        <v>27</v>
      </c>
      <c r="H174" s="5" t="s">
        <v>48</v>
      </c>
      <c r="I174" s="5" t="s">
        <v>54</v>
      </c>
      <c r="J174" s="5">
        <v>197.92</v>
      </c>
      <c r="K174" s="5">
        <v>1</v>
      </c>
      <c r="L174" s="5">
        <v>0</v>
      </c>
      <c r="M174" s="5">
        <v>197.92</v>
      </c>
      <c r="N174" s="5" t="s">
        <v>29</v>
      </c>
      <c r="O174" s="5" t="s">
        <v>42</v>
      </c>
      <c r="P174" s="5">
        <v>23</v>
      </c>
      <c r="Q174" s="5">
        <v>8</v>
      </c>
      <c r="R174" s="5" t="b">
        <v>0</v>
      </c>
      <c r="S174" s="5">
        <v>6</v>
      </c>
      <c r="T174" s="5">
        <v>1</v>
      </c>
    </row>
    <row r="175" spans="1:20">
      <c r="A175" s="5" t="s">
        <v>393</v>
      </c>
      <c r="B175" s="5" t="s">
        <v>394</v>
      </c>
      <c r="C175" s="6">
        <v>44946</v>
      </c>
      <c r="D175" s="6" t="str">
        <f t="shared" si="5"/>
        <v>Friday</v>
      </c>
      <c r="E175" s="5">
        <v>39</v>
      </c>
      <c r="F175" s="5" t="str">
        <f t="shared" si="4"/>
        <v>Millennials</v>
      </c>
      <c r="G175" s="5" t="s">
        <v>20</v>
      </c>
      <c r="H175" s="5" t="s">
        <v>28</v>
      </c>
      <c r="I175" s="5" t="s">
        <v>33</v>
      </c>
      <c r="J175" s="5">
        <v>146.34</v>
      </c>
      <c r="K175" s="5">
        <v>5</v>
      </c>
      <c r="L175" s="5">
        <v>32.090000000000003</v>
      </c>
      <c r="M175" s="5">
        <v>699.61</v>
      </c>
      <c r="N175" s="5" t="s">
        <v>49</v>
      </c>
      <c r="O175" s="5" t="s">
        <v>24</v>
      </c>
      <c r="P175" s="5">
        <v>19</v>
      </c>
      <c r="Q175" s="5">
        <v>9</v>
      </c>
      <c r="R175" s="5" t="b">
        <v>1</v>
      </c>
      <c r="S175" s="5">
        <v>6</v>
      </c>
      <c r="T175" s="5">
        <v>3</v>
      </c>
    </row>
    <row r="176" spans="1:20">
      <c r="A176" s="5" t="s">
        <v>395</v>
      </c>
      <c r="B176" s="5" t="s">
        <v>396</v>
      </c>
      <c r="C176" s="6">
        <v>44946</v>
      </c>
      <c r="D176" s="6" t="str">
        <f t="shared" si="5"/>
        <v>Friday</v>
      </c>
      <c r="E176" s="5">
        <v>29</v>
      </c>
      <c r="F176" s="5" t="str">
        <f t="shared" si="4"/>
        <v>Millennials</v>
      </c>
      <c r="G176" s="5" t="s">
        <v>27</v>
      </c>
      <c r="H176" s="5" t="s">
        <v>36</v>
      </c>
      <c r="I176" s="5" t="s">
        <v>67</v>
      </c>
      <c r="J176" s="5">
        <v>923.93</v>
      </c>
      <c r="K176" s="5">
        <v>1</v>
      </c>
      <c r="L176" s="5">
        <v>0</v>
      </c>
      <c r="M176" s="5">
        <v>923.93</v>
      </c>
      <c r="N176" s="5" t="s">
        <v>29</v>
      </c>
      <c r="O176" s="5" t="s">
        <v>24</v>
      </c>
      <c r="P176" s="5">
        <v>30</v>
      </c>
      <c r="Q176" s="5">
        <v>11</v>
      </c>
      <c r="R176" s="5" t="b">
        <v>0</v>
      </c>
      <c r="S176" s="5">
        <v>2</v>
      </c>
      <c r="T176" s="5">
        <v>5</v>
      </c>
    </row>
    <row r="177" spans="1:20">
      <c r="A177" s="5" t="s">
        <v>397</v>
      </c>
      <c r="B177" s="5" t="s">
        <v>398</v>
      </c>
      <c r="C177" s="6">
        <v>44946</v>
      </c>
      <c r="D177" s="6" t="str">
        <f t="shared" si="5"/>
        <v>Friday</v>
      </c>
      <c r="E177" s="5">
        <v>18</v>
      </c>
      <c r="F177" s="5" t="str">
        <f t="shared" si="4"/>
        <v>Gen Z</v>
      </c>
      <c r="G177" s="5" t="s">
        <v>20</v>
      </c>
      <c r="H177" s="5" t="s">
        <v>36</v>
      </c>
      <c r="I177" s="5" t="s">
        <v>33</v>
      </c>
      <c r="J177" s="5">
        <v>126.38</v>
      </c>
      <c r="K177" s="5">
        <v>4</v>
      </c>
      <c r="L177" s="5">
        <v>0</v>
      </c>
      <c r="M177" s="5">
        <v>505.52</v>
      </c>
      <c r="N177" s="5" t="s">
        <v>23</v>
      </c>
      <c r="O177" s="5" t="s">
        <v>42</v>
      </c>
      <c r="P177" s="5">
        <v>34</v>
      </c>
      <c r="Q177" s="5">
        <v>9</v>
      </c>
      <c r="R177" s="5" t="b">
        <v>0</v>
      </c>
      <c r="S177" s="5">
        <v>13</v>
      </c>
      <c r="T177" s="5">
        <v>5</v>
      </c>
    </row>
    <row r="178" spans="1:20">
      <c r="A178" s="5" t="s">
        <v>399</v>
      </c>
      <c r="B178" s="5" t="s">
        <v>400</v>
      </c>
      <c r="C178" s="6">
        <v>44947</v>
      </c>
      <c r="D178" s="6" t="str">
        <f t="shared" si="5"/>
        <v>Saturday</v>
      </c>
      <c r="E178" s="5">
        <v>18</v>
      </c>
      <c r="F178" s="5" t="str">
        <f t="shared" si="4"/>
        <v>Gen Z</v>
      </c>
      <c r="G178" s="5" t="s">
        <v>20</v>
      </c>
      <c r="H178" s="5" t="s">
        <v>36</v>
      </c>
      <c r="I178" s="5" t="s">
        <v>40</v>
      </c>
      <c r="J178" s="5">
        <v>449.73</v>
      </c>
      <c r="K178" s="5">
        <v>1</v>
      </c>
      <c r="L178" s="5">
        <v>91.42</v>
      </c>
      <c r="M178" s="5">
        <v>358.31</v>
      </c>
      <c r="N178" s="5" t="s">
        <v>23</v>
      </c>
      <c r="O178" s="5" t="s">
        <v>42</v>
      </c>
      <c r="P178" s="5">
        <v>14</v>
      </c>
      <c r="Q178" s="5">
        <v>12</v>
      </c>
      <c r="R178" s="5" t="b">
        <v>1</v>
      </c>
      <c r="S178" s="5">
        <v>6</v>
      </c>
      <c r="T178" s="5">
        <v>4</v>
      </c>
    </row>
    <row r="179" spans="1:20">
      <c r="A179" s="5" t="s">
        <v>401</v>
      </c>
      <c r="B179" s="5" t="s">
        <v>402</v>
      </c>
      <c r="C179" s="6">
        <v>44947</v>
      </c>
      <c r="D179" s="6" t="str">
        <f t="shared" si="5"/>
        <v>Saturday</v>
      </c>
      <c r="E179" s="5">
        <v>49</v>
      </c>
      <c r="F179" s="5" t="str">
        <f t="shared" si="4"/>
        <v>Gen X/Boomers</v>
      </c>
      <c r="G179" s="5" t="s">
        <v>20</v>
      </c>
      <c r="H179" s="5" t="s">
        <v>48</v>
      </c>
      <c r="I179" s="5" t="s">
        <v>67</v>
      </c>
      <c r="J179" s="5">
        <v>1633.66</v>
      </c>
      <c r="K179" s="5">
        <v>1</v>
      </c>
      <c r="L179" s="5">
        <v>0</v>
      </c>
      <c r="M179" s="5">
        <v>1633.66</v>
      </c>
      <c r="N179" s="5" t="s">
        <v>29</v>
      </c>
      <c r="O179" s="5" t="s">
        <v>24</v>
      </c>
      <c r="P179" s="5">
        <v>8</v>
      </c>
      <c r="Q179" s="5">
        <v>12</v>
      </c>
      <c r="R179" s="5" t="b">
        <v>1</v>
      </c>
      <c r="S179" s="5">
        <v>1</v>
      </c>
      <c r="T179" s="5">
        <v>3</v>
      </c>
    </row>
    <row r="180" spans="1:20">
      <c r="A180" s="5" t="s">
        <v>403</v>
      </c>
      <c r="B180" s="5" t="s">
        <v>404</v>
      </c>
      <c r="C180" s="6">
        <v>44947</v>
      </c>
      <c r="D180" s="6" t="str">
        <f t="shared" si="5"/>
        <v>Saturday</v>
      </c>
      <c r="E180" s="5">
        <v>25</v>
      </c>
      <c r="F180" s="5" t="str">
        <f t="shared" si="4"/>
        <v>Millennials</v>
      </c>
      <c r="G180" s="5" t="s">
        <v>27</v>
      </c>
      <c r="H180" s="5" t="s">
        <v>36</v>
      </c>
      <c r="I180" s="5" t="s">
        <v>54</v>
      </c>
      <c r="J180" s="5">
        <v>169.49</v>
      </c>
      <c r="K180" s="5">
        <v>1</v>
      </c>
      <c r="L180" s="5">
        <v>0</v>
      </c>
      <c r="M180" s="5">
        <v>169.49</v>
      </c>
      <c r="N180" s="5" t="s">
        <v>29</v>
      </c>
      <c r="O180" s="5" t="s">
        <v>42</v>
      </c>
      <c r="P180" s="5">
        <v>12</v>
      </c>
      <c r="Q180" s="5">
        <v>9</v>
      </c>
      <c r="R180" s="5" t="b">
        <v>1</v>
      </c>
      <c r="S180" s="5">
        <v>2</v>
      </c>
      <c r="T180" s="5">
        <v>5</v>
      </c>
    </row>
    <row r="181" spans="1:20">
      <c r="A181" s="5" t="s">
        <v>405</v>
      </c>
      <c r="B181" s="5" t="s">
        <v>406</v>
      </c>
      <c r="C181" s="6">
        <v>44947</v>
      </c>
      <c r="D181" s="6" t="str">
        <f t="shared" si="5"/>
        <v>Saturday</v>
      </c>
      <c r="E181" s="5">
        <v>32</v>
      </c>
      <c r="F181" s="5" t="str">
        <f t="shared" si="4"/>
        <v>Millennials</v>
      </c>
      <c r="G181" s="5" t="s">
        <v>27</v>
      </c>
      <c r="H181" s="5" t="s">
        <v>32</v>
      </c>
      <c r="I181" s="5" t="s">
        <v>40</v>
      </c>
      <c r="J181" s="5">
        <v>428.67</v>
      </c>
      <c r="K181" s="5">
        <v>2</v>
      </c>
      <c r="L181" s="5">
        <v>0</v>
      </c>
      <c r="M181" s="5">
        <v>857.34</v>
      </c>
      <c r="N181" s="5" t="s">
        <v>29</v>
      </c>
      <c r="O181" s="5" t="s">
        <v>24</v>
      </c>
      <c r="P181" s="5">
        <v>8</v>
      </c>
      <c r="Q181" s="5">
        <v>6</v>
      </c>
      <c r="R181" s="5" t="b">
        <v>1</v>
      </c>
      <c r="S181" s="5">
        <v>12</v>
      </c>
      <c r="T181" s="5">
        <v>3</v>
      </c>
    </row>
    <row r="182" spans="1:20">
      <c r="A182" s="5" t="s">
        <v>407</v>
      </c>
      <c r="B182" s="5" t="s">
        <v>408</v>
      </c>
      <c r="C182" s="6">
        <v>44947</v>
      </c>
      <c r="D182" s="6" t="str">
        <f t="shared" si="5"/>
        <v>Saturday</v>
      </c>
      <c r="E182" s="5">
        <v>51</v>
      </c>
      <c r="F182" s="5" t="str">
        <f t="shared" si="4"/>
        <v>Gen X/Boomers</v>
      </c>
      <c r="G182" s="5" t="s">
        <v>27</v>
      </c>
      <c r="H182" s="5" t="s">
        <v>36</v>
      </c>
      <c r="I182" s="5" t="s">
        <v>45</v>
      </c>
      <c r="J182" s="5">
        <v>60.69</v>
      </c>
      <c r="K182" s="5">
        <v>1</v>
      </c>
      <c r="L182" s="5">
        <v>0</v>
      </c>
      <c r="M182" s="5">
        <v>60.69</v>
      </c>
      <c r="N182" s="5" t="s">
        <v>29</v>
      </c>
      <c r="O182" s="5" t="s">
        <v>55</v>
      </c>
      <c r="P182" s="5">
        <v>4</v>
      </c>
      <c r="Q182" s="5">
        <v>5</v>
      </c>
      <c r="R182" s="5" t="b">
        <v>1</v>
      </c>
      <c r="S182" s="5">
        <v>6</v>
      </c>
      <c r="T182" s="5">
        <v>4</v>
      </c>
    </row>
    <row r="183" spans="1:20">
      <c r="A183" s="5" t="s">
        <v>409</v>
      </c>
      <c r="B183" s="5" t="s">
        <v>410</v>
      </c>
      <c r="C183" s="6">
        <v>44947</v>
      </c>
      <c r="D183" s="6" t="str">
        <f t="shared" si="5"/>
        <v>Saturday</v>
      </c>
      <c r="E183" s="5">
        <v>45</v>
      </c>
      <c r="F183" s="5" t="str">
        <f t="shared" si="4"/>
        <v>Gen X/Boomers</v>
      </c>
      <c r="G183" s="5" t="s">
        <v>20</v>
      </c>
      <c r="H183" s="5" t="s">
        <v>36</v>
      </c>
      <c r="I183" s="5" t="s">
        <v>45</v>
      </c>
      <c r="J183" s="5">
        <v>130.44</v>
      </c>
      <c r="K183" s="5">
        <v>1</v>
      </c>
      <c r="L183" s="5">
        <v>25.02</v>
      </c>
      <c r="M183" s="5">
        <v>105.42</v>
      </c>
      <c r="N183" s="5" t="s">
        <v>29</v>
      </c>
      <c r="O183" s="5" t="s">
        <v>24</v>
      </c>
      <c r="P183" s="5">
        <v>13</v>
      </c>
      <c r="Q183" s="5">
        <v>12</v>
      </c>
      <c r="R183" s="5" t="b">
        <v>1</v>
      </c>
      <c r="S183" s="5">
        <v>6</v>
      </c>
      <c r="T183" s="5">
        <v>4</v>
      </c>
    </row>
    <row r="184" spans="1:20">
      <c r="A184" s="5" t="s">
        <v>411</v>
      </c>
      <c r="B184" s="5" t="s">
        <v>412</v>
      </c>
      <c r="C184" s="6">
        <v>44947</v>
      </c>
      <c r="D184" s="6" t="str">
        <f t="shared" si="5"/>
        <v>Saturday</v>
      </c>
      <c r="E184" s="5">
        <v>25</v>
      </c>
      <c r="F184" s="5" t="str">
        <f t="shared" si="4"/>
        <v>Millennials</v>
      </c>
      <c r="G184" s="5" t="s">
        <v>27</v>
      </c>
      <c r="H184" s="5" t="s">
        <v>36</v>
      </c>
      <c r="I184" s="5" t="s">
        <v>45</v>
      </c>
      <c r="J184" s="5">
        <v>231.31</v>
      </c>
      <c r="K184" s="5">
        <v>3</v>
      </c>
      <c r="L184" s="5">
        <v>0</v>
      </c>
      <c r="M184" s="5">
        <v>693.93</v>
      </c>
      <c r="N184" s="5" t="s">
        <v>23</v>
      </c>
      <c r="O184" s="5" t="s">
        <v>42</v>
      </c>
      <c r="P184" s="5">
        <v>9</v>
      </c>
      <c r="Q184" s="5">
        <v>8</v>
      </c>
      <c r="R184" s="5" t="b">
        <v>0</v>
      </c>
      <c r="S184" s="5">
        <v>13</v>
      </c>
      <c r="T184" s="5">
        <v>5</v>
      </c>
    </row>
    <row r="185" spans="1:20">
      <c r="A185" s="5" t="s">
        <v>413</v>
      </c>
      <c r="B185" s="5" t="s">
        <v>414</v>
      </c>
      <c r="C185" s="6">
        <v>44947</v>
      </c>
      <c r="D185" s="6" t="str">
        <f t="shared" si="5"/>
        <v>Saturday</v>
      </c>
      <c r="E185" s="5">
        <v>22</v>
      </c>
      <c r="F185" s="5" t="str">
        <f t="shared" si="4"/>
        <v>Gen Z</v>
      </c>
      <c r="G185" s="5" t="s">
        <v>27</v>
      </c>
      <c r="H185" s="5" t="s">
        <v>21</v>
      </c>
      <c r="I185" s="5" t="s">
        <v>33</v>
      </c>
      <c r="J185" s="5">
        <v>132.72</v>
      </c>
      <c r="K185" s="5">
        <v>4</v>
      </c>
      <c r="L185" s="5">
        <v>0</v>
      </c>
      <c r="M185" s="5">
        <v>530.88</v>
      </c>
      <c r="N185" s="5" t="s">
        <v>49</v>
      </c>
      <c r="O185" s="5" t="s">
        <v>24</v>
      </c>
      <c r="P185" s="5">
        <v>19</v>
      </c>
      <c r="Q185" s="5">
        <v>9</v>
      </c>
      <c r="R185" s="5" t="b">
        <v>0</v>
      </c>
      <c r="S185" s="5">
        <v>14</v>
      </c>
      <c r="T185" s="5">
        <v>5</v>
      </c>
    </row>
    <row r="186" spans="1:20">
      <c r="A186" s="5" t="s">
        <v>415</v>
      </c>
      <c r="B186" s="5" t="s">
        <v>416</v>
      </c>
      <c r="C186" s="6">
        <v>44947</v>
      </c>
      <c r="D186" s="6" t="str">
        <f t="shared" si="5"/>
        <v>Saturday</v>
      </c>
      <c r="E186" s="5">
        <v>23</v>
      </c>
      <c r="F186" s="5" t="str">
        <f t="shared" si="4"/>
        <v>Gen Z</v>
      </c>
      <c r="G186" s="5" t="s">
        <v>27</v>
      </c>
      <c r="H186" s="5" t="s">
        <v>124</v>
      </c>
      <c r="I186" s="5" t="s">
        <v>22</v>
      </c>
      <c r="J186" s="5">
        <v>64.55</v>
      </c>
      <c r="K186" s="5">
        <v>3</v>
      </c>
      <c r="L186" s="5">
        <v>0</v>
      </c>
      <c r="M186" s="5">
        <v>193.65</v>
      </c>
      <c r="N186" s="5" t="s">
        <v>23</v>
      </c>
      <c r="O186" s="5" t="s">
        <v>42</v>
      </c>
      <c r="P186" s="5">
        <v>10</v>
      </c>
      <c r="Q186" s="5">
        <v>6</v>
      </c>
      <c r="R186" s="5" t="b">
        <v>1</v>
      </c>
      <c r="S186" s="5">
        <v>4</v>
      </c>
      <c r="T186" s="5">
        <v>5</v>
      </c>
    </row>
    <row r="187" spans="1:20">
      <c r="A187" s="5" t="s">
        <v>417</v>
      </c>
      <c r="B187" s="5" t="s">
        <v>418</v>
      </c>
      <c r="C187" s="6">
        <v>44947</v>
      </c>
      <c r="D187" s="6" t="str">
        <f t="shared" si="5"/>
        <v>Saturday</v>
      </c>
      <c r="E187" s="5">
        <v>57</v>
      </c>
      <c r="F187" s="5" t="str">
        <f t="shared" si="4"/>
        <v>Gen X/Boomers</v>
      </c>
      <c r="G187" s="5" t="s">
        <v>27</v>
      </c>
      <c r="H187" s="5" t="s">
        <v>48</v>
      </c>
      <c r="I187" s="5" t="s">
        <v>37</v>
      </c>
      <c r="J187" s="5">
        <v>487.6</v>
      </c>
      <c r="K187" s="5">
        <v>1</v>
      </c>
      <c r="L187" s="5">
        <v>0</v>
      </c>
      <c r="M187" s="5">
        <v>487.6</v>
      </c>
      <c r="N187" s="5" t="s">
        <v>29</v>
      </c>
      <c r="O187" s="5" t="s">
        <v>24</v>
      </c>
      <c r="P187" s="5">
        <v>7</v>
      </c>
      <c r="Q187" s="5">
        <v>13</v>
      </c>
      <c r="R187" s="5" t="b">
        <v>1</v>
      </c>
      <c r="S187" s="5">
        <v>3</v>
      </c>
      <c r="T187" s="5">
        <v>4</v>
      </c>
    </row>
    <row r="188" spans="1:20">
      <c r="A188" s="5" t="s">
        <v>419</v>
      </c>
      <c r="B188" s="5" t="s">
        <v>420</v>
      </c>
      <c r="C188" s="6">
        <v>44947</v>
      </c>
      <c r="D188" s="6" t="str">
        <f t="shared" si="5"/>
        <v>Saturday</v>
      </c>
      <c r="E188" s="5">
        <v>42</v>
      </c>
      <c r="F188" s="5" t="str">
        <f t="shared" si="4"/>
        <v>Millennials</v>
      </c>
      <c r="G188" s="5" t="s">
        <v>27</v>
      </c>
      <c r="H188" s="5" t="s">
        <v>83</v>
      </c>
      <c r="I188" s="5" t="s">
        <v>70</v>
      </c>
      <c r="J188" s="5">
        <v>36.1</v>
      </c>
      <c r="K188" s="5">
        <v>3</v>
      </c>
      <c r="L188" s="5">
        <v>5.01</v>
      </c>
      <c r="M188" s="5">
        <v>103.29</v>
      </c>
      <c r="N188" s="5" t="s">
        <v>23</v>
      </c>
      <c r="O188" s="5" t="s">
        <v>55</v>
      </c>
      <c r="P188" s="5">
        <v>52</v>
      </c>
      <c r="Q188" s="5">
        <v>7</v>
      </c>
      <c r="R188" s="5" t="b">
        <v>1</v>
      </c>
      <c r="S188" s="5">
        <v>4</v>
      </c>
      <c r="T188" s="5">
        <v>4</v>
      </c>
    </row>
    <row r="189" spans="1:20">
      <c r="A189" s="5" t="s">
        <v>421</v>
      </c>
      <c r="B189" s="5" t="s">
        <v>422</v>
      </c>
      <c r="C189" s="6">
        <v>44948</v>
      </c>
      <c r="D189" s="6" t="str">
        <f t="shared" si="5"/>
        <v>Sunday</v>
      </c>
      <c r="E189" s="5">
        <v>52</v>
      </c>
      <c r="F189" s="5" t="str">
        <f t="shared" si="4"/>
        <v>Gen X/Boomers</v>
      </c>
      <c r="G189" s="5" t="s">
        <v>20</v>
      </c>
      <c r="H189" s="5" t="s">
        <v>21</v>
      </c>
      <c r="I189" s="5" t="s">
        <v>37</v>
      </c>
      <c r="J189" s="5">
        <v>387.29</v>
      </c>
      <c r="K189" s="5">
        <v>1</v>
      </c>
      <c r="L189" s="5">
        <v>0</v>
      </c>
      <c r="M189" s="5">
        <v>387.29</v>
      </c>
      <c r="N189" s="5" t="s">
        <v>49</v>
      </c>
      <c r="O189" s="5" t="s">
        <v>24</v>
      </c>
      <c r="P189" s="5">
        <v>4</v>
      </c>
      <c r="Q189" s="5">
        <v>7</v>
      </c>
      <c r="R189" s="5" t="b">
        <v>1</v>
      </c>
      <c r="S189" s="5">
        <v>5</v>
      </c>
      <c r="T189" s="5">
        <v>5</v>
      </c>
    </row>
    <row r="190" spans="1:20">
      <c r="A190" s="5" t="s">
        <v>423</v>
      </c>
      <c r="B190" s="5" t="s">
        <v>424</v>
      </c>
      <c r="C190" s="6">
        <v>44948</v>
      </c>
      <c r="D190" s="6" t="str">
        <f t="shared" si="5"/>
        <v>Sunday</v>
      </c>
      <c r="E190" s="5">
        <v>30</v>
      </c>
      <c r="F190" s="5" t="str">
        <f t="shared" si="4"/>
        <v>Millennials</v>
      </c>
      <c r="G190" s="5" t="s">
        <v>27</v>
      </c>
      <c r="H190" s="5" t="s">
        <v>88</v>
      </c>
      <c r="I190" s="5" t="s">
        <v>37</v>
      </c>
      <c r="J190" s="5">
        <v>885.38</v>
      </c>
      <c r="K190" s="5">
        <v>1</v>
      </c>
      <c r="L190" s="5">
        <v>0</v>
      </c>
      <c r="M190" s="5">
        <v>885.38</v>
      </c>
      <c r="N190" s="5" t="s">
        <v>23</v>
      </c>
      <c r="O190" s="5" t="s">
        <v>24</v>
      </c>
      <c r="P190" s="5">
        <v>11</v>
      </c>
      <c r="Q190" s="5">
        <v>14</v>
      </c>
      <c r="R190" s="5" t="b">
        <v>1</v>
      </c>
      <c r="S190" s="5">
        <v>5</v>
      </c>
      <c r="T190" s="5">
        <v>5</v>
      </c>
    </row>
    <row r="191" spans="1:20">
      <c r="A191" s="5" t="s">
        <v>425</v>
      </c>
      <c r="B191" s="5" t="s">
        <v>426</v>
      </c>
      <c r="C191" s="6">
        <v>44948</v>
      </c>
      <c r="D191" s="6" t="str">
        <f t="shared" si="5"/>
        <v>Sunday</v>
      </c>
      <c r="E191" s="5">
        <v>58</v>
      </c>
      <c r="F191" s="5" t="str">
        <f t="shared" si="4"/>
        <v>Gen X/Boomers</v>
      </c>
      <c r="G191" s="5" t="s">
        <v>27</v>
      </c>
      <c r="H191" s="5" t="s">
        <v>88</v>
      </c>
      <c r="I191" s="5" t="s">
        <v>45</v>
      </c>
      <c r="J191" s="5">
        <v>39.42</v>
      </c>
      <c r="K191" s="5">
        <v>3</v>
      </c>
      <c r="L191" s="5">
        <v>0</v>
      </c>
      <c r="M191" s="5">
        <v>118.26</v>
      </c>
      <c r="N191" s="5" t="s">
        <v>41</v>
      </c>
      <c r="O191" s="5" t="s">
        <v>55</v>
      </c>
      <c r="P191" s="5">
        <v>11</v>
      </c>
      <c r="Q191" s="5">
        <v>7</v>
      </c>
      <c r="R191" s="5" t="b">
        <v>1</v>
      </c>
      <c r="S191" s="5">
        <v>13</v>
      </c>
      <c r="T191" s="5">
        <v>4</v>
      </c>
    </row>
    <row r="192" spans="1:20">
      <c r="A192" s="5" t="s">
        <v>427</v>
      </c>
      <c r="B192" s="5" t="s">
        <v>428</v>
      </c>
      <c r="C192" s="6">
        <v>44948</v>
      </c>
      <c r="D192" s="6" t="str">
        <f t="shared" si="5"/>
        <v>Sunday</v>
      </c>
      <c r="E192" s="5">
        <v>44</v>
      </c>
      <c r="F192" s="5" t="str">
        <f t="shared" si="4"/>
        <v>Millennials</v>
      </c>
      <c r="G192" s="5" t="s">
        <v>27</v>
      </c>
      <c r="H192" s="5" t="s">
        <v>48</v>
      </c>
      <c r="I192" s="5" t="s">
        <v>33</v>
      </c>
      <c r="J192" s="5">
        <v>32.049999999999997</v>
      </c>
      <c r="K192" s="5">
        <v>5</v>
      </c>
      <c r="L192" s="5">
        <v>0</v>
      </c>
      <c r="M192" s="5">
        <v>160.25</v>
      </c>
      <c r="N192" s="5" t="s">
        <v>29</v>
      </c>
      <c r="O192" s="5" t="s">
        <v>24</v>
      </c>
      <c r="P192" s="5">
        <v>6</v>
      </c>
      <c r="Q192" s="5">
        <v>11</v>
      </c>
      <c r="R192" s="5" t="b">
        <v>1</v>
      </c>
      <c r="S192" s="5">
        <v>5</v>
      </c>
      <c r="T192" s="5">
        <v>4</v>
      </c>
    </row>
    <row r="193" spans="1:20">
      <c r="A193" s="5" t="s">
        <v>429</v>
      </c>
      <c r="B193" s="5" t="s">
        <v>430</v>
      </c>
      <c r="C193" s="6">
        <v>44948</v>
      </c>
      <c r="D193" s="6" t="str">
        <f t="shared" si="5"/>
        <v>Sunday</v>
      </c>
      <c r="E193" s="5">
        <v>44</v>
      </c>
      <c r="F193" s="5" t="str">
        <f t="shared" si="4"/>
        <v>Millennials</v>
      </c>
      <c r="G193" s="5" t="s">
        <v>27</v>
      </c>
      <c r="H193" s="5" t="s">
        <v>88</v>
      </c>
      <c r="I193" s="5" t="s">
        <v>67</v>
      </c>
      <c r="J193" s="5">
        <v>677</v>
      </c>
      <c r="K193" s="5">
        <v>3</v>
      </c>
      <c r="L193" s="5">
        <v>0</v>
      </c>
      <c r="M193" s="5">
        <v>2031</v>
      </c>
      <c r="N193" s="5" t="s">
        <v>49</v>
      </c>
      <c r="O193" s="5" t="s">
        <v>24</v>
      </c>
      <c r="P193" s="5">
        <v>14</v>
      </c>
      <c r="Q193" s="5">
        <v>10</v>
      </c>
      <c r="R193" s="5" t="b">
        <v>1</v>
      </c>
      <c r="S193" s="5">
        <v>3</v>
      </c>
      <c r="T193" s="5">
        <v>5</v>
      </c>
    </row>
    <row r="194" spans="1:20">
      <c r="A194" s="5" t="s">
        <v>431</v>
      </c>
      <c r="B194" s="5" t="s">
        <v>432</v>
      </c>
      <c r="C194" s="6">
        <v>44948</v>
      </c>
      <c r="D194" s="6" t="str">
        <f t="shared" si="5"/>
        <v>Sunday</v>
      </c>
      <c r="E194" s="5">
        <v>29</v>
      </c>
      <c r="F194" s="5" t="str">
        <f t="shared" ref="F194:F257" si="6">IFERROR(IF(E194&lt;25, "Gen Z", IF(E194&lt;45, "Millennials", "Gen X/Boomers")),"Not Valide Age")</f>
        <v>Millennials</v>
      </c>
      <c r="G194" s="5" t="s">
        <v>20</v>
      </c>
      <c r="H194" s="5" t="s">
        <v>32</v>
      </c>
      <c r="I194" s="5" t="s">
        <v>40</v>
      </c>
      <c r="J194" s="5">
        <v>118.19</v>
      </c>
      <c r="K194" s="5">
        <v>4</v>
      </c>
      <c r="L194" s="5">
        <v>30.78</v>
      </c>
      <c r="M194" s="5">
        <v>441.98</v>
      </c>
      <c r="N194" s="5" t="s">
        <v>23</v>
      </c>
      <c r="O194" s="5" t="s">
        <v>24</v>
      </c>
      <c r="P194" s="5">
        <v>16</v>
      </c>
      <c r="Q194" s="5">
        <v>8</v>
      </c>
      <c r="R194" s="5" t="b">
        <v>1</v>
      </c>
      <c r="S194" s="5">
        <v>5</v>
      </c>
      <c r="T194" s="5">
        <v>1</v>
      </c>
    </row>
    <row r="195" spans="1:20">
      <c r="A195" s="5" t="s">
        <v>433</v>
      </c>
      <c r="B195" s="5" t="s">
        <v>434</v>
      </c>
      <c r="C195" s="6">
        <v>44948</v>
      </c>
      <c r="D195" s="6" t="str">
        <f t="shared" ref="D195:D258" si="7">TEXT(C195, "dddd")</f>
        <v>Sunday</v>
      </c>
      <c r="E195" s="5">
        <v>46</v>
      </c>
      <c r="F195" s="5" t="str">
        <f t="shared" si="6"/>
        <v>Gen X/Boomers</v>
      </c>
      <c r="G195" s="5" t="s">
        <v>27</v>
      </c>
      <c r="H195" s="5" t="s">
        <v>28</v>
      </c>
      <c r="I195" s="5" t="s">
        <v>67</v>
      </c>
      <c r="J195" s="5">
        <v>1310.5899999999999</v>
      </c>
      <c r="K195" s="5">
        <v>1</v>
      </c>
      <c r="L195" s="5">
        <v>0</v>
      </c>
      <c r="M195" s="5">
        <v>1310.5899999999999</v>
      </c>
      <c r="N195" s="5" t="s">
        <v>23</v>
      </c>
      <c r="O195" s="5" t="s">
        <v>42</v>
      </c>
      <c r="P195" s="5">
        <v>18</v>
      </c>
      <c r="Q195" s="5">
        <v>11</v>
      </c>
      <c r="R195" s="5" t="b">
        <v>1</v>
      </c>
      <c r="S195" s="5">
        <v>10</v>
      </c>
      <c r="T195" s="5">
        <v>3</v>
      </c>
    </row>
    <row r="196" spans="1:20">
      <c r="A196" s="5" t="s">
        <v>435</v>
      </c>
      <c r="B196" s="5" t="s">
        <v>436</v>
      </c>
      <c r="C196" s="6">
        <v>44948</v>
      </c>
      <c r="D196" s="6" t="str">
        <f t="shared" si="7"/>
        <v>Sunday</v>
      </c>
      <c r="E196" s="5">
        <v>45</v>
      </c>
      <c r="F196" s="5" t="str">
        <f t="shared" si="6"/>
        <v>Gen X/Boomers</v>
      </c>
      <c r="G196" s="5" t="s">
        <v>27</v>
      </c>
      <c r="H196" s="5" t="s">
        <v>124</v>
      </c>
      <c r="I196" s="5" t="s">
        <v>37</v>
      </c>
      <c r="J196" s="5">
        <v>609.04</v>
      </c>
      <c r="K196" s="5">
        <v>1</v>
      </c>
      <c r="L196" s="5">
        <v>0</v>
      </c>
      <c r="M196" s="5">
        <v>609.04</v>
      </c>
      <c r="N196" s="5" t="s">
        <v>49</v>
      </c>
      <c r="O196" s="5" t="s">
        <v>24</v>
      </c>
      <c r="P196" s="5">
        <v>15</v>
      </c>
      <c r="Q196" s="5">
        <v>14</v>
      </c>
      <c r="R196" s="5" t="b">
        <v>1</v>
      </c>
      <c r="S196" s="5">
        <v>4</v>
      </c>
      <c r="T196" s="5">
        <v>5</v>
      </c>
    </row>
    <row r="197" spans="1:20">
      <c r="A197" s="5" t="s">
        <v>437</v>
      </c>
      <c r="B197" s="5" t="s">
        <v>438</v>
      </c>
      <c r="C197" s="6">
        <v>44948</v>
      </c>
      <c r="D197" s="6" t="str">
        <f t="shared" si="7"/>
        <v>Sunday</v>
      </c>
      <c r="E197" s="5">
        <v>27</v>
      </c>
      <c r="F197" s="5" t="str">
        <f t="shared" si="6"/>
        <v>Millennials</v>
      </c>
      <c r="G197" s="5" t="s">
        <v>27</v>
      </c>
      <c r="H197" s="5" t="s">
        <v>36</v>
      </c>
      <c r="I197" s="5" t="s">
        <v>40</v>
      </c>
      <c r="J197" s="5">
        <v>245.99</v>
      </c>
      <c r="K197" s="5">
        <v>4</v>
      </c>
      <c r="L197" s="5">
        <v>50.97</v>
      </c>
      <c r="M197" s="5">
        <v>932.99</v>
      </c>
      <c r="N197" s="5" t="s">
        <v>23</v>
      </c>
      <c r="O197" s="5" t="s">
        <v>24</v>
      </c>
      <c r="P197" s="5">
        <v>16</v>
      </c>
      <c r="Q197" s="5">
        <v>9</v>
      </c>
      <c r="R197" s="5" t="b">
        <v>0</v>
      </c>
      <c r="S197" s="5">
        <v>5</v>
      </c>
      <c r="T197" s="5">
        <v>2</v>
      </c>
    </row>
    <row r="198" spans="1:20">
      <c r="A198" s="5" t="s">
        <v>439</v>
      </c>
      <c r="B198" s="5" t="s">
        <v>440</v>
      </c>
      <c r="C198" s="6">
        <v>44948</v>
      </c>
      <c r="D198" s="6" t="str">
        <f t="shared" si="7"/>
        <v>Sunday</v>
      </c>
      <c r="E198" s="5">
        <v>21</v>
      </c>
      <c r="F198" s="5" t="str">
        <f t="shared" si="6"/>
        <v>Gen Z</v>
      </c>
      <c r="G198" s="5" t="s">
        <v>27</v>
      </c>
      <c r="H198" s="5" t="s">
        <v>32</v>
      </c>
      <c r="I198" s="5" t="s">
        <v>67</v>
      </c>
      <c r="J198" s="5">
        <v>269</v>
      </c>
      <c r="K198" s="5">
        <v>1</v>
      </c>
      <c r="L198" s="5">
        <v>24.28</v>
      </c>
      <c r="M198" s="5">
        <v>244.72</v>
      </c>
      <c r="N198" s="5" t="s">
        <v>49</v>
      </c>
      <c r="O198" s="5" t="s">
        <v>24</v>
      </c>
      <c r="P198" s="5">
        <v>11</v>
      </c>
      <c r="Q198" s="5">
        <v>13</v>
      </c>
      <c r="R198" s="5" t="b">
        <v>1</v>
      </c>
      <c r="S198" s="5">
        <v>10</v>
      </c>
      <c r="T198" s="5">
        <v>2</v>
      </c>
    </row>
    <row r="199" spans="1:20">
      <c r="A199" s="5" t="s">
        <v>441</v>
      </c>
      <c r="B199" s="5" t="s">
        <v>442</v>
      </c>
      <c r="C199" s="6">
        <v>44949</v>
      </c>
      <c r="D199" s="6" t="str">
        <f t="shared" si="7"/>
        <v>Monday</v>
      </c>
      <c r="E199" s="5">
        <v>30</v>
      </c>
      <c r="F199" s="5" t="str">
        <f t="shared" si="6"/>
        <v>Millennials</v>
      </c>
      <c r="G199" s="5" t="s">
        <v>27</v>
      </c>
      <c r="H199" s="5" t="s">
        <v>178</v>
      </c>
      <c r="I199" s="5" t="s">
        <v>40</v>
      </c>
      <c r="J199" s="5">
        <v>387.6</v>
      </c>
      <c r="K199" s="5">
        <v>1</v>
      </c>
      <c r="L199" s="5">
        <v>0</v>
      </c>
      <c r="M199" s="5">
        <v>387.6</v>
      </c>
      <c r="N199" s="5" t="s">
        <v>29</v>
      </c>
      <c r="O199" s="5" t="s">
        <v>24</v>
      </c>
      <c r="P199" s="5">
        <v>8</v>
      </c>
      <c r="Q199" s="5">
        <v>7</v>
      </c>
      <c r="R199" s="5" t="b">
        <v>1</v>
      </c>
      <c r="S199" s="5">
        <v>10</v>
      </c>
      <c r="T199" s="5">
        <v>4</v>
      </c>
    </row>
    <row r="200" spans="1:20">
      <c r="A200" s="5" t="s">
        <v>443</v>
      </c>
      <c r="B200" s="5" t="s">
        <v>444</v>
      </c>
      <c r="C200" s="6">
        <v>44949</v>
      </c>
      <c r="D200" s="6" t="str">
        <f t="shared" si="7"/>
        <v>Monday</v>
      </c>
      <c r="E200" s="5">
        <v>32</v>
      </c>
      <c r="F200" s="5" t="str">
        <f t="shared" si="6"/>
        <v>Millennials</v>
      </c>
      <c r="G200" s="5" t="s">
        <v>20</v>
      </c>
      <c r="H200" s="5" t="s">
        <v>32</v>
      </c>
      <c r="I200" s="5" t="s">
        <v>70</v>
      </c>
      <c r="J200" s="5">
        <v>63.89</v>
      </c>
      <c r="K200" s="5">
        <v>2</v>
      </c>
      <c r="L200" s="5">
        <v>11.91</v>
      </c>
      <c r="M200" s="5">
        <v>115.87</v>
      </c>
      <c r="N200" s="5" t="s">
        <v>99</v>
      </c>
      <c r="O200" s="5" t="s">
        <v>55</v>
      </c>
      <c r="P200" s="5">
        <v>21</v>
      </c>
      <c r="Q200" s="5">
        <v>13</v>
      </c>
      <c r="R200" s="5" t="b">
        <v>1</v>
      </c>
      <c r="S200" s="5">
        <v>7</v>
      </c>
      <c r="T200" s="5">
        <v>1</v>
      </c>
    </row>
    <row r="201" spans="1:20">
      <c r="A201" s="5" t="s">
        <v>445</v>
      </c>
      <c r="B201" s="5" t="s">
        <v>446</v>
      </c>
      <c r="C201" s="6">
        <v>44949</v>
      </c>
      <c r="D201" s="6" t="str">
        <f t="shared" si="7"/>
        <v>Monday</v>
      </c>
      <c r="E201" s="5">
        <v>25</v>
      </c>
      <c r="F201" s="5" t="str">
        <f t="shared" si="6"/>
        <v>Millennials</v>
      </c>
      <c r="G201" s="5" t="s">
        <v>20</v>
      </c>
      <c r="H201" s="5" t="s">
        <v>36</v>
      </c>
      <c r="I201" s="5" t="s">
        <v>40</v>
      </c>
      <c r="J201" s="5">
        <v>245.18</v>
      </c>
      <c r="K201" s="5">
        <v>1</v>
      </c>
      <c r="L201" s="5">
        <v>0</v>
      </c>
      <c r="M201" s="5">
        <v>245.18</v>
      </c>
      <c r="N201" s="5" t="s">
        <v>23</v>
      </c>
      <c r="O201" s="5" t="s">
        <v>42</v>
      </c>
      <c r="P201" s="5">
        <v>15</v>
      </c>
      <c r="Q201" s="5">
        <v>5</v>
      </c>
      <c r="R201" s="5" t="b">
        <v>1</v>
      </c>
      <c r="S201" s="5">
        <v>7</v>
      </c>
      <c r="T201" s="5">
        <v>5</v>
      </c>
    </row>
    <row r="202" spans="1:20">
      <c r="A202" s="5" t="s">
        <v>447</v>
      </c>
      <c r="B202" s="5" t="s">
        <v>448</v>
      </c>
      <c r="C202" s="6">
        <v>44949</v>
      </c>
      <c r="D202" s="6" t="str">
        <f t="shared" si="7"/>
        <v>Monday</v>
      </c>
      <c r="E202" s="5">
        <v>66</v>
      </c>
      <c r="F202" s="5" t="str">
        <f t="shared" si="6"/>
        <v>Gen X/Boomers</v>
      </c>
      <c r="G202" s="5" t="s">
        <v>20</v>
      </c>
      <c r="H202" s="5" t="s">
        <v>124</v>
      </c>
      <c r="I202" s="5" t="s">
        <v>70</v>
      </c>
      <c r="J202" s="5">
        <v>50.52</v>
      </c>
      <c r="K202" s="5">
        <v>2</v>
      </c>
      <c r="L202" s="5">
        <v>12.25</v>
      </c>
      <c r="M202" s="5">
        <v>88.79</v>
      </c>
      <c r="N202" s="5" t="s">
        <v>23</v>
      </c>
      <c r="O202" s="5" t="s">
        <v>24</v>
      </c>
      <c r="P202" s="5">
        <v>12</v>
      </c>
      <c r="Q202" s="5">
        <v>5</v>
      </c>
      <c r="R202" s="5" t="b">
        <v>1</v>
      </c>
      <c r="S202" s="5">
        <v>2</v>
      </c>
      <c r="T202" s="5">
        <v>2</v>
      </c>
    </row>
    <row r="203" spans="1:20">
      <c r="A203" s="5" t="s">
        <v>449</v>
      </c>
      <c r="B203" s="5" t="s">
        <v>450</v>
      </c>
      <c r="C203" s="6">
        <v>44949</v>
      </c>
      <c r="D203" s="6" t="str">
        <f t="shared" si="7"/>
        <v>Monday</v>
      </c>
      <c r="E203" s="5">
        <v>46</v>
      </c>
      <c r="F203" s="5" t="str">
        <f t="shared" si="6"/>
        <v>Gen X/Boomers</v>
      </c>
      <c r="G203" s="5" t="s">
        <v>27</v>
      </c>
      <c r="H203" s="5" t="s">
        <v>32</v>
      </c>
      <c r="I203" s="5" t="s">
        <v>70</v>
      </c>
      <c r="J203" s="5">
        <v>19.739999999999998</v>
      </c>
      <c r="K203" s="5">
        <v>1</v>
      </c>
      <c r="L203" s="5">
        <v>0</v>
      </c>
      <c r="M203" s="5">
        <v>19.739999999999998</v>
      </c>
      <c r="N203" s="5" t="s">
        <v>49</v>
      </c>
      <c r="O203" s="5" t="s">
        <v>24</v>
      </c>
      <c r="P203" s="5">
        <v>28</v>
      </c>
      <c r="Q203" s="5">
        <v>8</v>
      </c>
      <c r="R203" s="5" t="b">
        <v>1</v>
      </c>
      <c r="S203" s="5">
        <v>3</v>
      </c>
      <c r="T203" s="5">
        <v>5</v>
      </c>
    </row>
    <row r="204" spans="1:20">
      <c r="A204" s="5" t="s">
        <v>451</v>
      </c>
      <c r="B204" s="5" t="s">
        <v>452</v>
      </c>
      <c r="C204" s="6">
        <v>44949</v>
      </c>
      <c r="D204" s="6" t="str">
        <f t="shared" si="7"/>
        <v>Monday</v>
      </c>
      <c r="E204" s="5">
        <v>55</v>
      </c>
      <c r="F204" s="5" t="str">
        <f t="shared" si="6"/>
        <v>Gen X/Boomers</v>
      </c>
      <c r="G204" s="5" t="s">
        <v>20</v>
      </c>
      <c r="H204" s="5" t="s">
        <v>88</v>
      </c>
      <c r="I204" s="5" t="s">
        <v>37</v>
      </c>
      <c r="J204" s="5">
        <v>3242.84</v>
      </c>
      <c r="K204" s="5">
        <v>5</v>
      </c>
      <c r="L204" s="5">
        <v>0</v>
      </c>
      <c r="M204" s="5">
        <v>16214.2</v>
      </c>
      <c r="N204" s="5" t="s">
        <v>29</v>
      </c>
      <c r="O204" s="5" t="s">
        <v>42</v>
      </c>
      <c r="P204" s="5">
        <v>2</v>
      </c>
      <c r="Q204" s="5">
        <v>10</v>
      </c>
      <c r="R204" s="5" t="b">
        <v>1</v>
      </c>
      <c r="S204" s="5">
        <v>5</v>
      </c>
      <c r="T204" s="5">
        <v>5</v>
      </c>
    </row>
    <row r="205" spans="1:20">
      <c r="A205" s="5" t="s">
        <v>453</v>
      </c>
      <c r="B205" s="5" t="s">
        <v>454</v>
      </c>
      <c r="C205" s="6">
        <v>44949</v>
      </c>
      <c r="D205" s="6" t="str">
        <f t="shared" si="7"/>
        <v>Monday</v>
      </c>
      <c r="E205" s="5">
        <v>18</v>
      </c>
      <c r="F205" s="5" t="str">
        <f t="shared" si="6"/>
        <v>Gen Z</v>
      </c>
      <c r="G205" s="5" t="s">
        <v>27</v>
      </c>
      <c r="H205" s="5" t="s">
        <v>28</v>
      </c>
      <c r="I205" s="5" t="s">
        <v>40</v>
      </c>
      <c r="J205" s="5">
        <v>1052.01</v>
      </c>
      <c r="K205" s="5">
        <v>4</v>
      </c>
      <c r="L205" s="5">
        <v>245.44</v>
      </c>
      <c r="M205" s="5">
        <v>3962.6</v>
      </c>
      <c r="N205" s="5" t="s">
        <v>29</v>
      </c>
      <c r="O205" s="5" t="s">
        <v>42</v>
      </c>
      <c r="P205" s="5">
        <v>9</v>
      </c>
      <c r="Q205" s="5">
        <v>8</v>
      </c>
      <c r="R205" s="5" t="b">
        <v>1</v>
      </c>
      <c r="S205" s="5">
        <v>9</v>
      </c>
      <c r="T205" s="5">
        <v>4</v>
      </c>
    </row>
    <row r="206" spans="1:20">
      <c r="A206" s="5" t="s">
        <v>455</v>
      </c>
      <c r="B206" s="5" t="s">
        <v>456</v>
      </c>
      <c r="C206" s="6">
        <v>44949</v>
      </c>
      <c r="D206" s="6" t="str">
        <f t="shared" si="7"/>
        <v>Monday</v>
      </c>
      <c r="E206" s="5">
        <v>18</v>
      </c>
      <c r="F206" s="5" t="str">
        <f t="shared" si="6"/>
        <v>Gen Z</v>
      </c>
      <c r="G206" s="5" t="s">
        <v>20</v>
      </c>
      <c r="H206" s="5" t="s">
        <v>36</v>
      </c>
      <c r="I206" s="5" t="s">
        <v>40</v>
      </c>
      <c r="J206" s="5">
        <v>764.79</v>
      </c>
      <c r="K206" s="5">
        <v>1</v>
      </c>
      <c r="L206" s="5">
        <v>0</v>
      </c>
      <c r="M206" s="5">
        <v>764.79</v>
      </c>
      <c r="N206" s="5" t="s">
        <v>23</v>
      </c>
      <c r="O206" s="5" t="s">
        <v>24</v>
      </c>
      <c r="P206" s="5">
        <v>20</v>
      </c>
      <c r="Q206" s="5">
        <v>5</v>
      </c>
      <c r="R206" s="5" t="b">
        <v>1</v>
      </c>
      <c r="S206" s="5">
        <v>10</v>
      </c>
      <c r="T206" s="5">
        <v>1</v>
      </c>
    </row>
    <row r="207" spans="1:20">
      <c r="A207" s="5" t="s">
        <v>457</v>
      </c>
      <c r="B207" s="5" t="s">
        <v>458</v>
      </c>
      <c r="C207" s="6">
        <v>44949</v>
      </c>
      <c r="D207" s="6" t="str">
        <f t="shared" si="7"/>
        <v>Monday</v>
      </c>
      <c r="E207" s="5">
        <v>35</v>
      </c>
      <c r="F207" s="5" t="str">
        <f t="shared" si="6"/>
        <v>Millennials</v>
      </c>
      <c r="G207" s="5" t="s">
        <v>20</v>
      </c>
      <c r="H207" s="5" t="s">
        <v>124</v>
      </c>
      <c r="I207" s="5" t="s">
        <v>40</v>
      </c>
      <c r="J207" s="5">
        <v>1926.52</v>
      </c>
      <c r="K207" s="5">
        <v>2</v>
      </c>
      <c r="L207" s="5">
        <v>222.93</v>
      </c>
      <c r="M207" s="5">
        <v>3630.11</v>
      </c>
      <c r="N207" s="5" t="s">
        <v>29</v>
      </c>
      <c r="O207" s="5" t="s">
        <v>42</v>
      </c>
      <c r="P207" s="5">
        <v>12</v>
      </c>
      <c r="Q207" s="5">
        <v>6</v>
      </c>
      <c r="R207" s="5" t="b">
        <v>1</v>
      </c>
      <c r="S207" s="5">
        <v>9</v>
      </c>
      <c r="T207" s="5">
        <v>5</v>
      </c>
    </row>
    <row r="208" spans="1:20">
      <c r="A208" s="5" t="s">
        <v>459</v>
      </c>
      <c r="B208" s="5" t="s">
        <v>460</v>
      </c>
      <c r="C208" s="6">
        <v>44949</v>
      </c>
      <c r="D208" s="6" t="str">
        <f t="shared" si="7"/>
        <v>Monday</v>
      </c>
      <c r="E208" s="5">
        <v>18</v>
      </c>
      <c r="F208" s="5" t="str">
        <f t="shared" si="6"/>
        <v>Gen Z</v>
      </c>
      <c r="G208" s="5" t="s">
        <v>129</v>
      </c>
      <c r="H208" s="5" t="s">
        <v>32</v>
      </c>
      <c r="I208" s="5" t="s">
        <v>70</v>
      </c>
      <c r="J208" s="5">
        <v>35.4</v>
      </c>
      <c r="K208" s="5">
        <v>2</v>
      </c>
      <c r="L208" s="5">
        <v>3.14</v>
      </c>
      <c r="M208" s="5">
        <v>67.66</v>
      </c>
      <c r="N208" s="5" t="s">
        <v>23</v>
      </c>
      <c r="O208" s="5" t="s">
        <v>42</v>
      </c>
      <c r="P208" s="5">
        <v>26</v>
      </c>
      <c r="Q208" s="5">
        <v>8</v>
      </c>
      <c r="R208" s="5" t="b">
        <v>0</v>
      </c>
      <c r="S208" s="5">
        <v>3</v>
      </c>
      <c r="T208" s="5">
        <v>4</v>
      </c>
    </row>
    <row r="209" spans="1:20">
      <c r="A209" s="5" t="s">
        <v>461</v>
      </c>
      <c r="B209" s="5" t="s">
        <v>462</v>
      </c>
      <c r="C209" s="6">
        <v>44949</v>
      </c>
      <c r="D209" s="6" t="str">
        <f t="shared" si="7"/>
        <v>Monday</v>
      </c>
      <c r="E209" s="5">
        <v>27</v>
      </c>
      <c r="F209" s="5" t="str">
        <f t="shared" si="6"/>
        <v>Millennials</v>
      </c>
      <c r="G209" s="5" t="s">
        <v>27</v>
      </c>
      <c r="H209" s="5" t="s">
        <v>36</v>
      </c>
      <c r="I209" s="5" t="s">
        <v>40</v>
      </c>
      <c r="J209" s="5">
        <v>450.37</v>
      </c>
      <c r="K209" s="5">
        <v>1</v>
      </c>
      <c r="L209" s="5">
        <v>0</v>
      </c>
      <c r="M209" s="5">
        <v>450.37</v>
      </c>
      <c r="N209" s="5" t="s">
        <v>29</v>
      </c>
      <c r="O209" s="5" t="s">
        <v>24</v>
      </c>
      <c r="P209" s="5">
        <v>22</v>
      </c>
      <c r="Q209" s="5">
        <v>9</v>
      </c>
      <c r="R209" s="5" t="b">
        <v>0</v>
      </c>
      <c r="S209" s="5">
        <v>3</v>
      </c>
      <c r="T209" s="5">
        <v>5</v>
      </c>
    </row>
    <row r="210" spans="1:20">
      <c r="A210" s="5" t="s">
        <v>463</v>
      </c>
      <c r="B210" s="5" t="s">
        <v>464</v>
      </c>
      <c r="C210" s="6">
        <v>44949</v>
      </c>
      <c r="D210" s="6" t="str">
        <f t="shared" si="7"/>
        <v>Monday</v>
      </c>
      <c r="E210" s="5">
        <v>18</v>
      </c>
      <c r="F210" s="5" t="str">
        <f t="shared" si="6"/>
        <v>Gen Z</v>
      </c>
      <c r="G210" s="5" t="s">
        <v>20</v>
      </c>
      <c r="H210" s="5" t="s">
        <v>83</v>
      </c>
      <c r="I210" s="5" t="s">
        <v>33</v>
      </c>
      <c r="J210" s="5">
        <v>57.48</v>
      </c>
      <c r="K210" s="5">
        <v>2</v>
      </c>
      <c r="L210" s="5">
        <v>10.25</v>
      </c>
      <c r="M210" s="5">
        <v>104.71</v>
      </c>
      <c r="N210" s="5" t="s">
        <v>49</v>
      </c>
      <c r="O210" s="5" t="s">
        <v>24</v>
      </c>
      <c r="P210" s="5">
        <v>19</v>
      </c>
      <c r="Q210" s="5">
        <v>7</v>
      </c>
      <c r="R210" s="5" t="b">
        <v>1</v>
      </c>
      <c r="S210" s="5">
        <v>7</v>
      </c>
      <c r="T210" s="5">
        <v>5</v>
      </c>
    </row>
    <row r="211" spans="1:20">
      <c r="A211" s="5" t="s">
        <v>465</v>
      </c>
      <c r="B211" s="5" t="s">
        <v>466</v>
      </c>
      <c r="C211" s="6">
        <v>44949</v>
      </c>
      <c r="D211" s="6" t="str">
        <f t="shared" si="7"/>
        <v>Monday</v>
      </c>
      <c r="E211" s="5">
        <v>48</v>
      </c>
      <c r="F211" s="5" t="str">
        <f t="shared" si="6"/>
        <v>Gen X/Boomers</v>
      </c>
      <c r="G211" s="5" t="s">
        <v>20</v>
      </c>
      <c r="H211" s="5" t="s">
        <v>36</v>
      </c>
      <c r="I211" s="5" t="s">
        <v>67</v>
      </c>
      <c r="J211" s="5">
        <v>113.93</v>
      </c>
      <c r="K211" s="5">
        <v>2</v>
      </c>
      <c r="L211" s="5">
        <v>0</v>
      </c>
      <c r="M211" s="5">
        <v>227.86</v>
      </c>
      <c r="N211" s="5" t="s">
        <v>29</v>
      </c>
      <c r="O211" s="5" t="s">
        <v>55</v>
      </c>
      <c r="P211" s="5">
        <v>13</v>
      </c>
      <c r="Q211" s="5">
        <v>10</v>
      </c>
      <c r="R211" s="5" t="b">
        <v>1</v>
      </c>
      <c r="S211" s="5">
        <v>3</v>
      </c>
      <c r="T211" s="5">
        <v>2</v>
      </c>
    </row>
    <row r="212" spans="1:20">
      <c r="A212" s="5" t="s">
        <v>467</v>
      </c>
      <c r="B212" s="5" t="s">
        <v>468</v>
      </c>
      <c r="C212" s="6">
        <v>44949</v>
      </c>
      <c r="D212" s="6" t="str">
        <f t="shared" si="7"/>
        <v>Monday</v>
      </c>
      <c r="E212" s="5">
        <v>59</v>
      </c>
      <c r="F212" s="5" t="str">
        <f t="shared" si="6"/>
        <v>Gen X/Boomers</v>
      </c>
      <c r="G212" s="5" t="s">
        <v>27</v>
      </c>
      <c r="H212" s="5" t="s">
        <v>178</v>
      </c>
      <c r="I212" s="5" t="s">
        <v>22</v>
      </c>
      <c r="J212" s="5">
        <v>112.82</v>
      </c>
      <c r="K212" s="5">
        <v>2</v>
      </c>
      <c r="L212" s="5">
        <v>0</v>
      </c>
      <c r="M212" s="5">
        <v>225.64</v>
      </c>
      <c r="N212" s="5" t="s">
        <v>23</v>
      </c>
      <c r="O212" s="5" t="s">
        <v>42</v>
      </c>
      <c r="P212" s="5">
        <v>3</v>
      </c>
      <c r="Q212" s="5">
        <v>5</v>
      </c>
      <c r="R212" s="5" t="b">
        <v>0</v>
      </c>
      <c r="S212" s="5">
        <v>6</v>
      </c>
      <c r="T212" s="5">
        <v>4</v>
      </c>
    </row>
    <row r="213" spans="1:20">
      <c r="A213" s="5" t="s">
        <v>469</v>
      </c>
      <c r="B213" s="5" t="s">
        <v>470</v>
      </c>
      <c r="C213" s="6">
        <v>44950</v>
      </c>
      <c r="D213" s="6" t="str">
        <f t="shared" si="7"/>
        <v>Tuesday</v>
      </c>
      <c r="E213" s="5">
        <v>21</v>
      </c>
      <c r="F213" s="5" t="str">
        <f t="shared" si="6"/>
        <v>Gen Z</v>
      </c>
      <c r="G213" s="5" t="s">
        <v>20</v>
      </c>
      <c r="H213" s="5" t="s">
        <v>178</v>
      </c>
      <c r="I213" s="5" t="s">
        <v>37</v>
      </c>
      <c r="J213" s="5">
        <v>4879.1400000000003</v>
      </c>
      <c r="K213" s="5">
        <v>1</v>
      </c>
      <c r="L213" s="5">
        <v>0</v>
      </c>
      <c r="M213" s="5">
        <v>4879.1400000000003</v>
      </c>
      <c r="N213" s="5" t="s">
        <v>23</v>
      </c>
      <c r="O213" s="5" t="s">
        <v>24</v>
      </c>
      <c r="P213" s="5">
        <v>8</v>
      </c>
      <c r="Q213" s="5">
        <v>15</v>
      </c>
      <c r="R213" s="5" t="b">
        <v>1</v>
      </c>
      <c r="S213" s="5">
        <v>5</v>
      </c>
      <c r="T213" s="5">
        <v>1</v>
      </c>
    </row>
    <row r="214" spans="1:20">
      <c r="A214" s="5" t="s">
        <v>471</v>
      </c>
      <c r="B214" s="5" t="s">
        <v>472</v>
      </c>
      <c r="C214" s="6">
        <v>44950</v>
      </c>
      <c r="D214" s="6" t="str">
        <f t="shared" si="7"/>
        <v>Tuesday</v>
      </c>
      <c r="E214" s="5">
        <v>39</v>
      </c>
      <c r="F214" s="5" t="str">
        <f t="shared" si="6"/>
        <v>Millennials</v>
      </c>
      <c r="G214" s="5" t="s">
        <v>27</v>
      </c>
      <c r="H214" s="5" t="s">
        <v>83</v>
      </c>
      <c r="I214" s="5" t="s">
        <v>40</v>
      </c>
      <c r="J214" s="5">
        <v>656.63</v>
      </c>
      <c r="K214" s="5">
        <v>1</v>
      </c>
      <c r="L214" s="5">
        <v>0</v>
      </c>
      <c r="M214" s="5">
        <v>656.63</v>
      </c>
      <c r="N214" s="5" t="s">
        <v>29</v>
      </c>
      <c r="O214" s="5" t="s">
        <v>24</v>
      </c>
      <c r="P214" s="5">
        <v>7</v>
      </c>
      <c r="Q214" s="5">
        <v>7</v>
      </c>
      <c r="R214" s="5" t="b">
        <v>0</v>
      </c>
      <c r="S214" s="5">
        <v>11</v>
      </c>
      <c r="T214" s="5">
        <v>4</v>
      </c>
    </row>
    <row r="215" spans="1:20">
      <c r="A215" s="5" t="s">
        <v>473</v>
      </c>
      <c r="B215" s="5" t="s">
        <v>474</v>
      </c>
      <c r="C215" s="6">
        <v>44950</v>
      </c>
      <c r="D215" s="6" t="str">
        <f t="shared" si="7"/>
        <v>Tuesday</v>
      </c>
      <c r="E215" s="5">
        <v>28</v>
      </c>
      <c r="F215" s="5" t="str">
        <f t="shared" si="6"/>
        <v>Millennials</v>
      </c>
      <c r="G215" s="5" t="s">
        <v>20</v>
      </c>
      <c r="H215" s="5" t="s">
        <v>36</v>
      </c>
      <c r="I215" s="5" t="s">
        <v>37</v>
      </c>
      <c r="J215" s="5">
        <v>953.09</v>
      </c>
      <c r="K215" s="5">
        <v>5</v>
      </c>
      <c r="L215" s="5">
        <v>0</v>
      </c>
      <c r="M215" s="5">
        <v>4765.45</v>
      </c>
      <c r="N215" s="5" t="s">
        <v>29</v>
      </c>
      <c r="O215" s="5" t="s">
        <v>42</v>
      </c>
      <c r="P215" s="5">
        <v>7</v>
      </c>
      <c r="Q215" s="5">
        <v>5</v>
      </c>
      <c r="R215" s="5" t="b">
        <v>0</v>
      </c>
      <c r="S215" s="5">
        <v>6</v>
      </c>
      <c r="T215" s="5">
        <v>2</v>
      </c>
    </row>
    <row r="216" spans="1:20">
      <c r="A216" s="5" t="s">
        <v>475</v>
      </c>
      <c r="B216" s="5" t="s">
        <v>476</v>
      </c>
      <c r="C216" s="6">
        <v>44950</v>
      </c>
      <c r="D216" s="6" t="str">
        <f t="shared" si="7"/>
        <v>Tuesday</v>
      </c>
      <c r="E216" s="5">
        <v>28</v>
      </c>
      <c r="F216" s="5" t="str">
        <f t="shared" si="6"/>
        <v>Millennials</v>
      </c>
      <c r="G216" s="5" t="s">
        <v>20</v>
      </c>
      <c r="H216" s="5" t="s">
        <v>48</v>
      </c>
      <c r="I216" s="5" t="s">
        <v>70</v>
      </c>
      <c r="J216" s="5">
        <v>96.67</v>
      </c>
      <c r="K216" s="5">
        <v>2</v>
      </c>
      <c r="L216" s="5">
        <v>19.579999999999998</v>
      </c>
      <c r="M216" s="5">
        <v>173.76</v>
      </c>
      <c r="N216" s="5" t="s">
        <v>49</v>
      </c>
      <c r="O216" s="5" t="s">
        <v>24</v>
      </c>
      <c r="P216" s="5">
        <v>13</v>
      </c>
      <c r="Q216" s="5">
        <v>13</v>
      </c>
      <c r="R216" s="5" t="b">
        <v>0</v>
      </c>
      <c r="S216" s="5">
        <v>5</v>
      </c>
      <c r="T216" s="5">
        <v>5</v>
      </c>
    </row>
    <row r="217" spans="1:20">
      <c r="A217" s="5" t="s">
        <v>477</v>
      </c>
      <c r="B217" s="5" t="s">
        <v>478</v>
      </c>
      <c r="C217" s="6">
        <v>44950</v>
      </c>
      <c r="D217" s="6" t="str">
        <f t="shared" si="7"/>
        <v>Tuesday</v>
      </c>
      <c r="E217" s="5">
        <v>33</v>
      </c>
      <c r="F217" s="5" t="str">
        <f t="shared" si="6"/>
        <v>Millennials</v>
      </c>
      <c r="G217" s="5" t="s">
        <v>20</v>
      </c>
      <c r="H217" s="5" t="s">
        <v>36</v>
      </c>
      <c r="I217" s="5" t="s">
        <v>40</v>
      </c>
      <c r="J217" s="5">
        <v>630.02</v>
      </c>
      <c r="K217" s="5">
        <v>4</v>
      </c>
      <c r="L217" s="5">
        <v>42.15</v>
      </c>
      <c r="M217" s="5">
        <v>2477.9299999999998</v>
      </c>
      <c r="N217" s="5" t="s">
        <v>23</v>
      </c>
      <c r="O217" s="5" t="s">
        <v>24</v>
      </c>
      <c r="P217" s="5">
        <v>36</v>
      </c>
      <c r="Q217" s="5">
        <v>10</v>
      </c>
      <c r="R217" s="5" t="b">
        <v>1</v>
      </c>
      <c r="S217" s="5">
        <v>10</v>
      </c>
      <c r="T217" s="5">
        <v>3</v>
      </c>
    </row>
    <row r="218" spans="1:20">
      <c r="A218" s="5" t="s">
        <v>479</v>
      </c>
      <c r="B218" s="5" t="s">
        <v>480</v>
      </c>
      <c r="C218" s="6">
        <v>44950</v>
      </c>
      <c r="D218" s="6" t="str">
        <f t="shared" si="7"/>
        <v>Tuesday</v>
      </c>
      <c r="E218" s="5">
        <v>25</v>
      </c>
      <c r="F218" s="5" t="str">
        <f t="shared" si="6"/>
        <v>Millennials</v>
      </c>
      <c r="G218" s="5" t="s">
        <v>20</v>
      </c>
      <c r="H218" s="5" t="s">
        <v>48</v>
      </c>
      <c r="I218" s="5" t="s">
        <v>37</v>
      </c>
      <c r="J218" s="5">
        <v>929.21</v>
      </c>
      <c r="K218" s="5">
        <v>5</v>
      </c>
      <c r="L218" s="5">
        <v>0</v>
      </c>
      <c r="M218" s="5">
        <v>4646.05</v>
      </c>
      <c r="N218" s="5" t="s">
        <v>49</v>
      </c>
      <c r="O218" s="5" t="s">
        <v>24</v>
      </c>
      <c r="P218" s="5">
        <v>14</v>
      </c>
      <c r="Q218" s="5">
        <v>10</v>
      </c>
      <c r="R218" s="5" t="b">
        <v>1</v>
      </c>
      <c r="S218" s="5">
        <v>10</v>
      </c>
      <c r="T218" s="5">
        <v>5</v>
      </c>
    </row>
    <row r="219" spans="1:20">
      <c r="A219" s="5" t="s">
        <v>481</v>
      </c>
      <c r="B219" s="5" t="s">
        <v>482</v>
      </c>
      <c r="C219" s="6">
        <v>44950</v>
      </c>
      <c r="D219" s="6" t="str">
        <f t="shared" si="7"/>
        <v>Tuesday</v>
      </c>
      <c r="E219" s="5">
        <v>40</v>
      </c>
      <c r="F219" s="5" t="str">
        <f t="shared" si="6"/>
        <v>Millennials</v>
      </c>
      <c r="G219" s="5" t="s">
        <v>20</v>
      </c>
      <c r="H219" s="5" t="s">
        <v>36</v>
      </c>
      <c r="I219" s="5" t="s">
        <v>67</v>
      </c>
      <c r="J219" s="5">
        <v>484.43</v>
      </c>
      <c r="K219" s="5">
        <v>1</v>
      </c>
      <c r="L219" s="5">
        <v>0</v>
      </c>
      <c r="M219" s="5">
        <v>484.43</v>
      </c>
      <c r="N219" s="5" t="s">
        <v>23</v>
      </c>
      <c r="O219" s="5" t="s">
        <v>24</v>
      </c>
      <c r="P219" s="5">
        <v>24</v>
      </c>
      <c r="Q219" s="5">
        <v>6</v>
      </c>
      <c r="R219" s="5" t="b">
        <v>0</v>
      </c>
      <c r="S219" s="5">
        <v>4</v>
      </c>
      <c r="T219" s="5">
        <v>3</v>
      </c>
    </row>
    <row r="220" spans="1:20">
      <c r="A220" s="5" t="s">
        <v>483</v>
      </c>
      <c r="B220" s="5" t="s">
        <v>484</v>
      </c>
      <c r="C220" s="6">
        <v>44950</v>
      </c>
      <c r="D220" s="6" t="str">
        <f t="shared" si="7"/>
        <v>Tuesday</v>
      </c>
      <c r="E220" s="5">
        <v>18</v>
      </c>
      <c r="F220" s="5" t="str">
        <f t="shared" si="6"/>
        <v>Gen Z</v>
      </c>
      <c r="G220" s="5" t="s">
        <v>20</v>
      </c>
      <c r="H220" s="5" t="s">
        <v>88</v>
      </c>
      <c r="I220" s="5" t="s">
        <v>33</v>
      </c>
      <c r="J220" s="5">
        <v>25.92</v>
      </c>
      <c r="K220" s="5">
        <v>2</v>
      </c>
      <c r="L220" s="5">
        <v>0</v>
      </c>
      <c r="M220" s="5">
        <v>51.84</v>
      </c>
      <c r="N220" s="5" t="s">
        <v>29</v>
      </c>
      <c r="O220" s="5" t="s">
        <v>42</v>
      </c>
      <c r="P220" s="5">
        <v>20</v>
      </c>
      <c r="Q220" s="5">
        <v>6</v>
      </c>
      <c r="R220" s="5" t="b">
        <v>0</v>
      </c>
      <c r="S220" s="5">
        <v>3</v>
      </c>
      <c r="T220" s="5">
        <v>4</v>
      </c>
    </row>
    <row r="221" spans="1:20">
      <c r="A221" s="5" t="s">
        <v>485</v>
      </c>
      <c r="B221" s="5" t="s">
        <v>486</v>
      </c>
      <c r="C221" s="6">
        <v>44950</v>
      </c>
      <c r="D221" s="6" t="str">
        <f t="shared" si="7"/>
        <v>Tuesday</v>
      </c>
      <c r="E221" s="5">
        <v>37</v>
      </c>
      <c r="F221" s="5" t="str">
        <f t="shared" si="6"/>
        <v>Millennials</v>
      </c>
      <c r="G221" s="5" t="s">
        <v>20</v>
      </c>
      <c r="H221" s="5" t="s">
        <v>21</v>
      </c>
      <c r="I221" s="5" t="s">
        <v>54</v>
      </c>
      <c r="J221" s="5">
        <v>656.43</v>
      </c>
      <c r="K221" s="5">
        <v>2</v>
      </c>
      <c r="L221" s="5">
        <v>35.67</v>
      </c>
      <c r="M221" s="5">
        <v>1277.19</v>
      </c>
      <c r="N221" s="5" t="s">
        <v>29</v>
      </c>
      <c r="O221" s="5" t="s">
        <v>42</v>
      </c>
      <c r="P221" s="5">
        <v>1</v>
      </c>
      <c r="Q221" s="5">
        <v>12</v>
      </c>
      <c r="R221" s="5" t="b">
        <v>1</v>
      </c>
      <c r="S221" s="5">
        <v>5</v>
      </c>
      <c r="T221" s="5">
        <v>5</v>
      </c>
    </row>
    <row r="222" spans="1:20">
      <c r="A222" s="5" t="s">
        <v>487</v>
      </c>
      <c r="B222" s="5" t="s">
        <v>488</v>
      </c>
      <c r="C222" s="6">
        <v>44950</v>
      </c>
      <c r="D222" s="6" t="str">
        <f t="shared" si="7"/>
        <v>Tuesday</v>
      </c>
      <c r="E222" s="5">
        <v>45</v>
      </c>
      <c r="F222" s="5" t="str">
        <f t="shared" si="6"/>
        <v>Gen X/Boomers</v>
      </c>
      <c r="G222" s="5" t="s">
        <v>27</v>
      </c>
      <c r="H222" s="5" t="s">
        <v>178</v>
      </c>
      <c r="I222" s="5" t="s">
        <v>70</v>
      </c>
      <c r="J222" s="5">
        <v>24.48</v>
      </c>
      <c r="K222" s="5">
        <v>2</v>
      </c>
      <c r="L222" s="5">
        <v>6.69</v>
      </c>
      <c r="M222" s="5">
        <v>42.27</v>
      </c>
      <c r="N222" s="5" t="s">
        <v>23</v>
      </c>
      <c r="O222" s="5" t="s">
        <v>24</v>
      </c>
      <c r="P222" s="5">
        <v>13</v>
      </c>
      <c r="Q222" s="5">
        <v>6</v>
      </c>
      <c r="R222" s="5" t="b">
        <v>1</v>
      </c>
      <c r="S222" s="5">
        <v>8</v>
      </c>
      <c r="T222" s="5">
        <v>3</v>
      </c>
    </row>
    <row r="223" spans="1:20">
      <c r="A223" s="5" t="s">
        <v>489</v>
      </c>
      <c r="B223" s="5" t="s">
        <v>490</v>
      </c>
      <c r="C223" s="6">
        <v>44950</v>
      </c>
      <c r="D223" s="6" t="str">
        <f t="shared" si="7"/>
        <v>Tuesday</v>
      </c>
      <c r="E223" s="5">
        <v>41</v>
      </c>
      <c r="F223" s="5" t="str">
        <f t="shared" si="6"/>
        <v>Millennials</v>
      </c>
      <c r="G223" s="5" t="s">
        <v>20</v>
      </c>
      <c r="H223" s="5" t="s">
        <v>32</v>
      </c>
      <c r="I223" s="5" t="s">
        <v>22</v>
      </c>
      <c r="J223" s="5">
        <v>114.64</v>
      </c>
      <c r="K223" s="5">
        <v>1</v>
      </c>
      <c r="L223" s="5">
        <v>0</v>
      </c>
      <c r="M223" s="5">
        <v>114.64</v>
      </c>
      <c r="N223" s="5" t="s">
        <v>29</v>
      </c>
      <c r="O223" s="5" t="s">
        <v>24</v>
      </c>
      <c r="P223" s="5">
        <v>1</v>
      </c>
      <c r="Q223" s="5">
        <v>14</v>
      </c>
      <c r="R223" s="5" t="b">
        <v>1</v>
      </c>
      <c r="S223" s="5">
        <v>4</v>
      </c>
      <c r="T223" s="5">
        <v>4</v>
      </c>
    </row>
    <row r="224" spans="1:20">
      <c r="A224" s="5" t="s">
        <v>491</v>
      </c>
      <c r="B224" s="5" t="s">
        <v>492</v>
      </c>
      <c r="C224" s="6">
        <v>44950</v>
      </c>
      <c r="D224" s="6" t="str">
        <f t="shared" si="7"/>
        <v>Tuesday</v>
      </c>
      <c r="E224" s="5">
        <v>48</v>
      </c>
      <c r="F224" s="5" t="str">
        <f t="shared" si="6"/>
        <v>Gen X/Boomers</v>
      </c>
      <c r="G224" s="5" t="s">
        <v>27</v>
      </c>
      <c r="H224" s="5" t="s">
        <v>32</v>
      </c>
      <c r="I224" s="5" t="s">
        <v>37</v>
      </c>
      <c r="J224" s="5">
        <v>475.66</v>
      </c>
      <c r="K224" s="5">
        <v>1</v>
      </c>
      <c r="L224" s="5">
        <v>0</v>
      </c>
      <c r="M224" s="5">
        <v>475.66</v>
      </c>
      <c r="N224" s="5" t="s">
        <v>41</v>
      </c>
      <c r="O224" s="5" t="s">
        <v>24</v>
      </c>
      <c r="P224" s="5">
        <v>4</v>
      </c>
      <c r="Q224" s="5">
        <v>3</v>
      </c>
      <c r="R224" s="5" t="b">
        <v>1</v>
      </c>
      <c r="S224" s="5">
        <v>16</v>
      </c>
      <c r="T224" s="5">
        <v>5</v>
      </c>
    </row>
    <row r="225" spans="1:20">
      <c r="A225" s="5" t="s">
        <v>493</v>
      </c>
      <c r="B225" s="5" t="s">
        <v>494</v>
      </c>
      <c r="C225" s="6">
        <v>44950</v>
      </c>
      <c r="D225" s="6" t="str">
        <f t="shared" si="7"/>
        <v>Tuesday</v>
      </c>
      <c r="E225" s="5">
        <v>31</v>
      </c>
      <c r="F225" s="5" t="str">
        <f t="shared" si="6"/>
        <v>Millennials</v>
      </c>
      <c r="G225" s="5" t="s">
        <v>27</v>
      </c>
      <c r="H225" s="5" t="s">
        <v>36</v>
      </c>
      <c r="I225" s="5" t="s">
        <v>70</v>
      </c>
      <c r="J225" s="5">
        <v>39.770000000000003</v>
      </c>
      <c r="K225" s="5">
        <v>1</v>
      </c>
      <c r="L225" s="5">
        <v>0</v>
      </c>
      <c r="M225" s="5">
        <v>39.770000000000003</v>
      </c>
      <c r="N225" s="5" t="s">
        <v>49</v>
      </c>
      <c r="O225" s="5" t="s">
        <v>24</v>
      </c>
      <c r="P225" s="5">
        <v>12</v>
      </c>
      <c r="Q225" s="5">
        <v>6</v>
      </c>
      <c r="R225" s="5" t="b">
        <v>0</v>
      </c>
      <c r="S225" s="5">
        <v>9</v>
      </c>
      <c r="T225" s="5">
        <v>5</v>
      </c>
    </row>
    <row r="226" spans="1:20">
      <c r="A226" s="5" t="s">
        <v>495</v>
      </c>
      <c r="B226" s="5" t="s">
        <v>496</v>
      </c>
      <c r="C226" s="6">
        <v>44950</v>
      </c>
      <c r="D226" s="6" t="str">
        <f t="shared" si="7"/>
        <v>Tuesday</v>
      </c>
      <c r="E226" s="5">
        <v>26</v>
      </c>
      <c r="F226" s="5" t="str">
        <f t="shared" si="6"/>
        <v>Millennials</v>
      </c>
      <c r="G226" s="5" t="s">
        <v>20</v>
      </c>
      <c r="H226" s="5" t="s">
        <v>48</v>
      </c>
      <c r="I226" s="5" t="s">
        <v>67</v>
      </c>
      <c r="J226" s="5">
        <v>529.51</v>
      </c>
      <c r="K226" s="5">
        <v>3</v>
      </c>
      <c r="L226" s="5">
        <v>114.28</v>
      </c>
      <c r="M226" s="5">
        <v>1474.25</v>
      </c>
      <c r="N226" s="5" t="s">
        <v>41</v>
      </c>
      <c r="O226" s="5" t="s">
        <v>24</v>
      </c>
      <c r="P226" s="5">
        <v>15</v>
      </c>
      <c r="Q226" s="5">
        <v>9</v>
      </c>
      <c r="R226" s="5" t="b">
        <v>0</v>
      </c>
      <c r="S226" s="5">
        <v>3</v>
      </c>
      <c r="T226" s="5">
        <v>5</v>
      </c>
    </row>
    <row r="227" spans="1:20">
      <c r="A227" s="5" t="s">
        <v>497</v>
      </c>
      <c r="B227" s="5" t="s">
        <v>498</v>
      </c>
      <c r="C227" s="6">
        <v>44950</v>
      </c>
      <c r="D227" s="6" t="str">
        <f t="shared" si="7"/>
        <v>Tuesday</v>
      </c>
      <c r="E227" s="5">
        <v>36</v>
      </c>
      <c r="F227" s="5" t="str">
        <f t="shared" si="6"/>
        <v>Millennials</v>
      </c>
      <c r="G227" s="5" t="s">
        <v>20</v>
      </c>
      <c r="H227" s="5" t="s">
        <v>83</v>
      </c>
      <c r="I227" s="5" t="s">
        <v>40</v>
      </c>
      <c r="J227" s="5">
        <v>588.71</v>
      </c>
      <c r="K227" s="5">
        <v>2</v>
      </c>
      <c r="L227" s="5">
        <v>46.14</v>
      </c>
      <c r="M227" s="5">
        <v>1131.28</v>
      </c>
      <c r="N227" s="5" t="s">
        <v>49</v>
      </c>
      <c r="O227" s="5" t="s">
        <v>24</v>
      </c>
      <c r="P227" s="5">
        <v>20</v>
      </c>
      <c r="Q227" s="5">
        <v>6</v>
      </c>
      <c r="R227" s="5" t="b">
        <v>1</v>
      </c>
      <c r="S227" s="5">
        <v>4</v>
      </c>
      <c r="T227" s="5">
        <v>5</v>
      </c>
    </row>
    <row r="228" spans="1:20">
      <c r="A228" s="5" t="s">
        <v>499</v>
      </c>
      <c r="B228" s="5" t="s">
        <v>500</v>
      </c>
      <c r="C228" s="6">
        <v>44951</v>
      </c>
      <c r="D228" s="6" t="str">
        <f t="shared" si="7"/>
        <v>Wednesday</v>
      </c>
      <c r="E228" s="5">
        <v>32</v>
      </c>
      <c r="F228" s="5" t="str">
        <f t="shared" si="6"/>
        <v>Millennials</v>
      </c>
      <c r="G228" s="5" t="s">
        <v>20</v>
      </c>
      <c r="H228" s="5" t="s">
        <v>48</v>
      </c>
      <c r="I228" s="5" t="s">
        <v>45</v>
      </c>
      <c r="J228" s="5">
        <v>270.97000000000003</v>
      </c>
      <c r="K228" s="5">
        <v>1</v>
      </c>
      <c r="L228" s="5">
        <v>0</v>
      </c>
      <c r="M228" s="5">
        <v>270.97000000000003</v>
      </c>
      <c r="N228" s="5" t="s">
        <v>29</v>
      </c>
      <c r="O228" s="5" t="s">
        <v>24</v>
      </c>
      <c r="P228" s="5">
        <v>12</v>
      </c>
      <c r="Q228" s="5">
        <v>11</v>
      </c>
      <c r="R228" s="5" t="b">
        <v>0</v>
      </c>
      <c r="S228" s="5">
        <v>9</v>
      </c>
      <c r="T228" s="5">
        <v>4</v>
      </c>
    </row>
    <row r="229" spans="1:20">
      <c r="A229" s="5" t="s">
        <v>501</v>
      </c>
      <c r="B229" s="5" t="s">
        <v>502</v>
      </c>
      <c r="C229" s="6">
        <v>44951</v>
      </c>
      <c r="D229" s="6" t="str">
        <f t="shared" si="7"/>
        <v>Wednesday</v>
      </c>
      <c r="E229" s="5">
        <v>45</v>
      </c>
      <c r="F229" s="5" t="str">
        <f t="shared" si="6"/>
        <v>Gen X/Boomers</v>
      </c>
      <c r="G229" s="5" t="s">
        <v>27</v>
      </c>
      <c r="H229" s="5" t="s">
        <v>32</v>
      </c>
      <c r="I229" s="5" t="s">
        <v>70</v>
      </c>
      <c r="J229" s="5">
        <v>72.72</v>
      </c>
      <c r="K229" s="5">
        <v>2</v>
      </c>
      <c r="L229" s="5">
        <v>0</v>
      </c>
      <c r="M229" s="5">
        <v>145.44</v>
      </c>
      <c r="N229" s="5" t="s">
        <v>49</v>
      </c>
      <c r="O229" s="5" t="s">
        <v>24</v>
      </c>
      <c r="P229" s="5">
        <v>12</v>
      </c>
      <c r="Q229" s="5">
        <v>10</v>
      </c>
      <c r="R229" s="5" t="b">
        <v>0</v>
      </c>
      <c r="S229" s="5">
        <v>8</v>
      </c>
      <c r="T229" s="5">
        <v>5</v>
      </c>
    </row>
    <row r="230" spans="1:20">
      <c r="A230" s="5" t="s">
        <v>503</v>
      </c>
      <c r="B230" s="5" t="s">
        <v>504</v>
      </c>
      <c r="C230" s="6">
        <v>44951</v>
      </c>
      <c r="D230" s="6" t="str">
        <f t="shared" si="7"/>
        <v>Wednesday</v>
      </c>
      <c r="E230" s="5">
        <v>28</v>
      </c>
      <c r="F230" s="5" t="str">
        <f t="shared" si="6"/>
        <v>Millennials</v>
      </c>
      <c r="G230" s="5" t="s">
        <v>20</v>
      </c>
      <c r="H230" s="5" t="s">
        <v>48</v>
      </c>
      <c r="I230" s="5" t="s">
        <v>22</v>
      </c>
      <c r="J230" s="5">
        <v>252.88</v>
      </c>
      <c r="K230" s="5">
        <v>1</v>
      </c>
      <c r="L230" s="5">
        <v>0</v>
      </c>
      <c r="M230" s="5">
        <v>252.88</v>
      </c>
      <c r="N230" s="5" t="s">
        <v>23</v>
      </c>
      <c r="O230" s="5" t="s">
        <v>24</v>
      </c>
      <c r="P230" s="5">
        <v>14</v>
      </c>
      <c r="Q230" s="5">
        <v>12</v>
      </c>
      <c r="R230" s="5" t="b">
        <v>0</v>
      </c>
      <c r="S230" s="5">
        <v>2</v>
      </c>
      <c r="T230" s="5">
        <v>5</v>
      </c>
    </row>
    <row r="231" spans="1:20">
      <c r="A231" s="5" t="s">
        <v>505</v>
      </c>
      <c r="B231" s="5" t="s">
        <v>506</v>
      </c>
      <c r="C231" s="6">
        <v>44951</v>
      </c>
      <c r="D231" s="6" t="str">
        <f t="shared" si="7"/>
        <v>Wednesday</v>
      </c>
      <c r="E231" s="5">
        <v>48</v>
      </c>
      <c r="F231" s="5" t="str">
        <f t="shared" si="6"/>
        <v>Gen X/Boomers</v>
      </c>
      <c r="G231" s="5" t="s">
        <v>27</v>
      </c>
      <c r="H231" s="5" t="s">
        <v>32</v>
      </c>
      <c r="I231" s="5" t="s">
        <v>67</v>
      </c>
      <c r="J231" s="5">
        <v>1049.78</v>
      </c>
      <c r="K231" s="5">
        <v>2</v>
      </c>
      <c r="L231" s="5">
        <v>0</v>
      </c>
      <c r="M231" s="5">
        <v>2099.56</v>
      </c>
      <c r="N231" s="5" t="s">
        <v>49</v>
      </c>
      <c r="O231" s="5" t="s">
        <v>24</v>
      </c>
      <c r="P231" s="5">
        <v>10</v>
      </c>
      <c r="Q231" s="5">
        <v>7</v>
      </c>
      <c r="R231" s="5" t="b">
        <v>1</v>
      </c>
      <c r="S231" s="5">
        <v>11</v>
      </c>
      <c r="T231" s="5">
        <v>5</v>
      </c>
    </row>
    <row r="232" spans="1:20">
      <c r="A232" s="5" t="s">
        <v>507</v>
      </c>
      <c r="B232" s="5" t="s">
        <v>508</v>
      </c>
      <c r="C232" s="6">
        <v>44951</v>
      </c>
      <c r="D232" s="6" t="str">
        <f t="shared" si="7"/>
        <v>Wednesday</v>
      </c>
      <c r="E232" s="5">
        <v>35</v>
      </c>
      <c r="F232" s="5" t="str">
        <f t="shared" si="6"/>
        <v>Millennials</v>
      </c>
      <c r="G232" s="5" t="s">
        <v>20</v>
      </c>
      <c r="H232" s="5" t="s">
        <v>36</v>
      </c>
      <c r="I232" s="5" t="s">
        <v>40</v>
      </c>
      <c r="J232" s="5">
        <v>457.88</v>
      </c>
      <c r="K232" s="5">
        <v>2</v>
      </c>
      <c r="L232" s="5">
        <v>0</v>
      </c>
      <c r="M232" s="5">
        <v>915.76</v>
      </c>
      <c r="N232" s="5" t="s">
        <v>29</v>
      </c>
      <c r="O232" s="5" t="s">
        <v>42</v>
      </c>
      <c r="P232" s="5">
        <v>5</v>
      </c>
      <c r="Q232" s="5">
        <v>8</v>
      </c>
      <c r="R232" s="5" t="b">
        <v>1</v>
      </c>
      <c r="S232" s="5">
        <v>6</v>
      </c>
      <c r="T232" s="5">
        <v>4</v>
      </c>
    </row>
    <row r="233" spans="1:20">
      <c r="A233" s="5" t="s">
        <v>509</v>
      </c>
      <c r="B233" s="5" t="s">
        <v>510</v>
      </c>
      <c r="C233" s="6">
        <v>44951</v>
      </c>
      <c r="D233" s="6" t="str">
        <f t="shared" si="7"/>
        <v>Wednesday</v>
      </c>
      <c r="E233" s="5">
        <v>29</v>
      </c>
      <c r="F233" s="5" t="str">
        <f t="shared" si="6"/>
        <v>Millennials</v>
      </c>
      <c r="G233" s="5" t="s">
        <v>20</v>
      </c>
      <c r="H233" s="5" t="s">
        <v>36</v>
      </c>
      <c r="I233" s="5" t="s">
        <v>40</v>
      </c>
      <c r="J233" s="5">
        <v>293.77</v>
      </c>
      <c r="K233" s="5">
        <v>1</v>
      </c>
      <c r="L233" s="5">
        <v>0</v>
      </c>
      <c r="M233" s="5">
        <v>293.77</v>
      </c>
      <c r="N233" s="5" t="s">
        <v>99</v>
      </c>
      <c r="O233" s="5" t="s">
        <v>24</v>
      </c>
      <c r="P233" s="5">
        <v>17</v>
      </c>
      <c r="Q233" s="5">
        <v>15</v>
      </c>
      <c r="R233" s="5" t="b">
        <v>1</v>
      </c>
      <c r="S233" s="5">
        <v>9</v>
      </c>
      <c r="T233" s="5">
        <v>5</v>
      </c>
    </row>
    <row r="234" spans="1:20">
      <c r="A234" s="5" t="s">
        <v>511</v>
      </c>
      <c r="B234" s="5" t="s">
        <v>512</v>
      </c>
      <c r="C234" s="6">
        <v>44951</v>
      </c>
      <c r="D234" s="6" t="str">
        <f t="shared" si="7"/>
        <v>Wednesday</v>
      </c>
      <c r="E234" s="5">
        <v>25</v>
      </c>
      <c r="F234" s="5" t="str">
        <f t="shared" si="6"/>
        <v>Millennials</v>
      </c>
      <c r="G234" s="5" t="s">
        <v>27</v>
      </c>
      <c r="H234" s="5" t="s">
        <v>36</v>
      </c>
      <c r="I234" s="5" t="s">
        <v>54</v>
      </c>
      <c r="J234" s="5">
        <v>186.51</v>
      </c>
      <c r="K234" s="5">
        <v>4</v>
      </c>
      <c r="L234" s="5">
        <v>54.02</v>
      </c>
      <c r="M234" s="5">
        <v>692.02</v>
      </c>
      <c r="N234" s="5" t="s">
        <v>29</v>
      </c>
      <c r="O234" s="5" t="s">
        <v>24</v>
      </c>
      <c r="P234" s="5">
        <v>4</v>
      </c>
      <c r="Q234" s="5">
        <v>7</v>
      </c>
      <c r="R234" s="5" t="b">
        <v>0</v>
      </c>
      <c r="S234" s="5">
        <v>11</v>
      </c>
      <c r="T234" s="5">
        <v>5</v>
      </c>
    </row>
    <row r="235" spans="1:20">
      <c r="A235" s="5" t="s">
        <v>513</v>
      </c>
      <c r="B235" s="5" t="s">
        <v>514</v>
      </c>
      <c r="C235" s="6">
        <v>44951</v>
      </c>
      <c r="D235" s="6" t="str">
        <f t="shared" si="7"/>
        <v>Wednesday</v>
      </c>
      <c r="E235" s="5">
        <v>21</v>
      </c>
      <c r="F235" s="5" t="str">
        <f t="shared" si="6"/>
        <v>Gen Z</v>
      </c>
      <c r="G235" s="5" t="s">
        <v>20</v>
      </c>
      <c r="H235" s="5" t="s">
        <v>83</v>
      </c>
      <c r="I235" s="5" t="s">
        <v>54</v>
      </c>
      <c r="J235" s="5">
        <v>242.04</v>
      </c>
      <c r="K235" s="5">
        <v>5</v>
      </c>
      <c r="L235" s="5">
        <v>0</v>
      </c>
      <c r="M235" s="5">
        <v>1210.2</v>
      </c>
      <c r="N235" s="5" t="s">
        <v>41</v>
      </c>
      <c r="O235" s="5" t="s">
        <v>42</v>
      </c>
      <c r="P235" s="5">
        <v>24</v>
      </c>
      <c r="Q235" s="5">
        <v>9</v>
      </c>
      <c r="R235" s="5" t="b">
        <v>0</v>
      </c>
      <c r="S235" s="5">
        <v>5</v>
      </c>
      <c r="T235" s="5">
        <v>4</v>
      </c>
    </row>
    <row r="236" spans="1:20">
      <c r="A236" s="5" t="s">
        <v>515</v>
      </c>
      <c r="B236" s="5" t="s">
        <v>516</v>
      </c>
      <c r="C236" s="6">
        <v>44952</v>
      </c>
      <c r="D236" s="6" t="str">
        <f t="shared" si="7"/>
        <v>Thursday</v>
      </c>
      <c r="E236" s="5">
        <v>36</v>
      </c>
      <c r="F236" s="5" t="str">
        <f t="shared" si="6"/>
        <v>Millennials</v>
      </c>
      <c r="G236" s="5" t="s">
        <v>20</v>
      </c>
      <c r="H236" s="5" t="s">
        <v>83</v>
      </c>
      <c r="I236" s="5" t="s">
        <v>45</v>
      </c>
      <c r="J236" s="5">
        <v>81.97</v>
      </c>
      <c r="K236" s="5">
        <v>2</v>
      </c>
      <c r="L236" s="5">
        <v>0</v>
      </c>
      <c r="M236" s="5">
        <v>163.94</v>
      </c>
      <c r="N236" s="5" t="s">
        <v>29</v>
      </c>
      <c r="O236" s="5" t="s">
        <v>24</v>
      </c>
      <c r="P236" s="5">
        <v>18</v>
      </c>
      <c r="Q236" s="5">
        <v>11</v>
      </c>
      <c r="R236" s="5" t="b">
        <v>0</v>
      </c>
      <c r="S236" s="5">
        <v>7</v>
      </c>
      <c r="T236" s="5">
        <v>1</v>
      </c>
    </row>
    <row r="237" spans="1:20">
      <c r="A237" s="5" t="s">
        <v>517</v>
      </c>
      <c r="B237" s="5" t="s">
        <v>518</v>
      </c>
      <c r="C237" s="6">
        <v>44952</v>
      </c>
      <c r="D237" s="6" t="str">
        <f t="shared" si="7"/>
        <v>Thursday</v>
      </c>
      <c r="E237" s="5">
        <v>35</v>
      </c>
      <c r="F237" s="5" t="str">
        <f t="shared" si="6"/>
        <v>Millennials</v>
      </c>
      <c r="G237" s="5" t="s">
        <v>27</v>
      </c>
      <c r="H237" s="5" t="s">
        <v>83</v>
      </c>
      <c r="I237" s="5" t="s">
        <v>22</v>
      </c>
      <c r="J237" s="5">
        <v>128.44999999999999</v>
      </c>
      <c r="K237" s="5">
        <v>1</v>
      </c>
      <c r="L237" s="5">
        <v>0</v>
      </c>
      <c r="M237" s="5">
        <v>128.44999999999999</v>
      </c>
      <c r="N237" s="5" t="s">
        <v>41</v>
      </c>
      <c r="O237" s="5" t="s">
        <v>42</v>
      </c>
      <c r="P237" s="5">
        <v>13</v>
      </c>
      <c r="Q237" s="5">
        <v>7</v>
      </c>
      <c r="R237" s="5" t="b">
        <v>0</v>
      </c>
      <c r="S237" s="5">
        <v>3</v>
      </c>
      <c r="T237" s="5">
        <v>4</v>
      </c>
    </row>
    <row r="238" spans="1:20">
      <c r="A238" s="5" t="s">
        <v>519</v>
      </c>
      <c r="B238" s="5" t="s">
        <v>520</v>
      </c>
      <c r="C238" s="6">
        <v>44952</v>
      </c>
      <c r="D238" s="6" t="str">
        <f t="shared" si="7"/>
        <v>Thursday</v>
      </c>
      <c r="E238" s="5">
        <v>54</v>
      </c>
      <c r="F238" s="5" t="str">
        <f t="shared" si="6"/>
        <v>Gen X/Boomers</v>
      </c>
      <c r="G238" s="5" t="s">
        <v>27</v>
      </c>
      <c r="H238" s="5" t="s">
        <v>178</v>
      </c>
      <c r="I238" s="5" t="s">
        <v>45</v>
      </c>
      <c r="J238" s="5">
        <v>145.91999999999999</v>
      </c>
      <c r="K238" s="5">
        <v>5</v>
      </c>
      <c r="L238" s="5">
        <v>23.31</v>
      </c>
      <c r="M238" s="5">
        <v>706.29</v>
      </c>
      <c r="N238" s="5" t="s">
        <v>29</v>
      </c>
      <c r="O238" s="5" t="s">
        <v>24</v>
      </c>
      <c r="P238" s="5">
        <v>11</v>
      </c>
      <c r="Q238" s="5">
        <v>12</v>
      </c>
      <c r="R238" s="5" t="b">
        <v>0</v>
      </c>
      <c r="S238" s="5">
        <v>5</v>
      </c>
      <c r="T238" s="5">
        <v>4</v>
      </c>
    </row>
    <row r="239" spans="1:20">
      <c r="A239" s="5" t="s">
        <v>521</v>
      </c>
      <c r="B239" s="5" t="s">
        <v>522</v>
      </c>
      <c r="C239" s="6">
        <v>44952</v>
      </c>
      <c r="D239" s="6" t="str">
        <f t="shared" si="7"/>
        <v>Thursday</v>
      </c>
      <c r="E239" s="5">
        <v>45</v>
      </c>
      <c r="F239" s="5" t="str">
        <f t="shared" si="6"/>
        <v>Gen X/Boomers</v>
      </c>
      <c r="G239" s="5" t="s">
        <v>20</v>
      </c>
      <c r="H239" s="5" t="s">
        <v>36</v>
      </c>
      <c r="I239" s="5" t="s">
        <v>54</v>
      </c>
      <c r="J239" s="5">
        <v>333.67</v>
      </c>
      <c r="K239" s="5">
        <v>1</v>
      </c>
      <c r="L239" s="5">
        <v>42.36</v>
      </c>
      <c r="M239" s="5">
        <v>291.31</v>
      </c>
      <c r="N239" s="5" t="s">
        <v>29</v>
      </c>
      <c r="O239" s="5" t="s">
        <v>24</v>
      </c>
      <c r="P239" s="5">
        <v>2</v>
      </c>
      <c r="Q239" s="5">
        <v>11</v>
      </c>
      <c r="R239" s="5" t="b">
        <v>0</v>
      </c>
      <c r="S239" s="5">
        <v>3</v>
      </c>
      <c r="T239" s="5">
        <v>5</v>
      </c>
    </row>
    <row r="240" spans="1:20">
      <c r="A240" s="5" t="s">
        <v>523</v>
      </c>
      <c r="B240" s="5" t="s">
        <v>524</v>
      </c>
      <c r="C240" s="6">
        <v>44952</v>
      </c>
      <c r="D240" s="6" t="str">
        <f t="shared" si="7"/>
        <v>Thursday</v>
      </c>
      <c r="E240" s="5">
        <v>33</v>
      </c>
      <c r="F240" s="5" t="str">
        <f t="shared" si="6"/>
        <v>Millennials</v>
      </c>
      <c r="G240" s="5" t="s">
        <v>20</v>
      </c>
      <c r="H240" s="5" t="s">
        <v>83</v>
      </c>
      <c r="I240" s="5" t="s">
        <v>67</v>
      </c>
      <c r="J240" s="5">
        <v>219.03</v>
      </c>
      <c r="K240" s="5">
        <v>3</v>
      </c>
      <c r="L240" s="5">
        <v>0</v>
      </c>
      <c r="M240" s="5">
        <v>657.09</v>
      </c>
      <c r="N240" s="5" t="s">
        <v>23</v>
      </c>
      <c r="O240" s="5" t="s">
        <v>42</v>
      </c>
      <c r="P240" s="5">
        <v>14</v>
      </c>
      <c r="Q240" s="5">
        <v>10</v>
      </c>
      <c r="R240" s="5" t="b">
        <v>0</v>
      </c>
      <c r="S240" s="5">
        <v>9</v>
      </c>
      <c r="T240" s="5">
        <v>1</v>
      </c>
    </row>
    <row r="241" spans="1:20">
      <c r="A241" s="5" t="s">
        <v>525</v>
      </c>
      <c r="B241" s="5" t="s">
        <v>526</v>
      </c>
      <c r="C241" s="6">
        <v>44952</v>
      </c>
      <c r="D241" s="6" t="str">
        <f t="shared" si="7"/>
        <v>Thursday</v>
      </c>
      <c r="E241" s="5">
        <v>37</v>
      </c>
      <c r="F241" s="5" t="str">
        <f t="shared" si="6"/>
        <v>Millennials</v>
      </c>
      <c r="G241" s="5" t="s">
        <v>20</v>
      </c>
      <c r="H241" s="5" t="s">
        <v>28</v>
      </c>
      <c r="I241" s="5" t="s">
        <v>40</v>
      </c>
      <c r="J241" s="5">
        <v>307.39999999999998</v>
      </c>
      <c r="K241" s="5">
        <v>4</v>
      </c>
      <c r="L241" s="5">
        <v>0</v>
      </c>
      <c r="M241" s="5">
        <v>1229.5999999999999</v>
      </c>
      <c r="N241" s="5" t="s">
        <v>99</v>
      </c>
      <c r="O241" s="5" t="s">
        <v>24</v>
      </c>
      <c r="P241" s="5">
        <v>11</v>
      </c>
      <c r="Q241" s="5">
        <v>8</v>
      </c>
      <c r="R241" s="5" t="b">
        <v>0</v>
      </c>
      <c r="S241" s="5">
        <v>6</v>
      </c>
      <c r="T241" s="5">
        <v>5</v>
      </c>
    </row>
    <row r="242" spans="1:20">
      <c r="A242" s="5" t="s">
        <v>527</v>
      </c>
      <c r="B242" s="5" t="s">
        <v>528</v>
      </c>
      <c r="C242" s="6">
        <v>44952</v>
      </c>
      <c r="D242" s="6" t="str">
        <f t="shared" si="7"/>
        <v>Thursday</v>
      </c>
      <c r="E242" s="5">
        <v>39</v>
      </c>
      <c r="F242" s="5" t="str">
        <f t="shared" si="6"/>
        <v>Millennials</v>
      </c>
      <c r="G242" s="5" t="s">
        <v>27</v>
      </c>
      <c r="H242" s="5" t="s">
        <v>36</v>
      </c>
      <c r="I242" s="5" t="s">
        <v>37</v>
      </c>
      <c r="J242" s="5">
        <v>1493.28</v>
      </c>
      <c r="K242" s="5">
        <v>1</v>
      </c>
      <c r="L242" s="5">
        <v>0</v>
      </c>
      <c r="M242" s="5">
        <v>1493.28</v>
      </c>
      <c r="N242" s="5" t="s">
        <v>29</v>
      </c>
      <c r="O242" s="5" t="s">
        <v>24</v>
      </c>
      <c r="P242" s="5">
        <v>8</v>
      </c>
      <c r="Q242" s="5">
        <v>8</v>
      </c>
      <c r="R242" s="5" t="b">
        <v>1</v>
      </c>
      <c r="S242" s="5">
        <v>7</v>
      </c>
      <c r="T242" s="5">
        <v>5</v>
      </c>
    </row>
    <row r="243" spans="1:20">
      <c r="A243" s="5" t="s">
        <v>529</v>
      </c>
      <c r="B243" s="5" t="s">
        <v>530</v>
      </c>
      <c r="C243" s="6">
        <v>44952</v>
      </c>
      <c r="D243" s="6" t="str">
        <f t="shared" si="7"/>
        <v>Thursday</v>
      </c>
      <c r="E243" s="5">
        <v>18</v>
      </c>
      <c r="F243" s="5" t="str">
        <f t="shared" si="6"/>
        <v>Gen Z</v>
      </c>
      <c r="G243" s="5" t="s">
        <v>20</v>
      </c>
      <c r="H243" s="5" t="s">
        <v>83</v>
      </c>
      <c r="I243" s="5" t="s">
        <v>40</v>
      </c>
      <c r="J243" s="5">
        <v>118.11</v>
      </c>
      <c r="K243" s="5">
        <v>1</v>
      </c>
      <c r="L243" s="5">
        <v>0</v>
      </c>
      <c r="M243" s="5">
        <v>118.11</v>
      </c>
      <c r="N243" s="5" t="s">
        <v>29</v>
      </c>
      <c r="O243" s="5" t="s">
        <v>42</v>
      </c>
      <c r="P243" s="5">
        <v>45</v>
      </c>
      <c r="Q243" s="5">
        <v>7</v>
      </c>
      <c r="R243" s="5" t="b">
        <v>1</v>
      </c>
      <c r="S243" s="5">
        <v>2</v>
      </c>
      <c r="T243" s="5">
        <v>5</v>
      </c>
    </row>
    <row r="244" spans="1:20">
      <c r="A244" s="5" t="s">
        <v>531</v>
      </c>
      <c r="B244" s="5" t="s">
        <v>532</v>
      </c>
      <c r="C244" s="6">
        <v>44952</v>
      </c>
      <c r="D244" s="6" t="str">
        <f t="shared" si="7"/>
        <v>Thursday</v>
      </c>
      <c r="E244" s="5">
        <v>34</v>
      </c>
      <c r="F244" s="5" t="str">
        <f t="shared" si="6"/>
        <v>Millennials</v>
      </c>
      <c r="G244" s="5" t="s">
        <v>20</v>
      </c>
      <c r="H244" s="5" t="s">
        <v>32</v>
      </c>
      <c r="I244" s="5" t="s">
        <v>22</v>
      </c>
      <c r="J244" s="5">
        <v>412.45</v>
      </c>
      <c r="K244" s="5">
        <v>2</v>
      </c>
      <c r="L244" s="5">
        <v>0</v>
      </c>
      <c r="M244" s="5">
        <v>824.9</v>
      </c>
      <c r="N244" s="5" t="s">
        <v>99</v>
      </c>
      <c r="O244" s="5" t="s">
        <v>24</v>
      </c>
      <c r="P244" s="5">
        <v>30</v>
      </c>
      <c r="Q244" s="5">
        <v>10</v>
      </c>
      <c r="R244" s="5" t="b">
        <v>1</v>
      </c>
      <c r="S244" s="5">
        <v>2</v>
      </c>
      <c r="T244" s="5">
        <v>4</v>
      </c>
    </row>
    <row r="245" spans="1:20">
      <c r="A245" s="5" t="s">
        <v>533</v>
      </c>
      <c r="B245" s="5" t="s">
        <v>534</v>
      </c>
      <c r="C245" s="6">
        <v>44952</v>
      </c>
      <c r="D245" s="6" t="str">
        <f t="shared" si="7"/>
        <v>Thursday</v>
      </c>
      <c r="E245" s="5">
        <v>47</v>
      </c>
      <c r="F245" s="5" t="str">
        <f t="shared" si="6"/>
        <v>Gen X/Boomers</v>
      </c>
      <c r="G245" s="5" t="s">
        <v>20</v>
      </c>
      <c r="H245" s="5" t="s">
        <v>21</v>
      </c>
      <c r="I245" s="5" t="s">
        <v>22</v>
      </c>
      <c r="J245" s="5">
        <v>101.84</v>
      </c>
      <c r="K245" s="5">
        <v>2</v>
      </c>
      <c r="L245" s="5">
        <v>0</v>
      </c>
      <c r="M245" s="5">
        <v>203.68</v>
      </c>
      <c r="N245" s="5" t="s">
        <v>29</v>
      </c>
      <c r="O245" s="5" t="s">
        <v>42</v>
      </c>
      <c r="P245" s="5">
        <v>16</v>
      </c>
      <c r="Q245" s="5">
        <v>11</v>
      </c>
      <c r="R245" s="5" t="b">
        <v>1</v>
      </c>
      <c r="S245" s="5">
        <v>3</v>
      </c>
      <c r="T245" s="5">
        <v>4</v>
      </c>
    </row>
    <row r="246" spans="1:20">
      <c r="A246" s="5" t="s">
        <v>535</v>
      </c>
      <c r="B246" s="5" t="s">
        <v>536</v>
      </c>
      <c r="C246" s="6">
        <v>44952</v>
      </c>
      <c r="D246" s="6" t="str">
        <f t="shared" si="7"/>
        <v>Thursday</v>
      </c>
      <c r="E246" s="5">
        <v>26</v>
      </c>
      <c r="F246" s="5" t="str">
        <f t="shared" si="6"/>
        <v>Millennials</v>
      </c>
      <c r="G246" s="5" t="s">
        <v>27</v>
      </c>
      <c r="H246" s="5" t="s">
        <v>48</v>
      </c>
      <c r="I246" s="5" t="s">
        <v>70</v>
      </c>
      <c r="J246" s="5">
        <v>36.97</v>
      </c>
      <c r="K246" s="5">
        <v>1</v>
      </c>
      <c r="L246" s="5">
        <v>0</v>
      </c>
      <c r="M246" s="5">
        <v>36.97</v>
      </c>
      <c r="N246" s="5" t="s">
        <v>23</v>
      </c>
      <c r="O246" s="5" t="s">
        <v>24</v>
      </c>
      <c r="P246" s="5">
        <v>12</v>
      </c>
      <c r="Q246" s="5">
        <v>9</v>
      </c>
      <c r="R246" s="5" t="b">
        <v>1</v>
      </c>
      <c r="S246" s="5">
        <v>3</v>
      </c>
      <c r="T246" s="5">
        <v>5</v>
      </c>
    </row>
    <row r="247" spans="1:20">
      <c r="A247" s="5" t="s">
        <v>537</v>
      </c>
      <c r="B247" s="5" t="s">
        <v>538</v>
      </c>
      <c r="C247" s="6">
        <v>44953</v>
      </c>
      <c r="D247" s="6" t="str">
        <f t="shared" si="7"/>
        <v>Friday</v>
      </c>
      <c r="E247" s="5">
        <v>41</v>
      </c>
      <c r="F247" s="5" t="str">
        <f t="shared" si="6"/>
        <v>Millennials</v>
      </c>
      <c r="G247" s="5" t="s">
        <v>27</v>
      </c>
      <c r="H247" s="5" t="s">
        <v>83</v>
      </c>
      <c r="I247" s="5" t="s">
        <v>37</v>
      </c>
      <c r="J247" s="5">
        <v>606.28</v>
      </c>
      <c r="K247" s="5">
        <v>1</v>
      </c>
      <c r="L247" s="5">
        <v>0</v>
      </c>
      <c r="M247" s="5">
        <v>606.28</v>
      </c>
      <c r="N247" s="5" t="s">
        <v>29</v>
      </c>
      <c r="O247" s="5" t="s">
        <v>24</v>
      </c>
      <c r="P247" s="5">
        <v>33</v>
      </c>
      <c r="Q247" s="5">
        <v>10</v>
      </c>
      <c r="R247" s="5" t="b">
        <v>1</v>
      </c>
      <c r="S247" s="5">
        <v>4</v>
      </c>
      <c r="T247" s="5">
        <v>4</v>
      </c>
    </row>
    <row r="248" spans="1:20">
      <c r="A248" s="5" t="s">
        <v>539</v>
      </c>
      <c r="B248" s="5" t="s">
        <v>540</v>
      </c>
      <c r="C248" s="6">
        <v>44953</v>
      </c>
      <c r="D248" s="6" t="str">
        <f t="shared" si="7"/>
        <v>Friday</v>
      </c>
      <c r="E248" s="5">
        <v>45</v>
      </c>
      <c r="F248" s="5" t="str">
        <f t="shared" si="6"/>
        <v>Gen X/Boomers</v>
      </c>
      <c r="G248" s="5" t="s">
        <v>27</v>
      </c>
      <c r="H248" s="5" t="s">
        <v>48</v>
      </c>
      <c r="I248" s="5" t="s">
        <v>37</v>
      </c>
      <c r="J248" s="5">
        <v>1168.95</v>
      </c>
      <c r="K248" s="5">
        <v>1</v>
      </c>
      <c r="L248" s="5">
        <v>0</v>
      </c>
      <c r="M248" s="5">
        <v>1168.95</v>
      </c>
      <c r="N248" s="5" t="s">
        <v>29</v>
      </c>
      <c r="O248" s="5" t="s">
        <v>24</v>
      </c>
      <c r="P248" s="5">
        <v>14</v>
      </c>
      <c r="Q248" s="5">
        <v>13</v>
      </c>
      <c r="R248" s="5" t="b">
        <v>1</v>
      </c>
      <c r="S248" s="5">
        <v>3</v>
      </c>
      <c r="T248" s="5">
        <v>4</v>
      </c>
    </row>
    <row r="249" spans="1:20">
      <c r="A249" s="5" t="s">
        <v>541</v>
      </c>
      <c r="B249" s="5" t="s">
        <v>542</v>
      </c>
      <c r="C249" s="6">
        <v>44953</v>
      </c>
      <c r="D249" s="6" t="str">
        <f t="shared" si="7"/>
        <v>Friday</v>
      </c>
      <c r="E249" s="5">
        <v>18</v>
      </c>
      <c r="F249" s="5" t="str">
        <f t="shared" si="6"/>
        <v>Gen Z</v>
      </c>
      <c r="G249" s="5" t="s">
        <v>20</v>
      </c>
      <c r="H249" s="5" t="s">
        <v>36</v>
      </c>
      <c r="I249" s="5" t="s">
        <v>33</v>
      </c>
      <c r="J249" s="5">
        <v>73.45</v>
      </c>
      <c r="K249" s="5">
        <v>1</v>
      </c>
      <c r="L249" s="5">
        <v>0</v>
      </c>
      <c r="M249" s="5">
        <v>73.45</v>
      </c>
      <c r="N249" s="5" t="s">
        <v>23</v>
      </c>
      <c r="O249" s="5" t="s">
        <v>24</v>
      </c>
      <c r="P249" s="5">
        <v>7</v>
      </c>
      <c r="Q249" s="5">
        <v>7</v>
      </c>
      <c r="R249" s="5" t="b">
        <v>0</v>
      </c>
      <c r="S249" s="5">
        <v>5</v>
      </c>
      <c r="T249" s="5">
        <v>5</v>
      </c>
    </row>
    <row r="250" spans="1:20">
      <c r="A250" s="5" t="s">
        <v>543</v>
      </c>
      <c r="B250" s="5" t="s">
        <v>544</v>
      </c>
      <c r="C250" s="6">
        <v>44953</v>
      </c>
      <c r="D250" s="6" t="str">
        <f t="shared" si="7"/>
        <v>Friday</v>
      </c>
      <c r="E250" s="5">
        <v>33</v>
      </c>
      <c r="F250" s="5" t="str">
        <f t="shared" si="6"/>
        <v>Millennials</v>
      </c>
      <c r="G250" s="5" t="s">
        <v>20</v>
      </c>
      <c r="H250" s="5" t="s">
        <v>83</v>
      </c>
      <c r="I250" s="5" t="s">
        <v>54</v>
      </c>
      <c r="J250" s="5">
        <v>301.27999999999997</v>
      </c>
      <c r="K250" s="5">
        <v>1</v>
      </c>
      <c r="L250" s="5">
        <v>20.45</v>
      </c>
      <c r="M250" s="5">
        <v>280.83</v>
      </c>
      <c r="N250" s="5" t="s">
        <v>41</v>
      </c>
      <c r="O250" s="5" t="s">
        <v>24</v>
      </c>
      <c r="P250" s="5">
        <v>31</v>
      </c>
      <c r="Q250" s="5">
        <v>9</v>
      </c>
      <c r="R250" s="5" t="b">
        <v>1</v>
      </c>
      <c r="S250" s="5">
        <v>4</v>
      </c>
      <c r="T250" s="5">
        <v>2</v>
      </c>
    </row>
    <row r="251" spans="1:20">
      <c r="A251" s="5" t="s">
        <v>545</v>
      </c>
      <c r="B251" s="5" t="s">
        <v>546</v>
      </c>
      <c r="C251" s="6">
        <v>44953</v>
      </c>
      <c r="D251" s="6" t="str">
        <f t="shared" si="7"/>
        <v>Friday</v>
      </c>
      <c r="E251" s="5">
        <v>32</v>
      </c>
      <c r="F251" s="5" t="str">
        <f t="shared" si="6"/>
        <v>Millennials</v>
      </c>
      <c r="G251" s="5" t="s">
        <v>27</v>
      </c>
      <c r="H251" s="5" t="s">
        <v>88</v>
      </c>
      <c r="I251" s="5" t="s">
        <v>37</v>
      </c>
      <c r="J251" s="5">
        <v>584.24</v>
      </c>
      <c r="K251" s="5">
        <v>5</v>
      </c>
      <c r="L251" s="5">
        <v>75.17</v>
      </c>
      <c r="M251" s="5">
        <v>2846.03</v>
      </c>
      <c r="N251" s="5" t="s">
        <v>23</v>
      </c>
      <c r="O251" s="5" t="s">
        <v>24</v>
      </c>
      <c r="P251" s="5">
        <v>8</v>
      </c>
      <c r="Q251" s="5">
        <v>7</v>
      </c>
      <c r="R251" s="5" t="b">
        <v>0</v>
      </c>
      <c r="S251" s="5">
        <v>4</v>
      </c>
      <c r="T251" s="5">
        <v>2</v>
      </c>
    </row>
    <row r="252" spans="1:20">
      <c r="A252" s="5" t="s">
        <v>547</v>
      </c>
      <c r="B252" s="5" t="s">
        <v>548</v>
      </c>
      <c r="C252" s="6">
        <v>44953</v>
      </c>
      <c r="D252" s="6" t="str">
        <f t="shared" si="7"/>
        <v>Friday</v>
      </c>
      <c r="E252" s="5">
        <v>37</v>
      </c>
      <c r="F252" s="5" t="str">
        <f t="shared" si="6"/>
        <v>Millennials</v>
      </c>
      <c r="G252" s="5" t="s">
        <v>20</v>
      </c>
      <c r="H252" s="5" t="s">
        <v>36</v>
      </c>
      <c r="I252" s="5" t="s">
        <v>45</v>
      </c>
      <c r="J252" s="5">
        <v>27.48</v>
      </c>
      <c r="K252" s="5">
        <v>1</v>
      </c>
      <c r="L252" s="5">
        <v>0</v>
      </c>
      <c r="M252" s="5">
        <v>27.48</v>
      </c>
      <c r="N252" s="5" t="s">
        <v>29</v>
      </c>
      <c r="O252" s="5" t="s">
        <v>42</v>
      </c>
      <c r="P252" s="5">
        <v>15</v>
      </c>
      <c r="Q252" s="5">
        <v>5</v>
      </c>
      <c r="R252" s="5" t="b">
        <v>1</v>
      </c>
      <c r="S252" s="5">
        <v>5</v>
      </c>
      <c r="T252" s="5">
        <v>3</v>
      </c>
    </row>
    <row r="253" spans="1:20">
      <c r="A253" s="5" t="s">
        <v>549</v>
      </c>
      <c r="B253" s="5" t="s">
        <v>550</v>
      </c>
      <c r="C253" s="6">
        <v>44953</v>
      </c>
      <c r="D253" s="6" t="str">
        <f t="shared" si="7"/>
        <v>Friday</v>
      </c>
      <c r="E253" s="5">
        <v>27</v>
      </c>
      <c r="F253" s="5" t="str">
        <f t="shared" si="6"/>
        <v>Millennials</v>
      </c>
      <c r="G253" s="5" t="s">
        <v>20</v>
      </c>
      <c r="H253" s="5" t="s">
        <v>36</v>
      </c>
      <c r="I253" s="5" t="s">
        <v>40</v>
      </c>
      <c r="J253" s="5">
        <v>1015.66</v>
      </c>
      <c r="K253" s="5">
        <v>1</v>
      </c>
      <c r="L253" s="5">
        <v>0</v>
      </c>
      <c r="M253" s="5">
        <v>1015.66</v>
      </c>
      <c r="N253" s="5" t="s">
        <v>49</v>
      </c>
      <c r="O253" s="5" t="s">
        <v>24</v>
      </c>
      <c r="P253" s="5">
        <v>19</v>
      </c>
      <c r="Q253" s="5">
        <v>12</v>
      </c>
      <c r="R253" s="5" t="b">
        <v>1</v>
      </c>
      <c r="S253" s="5">
        <v>4</v>
      </c>
      <c r="T253" s="5">
        <v>5</v>
      </c>
    </row>
    <row r="254" spans="1:20">
      <c r="A254" s="5" t="s">
        <v>551</v>
      </c>
      <c r="B254" s="5" t="s">
        <v>552</v>
      </c>
      <c r="C254" s="6">
        <v>44953</v>
      </c>
      <c r="D254" s="6" t="str">
        <f t="shared" si="7"/>
        <v>Friday</v>
      </c>
      <c r="E254" s="5">
        <v>18</v>
      </c>
      <c r="F254" s="5" t="str">
        <f t="shared" si="6"/>
        <v>Gen Z</v>
      </c>
      <c r="G254" s="5" t="s">
        <v>27</v>
      </c>
      <c r="H254" s="5" t="s">
        <v>21</v>
      </c>
      <c r="I254" s="5" t="s">
        <v>70</v>
      </c>
      <c r="J254" s="5">
        <v>116.76</v>
      </c>
      <c r="K254" s="5">
        <v>3</v>
      </c>
      <c r="L254" s="5">
        <v>0</v>
      </c>
      <c r="M254" s="5">
        <v>350.28</v>
      </c>
      <c r="N254" s="5" t="s">
        <v>41</v>
      </c>
      <c r="O254" s="5" t="s">
        <v>24</v>
      </c>
      <c r="P254" s="5">
        <v>8</v>
      </c>
      <c r="Q254" s="5">
        <v>15</v>
      </c>
      <c r="R254" s="5" t="b">
        <v>1</v>
      </c>
      <c r="S254" s="5">
        <v>8</v>
      </c>
      <c r="T254" s="5">
        <v>4</v>
      </c>
    </row>
    <row r="255" spans="1:20">
      <c r="A255" s="5" t="s">
        <v>553</v>
      </c>
      <c r="B255" s="5" t="s">
        <v>554</v>
      </c>
      <c r="C255" s="6">
        <v>44953</v>
      </c>
      <c r="D255" s="6" t="str">
        <f t="shared" si="7"/>
        <v>Friday</v>
      </c>
      <c r="E255" s="5">
        <v>27</v>
      </c>
      <c r="F255" s="5" t="str">
        <f t="shared" si="6"/>
        <v>Millennials</v>
      </c>
      <c r="G255" s="5" t="s">
        <v>27</v>
      </c>
      <c r="H255" s="5" t="s">
        <v>28</v>
      </c>
      <c r="I255" s="5" t="s">
        <v>37</v>
      </c>
      <c r="J255" s="5">
        <v>503.88</v>
      </c>
      <c r="K255" s="5">
        <v>5</v>
      </c>
      <c r="L255" s="5">
        <v>0</v>
      </c>
      <c r="M255" s="5">
        <v>2519.4</v>
      </c>
      <c r="N255" s="5" t="s">
        <v>49</v>
      </c>
      <c r="O255" s="5" t="s">
        <v>42</v>
      </c>
      <c r="P255" s="5">
        <v>14</v>
      </c>
      <c r="Q255" s="5">
        <v>4</v>
      </c>
      <c r="R255" s="5" t="b">
        <v>1</v>
      </c>
      <c r="S255" s="5">
        <v>7</v>
      </c>
      <c r="T255" s="5">
        <v>5</v>
      </c>
    </row>
    <row r="256" spans="1:20">
      <c r="A256" s="5" t="s">
        <v>555</v>
      </c>
      <c r="B256" s="5" t="s">
        <v>556</v>
      </c>
      <c r="C256" s="6">
        <v>44953</v>
      </c>
      <c r="D256" s="6" t="str">
        <f t="shared" si="7"/>
        <v>Friday</v>
      </c>
      <c r="E256" s="5">
        <v>27</v>
      </c>
      <c r="F256" s="5" t="str">
        <f t="shared" si="6"/>
        <v>Millennials</v>
      </c>
      <c r="G256" s="5" t="s">
        <v>20</v>
      </c>
      <c r="H256" s="5" t="s">
        <v>48</v>
      </c>
      <c r="I256" s="5" t="s">
        <v>54</v>
      </c>
      <c r="J256" s="5">
        <v>820.57</v>
      </c>
      <c r="K256" s="5">
        <v>1</v>
      </c>
      <c r="L256" s="5">
        <v>0</v>
      </c>
      <c r="M256" s="5">
        <v>820.57</v>
      </c>
      <c r="N256" s="5" t="s">
        <v>23</v>
      </c>
      <c r="O256" s="5" t="s">
        <v>24</v>
      </c>
      <c r="P256" s="5">
        <v>21</v>
      </c>
      <c r="Q256" s="5">
        <v>16</v>
      </c>
      <c r="R256" s="5" t="b">
        <v>1</v>
      </c>
      <c r="S256" s="5">
        <v>4</v>
      </c>
      <c r="T256" s="5">
        <v>3</v>
      </c>
    </row>
    <row r="257" spans="1:20">
      <c r="A257" s="5" t="s">
        <v>557</v>
      </c>
      <c r="B257" s="5" t="s">
        <v>558</v>
      </c>
      <c r="C257" s="6">
        <v>44953</v>
      </c>
      <c r="D257" s="6" t="str">
        <f t="shared" si="7"/>
        <v>Friday</v>
      </c>
      <c r="E257" s="5">
        <v>38</v>
      </c>
      <c r="F257" s="5" t="str">
        <f t="shared" si="6"/>
        <v>Millennials</v>
      </c>
      <c r="G257" s="5" t="s">
        <v>27</v>
      </c>
      <c r="H257" s="5" t="s">
        <v>83</v>
      </c>
      <c r="I257" s="5" t="s">
        <v>67</v>
      </c>
      <c r="J257" s="5">
        <v>839.72</v>
      </c>
      <c r="K257" s="5">
        <v>4</v>
      </c>
      <c r="L257" s="5">
        <v>122.08</v>
      </c>
      <c r="M257" s="5">
        <v>3236.8</v>
      </c>
      <c r="N257" s="5" t="s">
        <v>23</v>
      </c>
      <c r="O257" s="5" t="s">
        <v>24</v>
      </c>
      <c r="P257" s="5">
        <v>8</v>
      </c>
      <c r="Q257" s="5">
        <v>10</v>
      </c>
      <c r="R257" s="5" t="b">
        <v>1</v>
      </c>
      <c r="S257" s="5">
        <v>8</v>
      </c>
      <c r="T257" s="5">
        <v>5</v>
      </c>
    </row>
    <row r="258" spans="1:20">
      <c r="A258" s="5" t="s">
        <v>559</v>
      </c>
      <c r="B258" s="5" t="s">
        <v>560</v>
      </c>
      <c r="C258" s="6">
        <v>44953</v>
      </c>
      <c r="D258" s="6" t="str">
        <f t="shared" si="7"/>
        <v>Friday</v>
      </c>
      <c r="E258" s="5">
        <v>18</v>
      </c>
      <c r="F258" s="5" t="str">
        <f t="shared" ref="F258:F321" si="8">IFERROR(IF(E258&lt;25, "Gen Z", IF(E258&lt;45, "Millennials", "Gen X/Boomers")),"Not Valide Age")</f>
        <v>Gen Z</v>
      </c>
      <c r="G258" s="5" t="s">
        <v>20</v>
      </c>
      <c r="H258" s="5" t="s">
        <v>48</v>
      </c>
      <c r="I258" s="5" t="s">
        <v>22</v>
      </c>
      <c r="J258" s="5">
        <v>82.08</v>
      </c>
      <c r="K258" s="5">
        <v>1</v>
      </c>
      <c r="L258" s="5">
        <v>0</v>
      </c>
      <c r="M258" s="5">
        <v>82.08</v>
      </c>
      <c r="N258" s="5" t="s">
        <v>23</v>
      </c>
      <c r="O258" s="5" t="s">
        <v>24</v>
      </c>
      <c r="P258" s="5">
        <v>16</v>
      </c>
      <c r="Q258" s="5">
        <v>11</v>
      </c>
      <c r="R258" s="5" t="b">
        <v>0</v>
      </c>
      <c r="S258" s="5">
        <v>9</v>
      </c>
      <c r="T258" s="5">
        <v>1</v>
      </c>
    </row>
    <row r="259" spans="1:20">
      <c r="A259" s="5" t="s">
        <v>561</v>
      </c>
      <c r="B259" s="5" t="s">
        <v>562</v>
      </c>
      <c r="C259" s="6">
        <v>44953</v>
      </c>
      <c r="D259" s="6" t="str">
        <f t="shared" ref="D259:D322" si="9">TEXT(C259, "dddd")</f>
        <v>Friday</v>
      </c>
      <c r="E259" s="5">
        <v>23</v>
      </c>
      <c r="F259" s="5" t="str">
        <f t="shared" si="8"/>
        <v>Gen Z</v>
      </c>
      <c r="G259" s="5" t="s">
        <v>20</v>
      </c>
      <c r="H259" s="5" t="s">
        <v>124</v>
      </c>
      <c r="I259" s="5" t="s">
        <v>54</v>
      </c>
      <c r="J259" s="5">
        <v>230.7</v>
      </c>
      <c r="K259" s="5">
        <v>2</v>
      </c>
      <c r="L259" s="5">
        <v>0</v>
      </c>
      <c r="M259" s="5">
        <v>461.4</v>
      </c>
      <c r="N259" s="5" t="s">
        <v>49</v>
      </c>
      <c r="O259" s="5" t="s">
        <v>42</v>
      </c>
      <c r="P259" s="5">
        <v>6</v>
      </c>
      <c r="Q259" s="5">
        <v>12</v>
      </c>
      <c r="R259" s="5" t="b">
        <v>0</v>
      </c>
      <c r="S259" s="5">
        <v>2</v>
      </c>
      <c r="T259" s="5">
        <v>3</v>
      </c>
    </row>
    <row r="260" spans="1:20">
      <c r="A260" s="5" t="s">
        <v>563</v>
      </c>
      <c r="B260" s="5" t="s">
        <v>564</v>
      </c>
      <c r="C260" s="6">
        <v>44953</v>
      </c>
      <c r="D260" s="6" t="str">
        <f t="shared" si="9"/>
        <v>Friday</v>
      </c>
      <c r="E260" s="5">
        <v>51</v>
      </c>
      <c r="F260" s="5" t="str">
        <f t="shared" si="8"/>
        <v>Gen X/Boomers</v>
      </c>
      <c r="G260" s="5" t="s">
        <v>27</v>
      </c>
      <c r="H260" s="5" t="s">
        <v>36</v>
      </c>
      <c r="I260" s="5" t="s">
        <v>22</v>
      </c>
      <c r="J260" s="5">
        <v>186.08</v>
      </c>
      <c r="K260" s="5">
        <v>4</v>
      </c>
      <c r="L260" s="5">
        <v>0</v>
      </c>
      <c r="M260" s="5">
        <v>744.32</v>
      </c>
      <c r="N260" s="5" t="s">
        <v>29</v>
      </c>
      <c r="O260" s="5" t="s">
        <v>24</v>
      </c>
      <c r="P260" s="5">
        <v>10</v>
      </c>
      <c r="Q260" s="5">
        <v>8</v>
      </c>
      <c r="R260" s="5" t="b">
        <v>0</v>
      </c>
      <c r="S260" s="5">
        <v>7</v>
      </c>
      <c r="T260" s="5">
        <v>4</v>
      </c>
    </row>
    <row r="261" spans="1:20">
      <c r="A261" s="5" t="s">
        <v>565</v>
      </c>
      <c r="B261" s="5" t="s">
        <v>566</v>
      </c>
      <c r="C261" s="6">
        <v>44953</v>
      </c>
      <c r="D261" s="6" t="str">
        <f t="shared" si="9"/>
        <v>Friday</v>
      </c>
      <c r="E261" s="5">
        <v>33</v>
      </c>
      <c r="F261" s="5" t="str">
        <f t="shared" si="8"/>
        <v>Millennials</v>
      </c>
      <c r="G261" s="5" t="s">
        <v>20</v>
      </c>
      <c r="H261" s="5" t="s">
        <v>178</v>
      </c>
      <c r="I261" s="5" t="s">
        <v>70</v>
      </c>
      <c r="J261" s="5">
        <v>65.180000000000007</v>
      </c>
      <c r="K261" s="5">
        <v>5</v>
      </c>
      <c r="L261" s="5">
        <v>0</v>
      </c>
      <c r="M261" s="5">
        <v>325.89999999999998</v>
      </c>
      <c r="N261" s="5" t="s">
        <v>23</v>
      </c>
      <c r="O261" s="5" t="s">
        <v>42</v>
      </c>
      <c r="P261" s="5">
        <v>9</v>
      </c>
      <c r="Q261" s="5">
        <v>10</v>
      </c>
      <c r="R261" s="5" t="b">
        <v>0</v>
      </c>
      <c r="S261" s="5">
        <v>5</v>
      </c>
      <c r="T261" s="5">
        <v>1</v>
      </c>
    </row>
    <row r="262" spans="1:20">
      <c r="A262" s="5" t="s">
        <v>567</v>
      </c>
      <c r="B262" s="5" t="s">
        <v>568</v>
      </c>
      <c r="C262" s="6">
        <v>44954</v>
      </c>
      <c r="D262" s="6" t="str">
        <f t="shared" si="9"/>
        <v>Saturday</v>
      </c>
      <c r="E262" s="5">
        <v>37</v>
      </c>
      <c r="F262" s="5" t="str">
        <f t="shared" si="8"/>
        <v>Millennials</v>
      </c>
      <c r="G262" s="5" t="s">
        <v>27</v>
      </c>
      <c r="H262" s="5" t="s">
        <v>21</v>
      </c>
      <c r="I262" s="5" t="s">
        <v>22</v>
      </c>
      <c r="J262" s="5">
        <v>92.73</v>
      </c>
      <c r="K262" s="5">
        <v>1</v>
      </c>
      <c r="L262" s="5">
        <v>25</v>
      </c>
      <c r="M262" s="5">
        <v>67.73</v>
      </c>
      <c r="N262" s="5" t="s">
        <v>29</v>
      </c>
      <c r="O262" s="5" t="s">
        <v>42</v>
      </c>
      <c r="P262" s="5">
        <v>12</v>
      </c>
      <c r="Q262" s="5">
        <v>3</v>
      </c>
      <c r="R262" s="5" t="b">
        <v>0</v>
      </c>
      <c r="S262" s="5">
        <v>11</v>
      </c>
      <c r="T262" s="5">
        <v>2</v>
      </c>
    </row>
    <row r="263" spans="1:20">
      <c r="A263" s="5" t="s">
        <v>569</v>
      </c>
      <c r="B263" s="5" t="s">
        <v>570</v>
      </c>
      <c r="C263" s="6">
        <v>44954</v>
      </c>
      <c r="D263" s="6" t="str">
        <f t="shared" si="9"/>
        <v>Saturday</v>
      </c>
      <c r="E263" s="5">
        <v>54</v>
      </c>
      <c r="F263" s="5" t="str">
        <f t="shared" si="8"/>
        <v>Gen X/Boomers</v>
      </c>
      <c r="G263" s="5" t="s">
        <v>20</v>
      </c>
      <c r="H263" s="5" t="s">
        <v>21</v>
      </c>
      <c r="I263" s="5" t="s">
        <v>22</v>
      </c>
      <c r="J263" s="5">
        <v>96.77</v>
      </c>
      <c r="K263" s="5">
        <v>4</v>
      </c>
      <c r="L263" s="5">
        <v>0</v>
      </c>
      <c r="M263" s="5">
        <v>387.08</v>
      </c>
      <c r="N263" s="5" t="s">
        <v>23</v>
      </c>
      <c r="O263" s="5" t="s">
        <v>24</v>
      </c>
      <c r="P263" s="5">
        <v>4</v>
      </c>
      <c r="Q263" s="5">
        <v>8</v>
      </c>
      <c r="R263" s="5" t="b">
        <v>1</v>
      </c>
      <c r="S263" s="5">
        <v>7</v>
      </c>
      <c r="T263" s="5">
        <v>4</v>
      </c>
    </row>
    <row r="264" spans="1:20">
      <c r="A264" s="5" t="s">
        <v>571</v>
      </c>
      <c r="B264" s="5" t="s">
        <v>572</v>
      </c>
      <c r="C264" s="6">
        <v>44954</v>
      </c>
      <c r="D264" s="6" t="str">
        <f t="shared" si="9"/>
        <v>Saturday</v>
      </c>
      <c r="E264" s="5">
        <v>40</v>
      </c>
      <c r="F264" s="5" t="str">
        <f t="shared" si="8"/>
        <v>Millennials</v>
      </c>
      <c r="G264" s="5" t="s">
        <v>27</v>
      </c>
      <c r="H264" s="5" t="s">
        <v>178</v>
      </c>
      <c r="I264" s="5" t="s">
        <v>70</v>
      </c>
      <c r="J264" s="5">
        <v>69.53</v>
      </c>
      <c r="K264" s="5">
        <v>2</v>
      </c>
      <c r="L264" s="5">
        <v>0</v>
      </c>
      <c r="M264" s="5">
        <v>139.06</v>
      </c>
      <c r="N264" s="5" t="s">
        <v>29</v>
      </c>
      <c r="O264" s="5" t="s">
        <v>42</v>
      </c>
      <c r="P264" s="5">
        <v>29</v>
      </c>
      <c r="Q264" s="5">
        <v>9</v>
      </c>
      <c r="R264" s="5" t="b">
        <v>0</v>
      </c>
      <c r="S264" s="5">
        <v>8</v>
      </c>
      <c r="T264" s="5">
        <v>3</v>
      </c>
    </row>
    <row r="265" spans="1:20">
      <c r="A265" s="5" t="s">
        <v>573</v>
      </c>
      <c r="B265" s="5" t="s">
        <v>574</v>
      </c>
      <c r="C265" s="6">
        <v>44954</v>
      </c>
      <c r="D265" s="6" t="str">
        <f t="shared" si="9"/>
        <v>Saturday</v>
      </c>
      <c r="E265" s="5">
        <v>60</v>
      </c>
      <c r="F265" s="5" t="str">
        <f t="shared" si="8"/>
        <v>Gen X/Boomers</v>
      </c>
      <c r="G265" s="5" t="s">
        <v>27</v>
      </c>
      <c r="H265" s="5" t="s">
        <v>32</v>
      </c>
      <c r="I265" s="5" t="s">
        <v>33</v>
      </c>
      <c r="J265" s="5">
        <v>49.39</v>
      </c>
      <c r="K265" s="5">
        <v>1</v>
      </c>
      <c r="L265" s="5">
        <v>0</v>
      </c>
      <c r="M265" s="5">
        <v>49.39</v>
      </c>
      <c r="N265" s="5" t="s">
        <v>23</v>
      </c>
      <c r="O265" s="5" t="s">
        <v>55</v>
      </c>
      <c r="P265" s="5">
        <v>14</v>
      </c>
      <c r="Q265" s="5">
        <v>12</v>
      </c>
      <c r="R265" s="5" t="b">
        <v>1</v>
      </c>
      <c r="S265" s="5">
        <v>6</v>
      </c>
      <c r="T265" s="5">
        <v>4</v>
      </c>
    </row>
    <row r="266" spans="1:20">
      <c r="A266" s="5" t="s">
        <v>575</v>
      </c>
      <c r="B266" s="5" t="s">
        <v>576</v>
      </c>
      <c r="C266" s="6">
        <v>44954</v>
      </c>
      <c r="D266" s="6" t="str">
        <f t="shared" si="9"/>
        <v>Saturday</v>
      </c>
      <c r="E266" s="5">
        <v>37</v>
      </c>
      <c r="F266" s="5" t="str">
        <f t="shared" si="8"/>
        <v>Millennials</v>
      </c>
      <c r="G266" s="5" t="s">
        <v>20</v>
      </c>
      <c r="H266" s="5" t="s">
        <v>178</v>
      </c>
      <c r="I266" s="5" t="s">
        <v>40</v>
      </c>
      <c r="J266" s="5">
        <v>831.65</v>
      </c>
      <c r="K266" s="5">
        <v>2</v>
      </c>
      <c r="L266" s="5">
        <v>184.33</v>
      </c>
      <c r="M266" s="5">
        <v>1478.97</v>
      </c>
      <c r="N266" s="5" t="s">
        <v>23</v>
      </c>
      <c r="O266" s="5" t="s">
        <v>24</v>
      </c>
      <c r="P266" s="5">
        <v>24</v>
      </c>
      <c r="Q266" s="5">
        <v>10</v>
      </c>
      <c r="R266" s="5" t="b">
        <v>1</v>
      </c>
      <c r="S266" s="5">
        <v>6</v>
      </c>
      <c r="T266" s="5">
        <v>4</v>
      </c>
    </row>
    <row r="267" spans="1:20">
      <c r="A267" s="5" t="s">
        <v>577</v>
      </c>
      <c r="B267" s="5" t="s">
        <v>578</v>
      </c>
      <c r="C267" s="6">
        <v>44954</v>
      </c>
      <c r="D267" s="6" t="str">
        <f t="shared" si="9"/>
        <v>Saturday</v>
      </c>
      <c r="E267" s="5">
        <v>47</v>
      </c>
      <c r="F267" s="5" t="str">
        <f t="shared" si="8"/>
        <v>Gen X/Boomers</v>
      </c>
      <c r="G267" s="5" t="s">
        <v>20</v>
      </c>
      <c r="H267" s="5" t="s">
        <v>124</v>
      </c>
      <c r="I267" s="5" t="s">
        <v>33</v>
      </c>
      <c r="J267" s="5">
        <v>45.81</v>
      </c>
      <c r="K267" s="5">
        <v>1</v>
      </c>
      <c r="L267" s="5">
        <v>0</v>
      </c>
      <c r="M267" s="5">
        <v>45.81</v>
      </c>
      <c r="N267" s="5" t="s">
        <v>29</v>
      </c>
      <c r="O267" s="5" t="s">
        <v>24</v>
      </c>
      <c r="P267" s="5">
        <v>19</v>
      </c>
      <c r="Q267" s="5">
        <v>8</v>
      </c>
      <c r="R267" s="5" t="b">
        <v>0</v>
      </c>
      <c r="S267" s="5">
        <v>5</v>
      </c>
      <c r="T267" s="5">
        <v>5</v>
      </c>
    </row>
    <row r="268" spans="1:20">
      <c r="A268" s="5" t="s">
        <v>579</v>
      </c>
      <c r="B268" s="5" t="s">
        <v>580</v>
      </c>
      <c r="C268" s="6">
        <v>44954</v>
      </c>
      <c r="D268" s="6" t="str">
        <f t="shared" si="9"/>
        <v>Saturday</v>
      </c>
      <c r="E268" s="5">
        <v>32</v>
      </c>
      <c r="F268" s="5" t="str">
        <f t="shared" si="8"/>
        <v>Millennials</v>
      </c>
      <c r="G268" s="5" t="s">
        <v>27</v>
      </c>
      <c r="H268" s="5" t="s">
        <v>36</v>
      </c>
      <c r="I268" s="5" t="s">
        <v>70</v>
      </c>
      <c r="J268" s="5">
        <v>56.2</v>
      </c>
      <c r="K268" s="5">
        <v>1</v>
      </c>
      <c r="L268" s="5">
        <v>6.23</v>
      </c>
      <c r="M268" s="5">
        <v>49.97</v>
      </c>
      <c r="N268" s="5" t="s">
        <v>99</v>
      </c>
      <c r="O268" s="5" t="s">
        <v>55</v>
      </c>
      <c r="P268" s="5">
        <v>4</v>
      </c>
      <c r="Q268" s="5">
        <v>9</v>
      </c>
      <c r="R268" s="5" t="b">
        <v>1</v>
      </c>
      <c r="S268" s="5">
        <v>8</v>
      </c>
      <c r="T268" s="5">
        <v>3</v>
      </c>
    </row>
    <row r="269" spans="1:20">
      <c r="A269" s="5" t="s">
        <v>581</v>
      </c>
      <c r="B269" s="5" t="s">
        <v>582</v>
      </c>
      <c r="C269" s="6">
        <v>44954</v>
      </c>
      <c r="D269" s="6" t="str">
        <f t="shared" si="9"/>
        <v>Saturday</v>
      </c>
      <c r="E269" s="5">
        <v>54</v>
      </c>
      <c r="F269" s="5" t="str">
        <f t="shared" si="8"/>
        <v>Gen X/Boomers</v>
      </c>
      <c r="G269" s="5" t="s">
        <v>27</v>
      </c>
      <c r="H269" s="5" t="s">
        <v>36</v>
      </c>
      <c r="I269" s="5" t="s">
        <v>54</v>
      </c>
      <c r="J269" s="5">
        <v>431.67</v>
      </c>
      <c r="K269" s="5">
        <v>2</v>
      </c>
      <c r="L269" s="5">
        <v>0</v>
      </c>
      <c r="M269" s="5">
        <v>863.34</v>
      </c>
      <c r="N269" s="5" t="s">
        <v>49</v>
      </c>
      <c r="O269" s="5" t="s">
        <v>24</v>
      </c>
      <c r="P269" s="5">
        <v>9</v>
      </c>
      <c r="Q269" s="5">
        <v>17</v>
      </c>
      <c r="R269" s="5" t="b">
        <v>1</v>
      </c>
      <c r="S269" s="5">
        <v>3</v>
      </c>
      <c r="T269" s="5">
        <v>3</v>
      </c>
    </row>
    <row r="270" spans="1:20">
      <c r="A270" s="5" t="s">
        <v>583</v>
      </c>
      <c r="B270" s="5" t="s">
        <v>584</v>
      </c>
      <c r="C270" s="6">
        <v>44955</v>
      </c>
      <c r="D270" s="6" t="str">
        <f t="shared" si="9"/>
        <v>Sunday</v>
      </c>
      <c r="E270" s="5">
        <v>51</v>
      </c>
      <c r="F270" s="5" t="str">
        <f t="shared" si="8"/>
        <v>Gen X/Boomers</v>
      </c>
      <c r="G270" s="5" t="s">
        <v>27</v>
      </c>
      <c r="H270" s="5" t="s">
        <v>28</v>
      </c>
      <c r="I270" s="5" t="s">
        <v>70</v>
      </c>
      <c r="J270" s="5">
        <v>13.38</v>
      </c>
      <c r="K270" s="5">
        <v>1</v>
      </c>
      <c r="L270" s="5">
        <v>2.36</v>
      </c>
      <c r="M270" s="5">
        <v>11.02</v>
      </c>
      <c r="N270" s="5" t="s">
        <v>41</v>
      </c>
      <c r="O270" s="5" t="s">
        <v>24</v>
      </c>
      <c r="P270" s="5">
        <v>11</v>
      </c>
      <c r="Q270" s="5">
        <v>9</v>
      </c>
      <c r="R270" s="5" t="b">
        <v>1</v>
      </c>
      <c r="S270" s="5">
        <v>5</v>
      </c>
      <c r="T270" s="5">
        <v>1</v>
      </c>
    </row>
    <row r="271" spans="1:20">
      <c r="A271" s="5" t="s">
        <v>585</v>
      </c>
      <c r="B271" s="5" t="s">
        <v>586</v>
      </c>
      <c r="C271" s="6">
        <v>44955</v>
      </c>
      <c r="D271" s="6" t="str">
        <f t="shared" si="9"/>
        <v>Sunday</v>
      </c>
      <c r="E271" s="5">
        <v>34</v>
      </c>
      <c r="F271" s="5" t="str">
        <f t="shared" si="8"/>
        <v>Millennials</v>
      </c>
      <c r="G271" s="5" t="s">
        <v>27</v>
      </c>
      <c r="H271" s="5" t="s">
        <v>36</v>
      </c>
      <c r="I271" s="5" t="s">
        <v>45</v>
      </c>
      <c r="J271" s="5">
        <v>150.19</v>
      </c>
      <c r="K271" s="5">
        <v>1</v>
      </c>
      <c r="L271" s="5">
        <v>0</v>
      </c>
      <c r="M271" s="5">
        <v>150.19</v>
      </c>
      <c r="N271" s="5" t="s">
        <v>23</v>
      </c>
      <c r="O271" s="5" t="s">
        <v>24</v>
      </c>
      <c r="P271" s="5">
        <v>31</v>
      </c>
      <c r="Q271" s="5">
        <v>4</v>
      </c>
      <c r="R271" s="5" t="b">
        <v>1</v>
      </c>
      <c r="S271" s="5">
        <v>1</v>
      </c>
      <c r="T271" s="5">
        <v>4</v>
      </c>
    </row>
    <row r="272" spans="1:20">
      <c r="A272" s="5" t="s">
        <v>587</v>
      </c>
      <c r="B272" s="5" t="s">
        <v>588</v>
      </c>
      <c r="C272" s="6">
        <v>44955</v>
      </c>
      <c r="D272" s="6" t="str">
        <f t="shared" si="9"/>
        <v>Sunday</v>
      </c>
      <c r="E272" s="5">
        <v>33</v>
      </c>
      <c r="F272" s="5" t="str">
        <f t="shared" si="8"/>
        <v>Millennials</v>
      </c>
      <c r="G272" s="5" t="s">
        <v>27</v>
      </c>
      <c r="H272" s="5" t="s">
        <v>32</v>
      </c>
      <c r="I272" s="5" t="s">
        <v>40</v>
      </c>
      <c r="J272" s="5">
        <v>252.02</v>
      </c>
      <c r="K272" s="5">
        <v>2</v>
      </c>
      <c r="L272" s="5">
        <v>46.12</v>
      </c>
      <c r="M272" s="5">
        <v>457.92</v>
      </c>
      <c r="N272" s="5" t="s">
        <v>49</v>
      </c>
      <c r="O272" s="5" t="s">
        <v>24</v>
      </c>
      <c r="P272" s="5">
        <v>15</v>
      </c>
      <c r="Q272" s="5">
        <v>7</v>
      </c>
      <c r="R272" s="5" t="b">
        <v>0</v>
      </c>
      <c r="S272" s="5">
        <v>7</v>
      </c>
      <c r="T272" s="5">
        <v>5</v>
      </c>
    </row>
    <row r="273" spans="1:20">
      <c r="A273" s="5" t="s">
        <v>589</v>
      </c>
      <c r="B273" s="5" t="s">
        <v>590</v>
      </c>
      <c r="C273" s="6">
        <v>44955</v>
      </c>
      <c r="D273" s="6" t="str">
        <f t="shared" si="9"/>
        <v>Sunday</v>
      </c>
      <c r="E273" s="5">
        <v>40</v>
      </c>
      <c r="F273" s="5" t="str">
        <f t="shared" si="8"/>
        <v>Millennials</v>
      </c>
      <c r="G273" s="5" t="s">
        <v>20</v>
      </c>
      <c r="H273" s="5" t="s">
        <v>124</v>
      </c>
      <c r="I273" s="5" t="s">
        <v>70</v>
      </c>
      <c r="J273" s="5">
        <v>64.040000000000006</v>
      </c>
      <c r="K273" s="5">
        <v>3</v>
      </c>
      <c r="L273" s="5">
        <v>18.47</v>
      </c>
      <c r="M273" s="5">
        <v>173.65</v>
      </c>
      <c r="N273" s="5" t="s">
        <v>23</v>
      </c>
      <c r="O273" s="5" t="s">
        <v>42</v>
      </c>
      <c r="P273" s="5">
        <v>16</v>
      </c>
      <c r="Q273" s="5">
        <v>10</v>
      </c>
      <c r="R273" s="5" t="b">
        <v>0</v>
      </c>
      <c r="S273" s="5">
        <v>18</v>
      </c>
      <c r="T273" s="5">
        <v>2</v>
      </c>
    </row>
    <row r="274" spans="1:20">
      <c r="A274" s="5" t="s">
        <v>591</v>
      </c>
      <c r="B274" s="5" t="s">
        <v>592</v>
      </c>
      <c r="C274" s="6">
        <v>44955</v>
      </c>
      <c r="D274" s="6" t="str">
        <f t="shared" si="9"/>
        <v>Sunday</v>
      </c>
      <c r="E274" s="5">
        <v>56</v>
      </c>
      <c r="F274" s="5" t="str">
        <f t="shared" si="8"/>
        <v>Gen X/Boomers</v>
      </c>
      <c r="G274" s="5" t="s">
        <v>27</v>
      </c>
      <c r="H274" s="5" t="s">
        <v>32</v>
      </c>
      <c r="I274" s="5" t="s">
        <v>33</v>
      </c>
      <c r="J274" s="5">
        <v>40.83</v>
      </c>
      <c r="K274" s="5">
        <v>2</v>
      </c>
      <c r="L274" s="5">
        <v>0</v>
      </c>
      <c r="M274" s="5">
        <v>81.66</v>
      </c>
      <c r="N274" s="5" t="s">
        <v>23</v>
      </c>
      <c r="O274" s="5" t="s">
        <v>55</v>
      </c>
      <c r="P274" s="5">
        <v>11</v>
      </c>
      <c r="Q274" s="5">
        <v>7</v>
      </c>
      <c r="R274" s="5" t="b">
        <v>1</v>
      </c>
      <c r="S274" s="5">
        <v>2</v>
      </c>
      <c r="T274" s="5">
        <v>2</v>
      </c>
    </row>
    <row r="275" spans="1:20">
      <c r="A275" s="5" t="s">
        <v>593</v>
      </c>
      <c r="B275" s="5" t="s">
        <v>594</v>
      </c>
      <c r="C275" s="6">
        <v>44955</v>
      </c>
      <c r="D275" s="6" t="str">
        <f t="shared" si="9"/>
        <v>Sunday</v>
      </c>
      <c r="E275" s="5">
        <v>33</v>
      </c>
      <c r="F275" s="5" t="str">
        <f t="shared" si="8"/>
        <v>Millennials</v>
      </c>
      <c r="G275" s="5" t="s">
        <v>20</v>
      </c>
      <c r="H275" s="5" t="s">
        <v>48</v>
      </c>
      <c r="I275" s="5" t="s">
        <v>37</v>
      </c>
      <c r="J275" s="5">
        <v>5164.6400000000003</v>
      </c>
      <c r="K275" s="5">
        <v>3</v>
      </c>
      <c r="L275" s="5">
        <v>1394.26</v>
      </c>
      <c r="M275" s="5">
        <v>14099.66</v>
      </c>
      <c r="N275" s="5" t="s">
        <v>23</v>
      </c>
      <c r="O275" s="5" t="s">
        <v>24</v>
      </c>
      <c r="P275" s="5">
        <v>11</v>
      </c>
      <c r="Q275" s="5">
        <v>8</v>
      </c>
      <c r="R275" s="5" t="b">
        <v>1</v>
      </c>
      <c r="S275" s="5">
        <v>5</v>
      </c>
      <c r="T275" s="5">
        <v>1</v>
      </c>
    </row>
    <row r="276" spans="1:20">
      <c r="A276" s="5" t="s">
        <v>595</v>
      </c>
      <c r="B276" s="5" t="s">
        <v>596</v>
      </c>
      <c r="C276" s="6">
        <v>44955</v>
      </c>
      <c r="D276" s="6" t="str">
        <f t="shared" si="9"/>
        <v>Sunday</v>
      </c>
      <c r="E276" s="5">
        <v>58</v>
      </c>
      <c r="F276" s="5" t="str">
        <f t="shared" si="8"/>
        <v>Gen X/Boomers</v>
      </c>
      <c r="G276" s="5" t="s">
        <v>27</v>
      </c>
      <c r="H276" s="5" t="s">
        <v>66</v>
      </c>
      <c r="I276" s="5" t="s">
        <v>37</v>
      </c>
      <c r="J276" s="5">
        <v>1263.25</v>
      </c>
      <c r="K276" s="5">
        <v>1</v>
      </c>
      <c r="L276" s="5">
        <v>0</v>
      </c>
      <c r="M276" s="5">
        <v>1263.25</v>
      </c>
      <c r="N276" s="5" t="s">
        <v>99</v>
      </c>
      <c r="O276" s="5" t="s">
        <v>24</v>
      </c>
      <c r="P276" s="5">
        <v>34</v>
      </c>
      <c r="Q276" s="5">
        <v>8</v>
      </c>
      <c r="R276" s="5" t="b">
        <v>0</v>
      </c>
      <c r="S276" s="5">
        <v>4</v>
      </c>
      <c r="T276" s="5">
        <v>5</v>
      </c>
    </row>
    <row r="277" spans="1:20">
      <c r="A277" s="5" t="s">
        <v>597</v>
      </c>
      <c r="B277" s="5" t="s">
        <v>598</v>
      </c>
      <c r="C277" s="6">
        <v>44955</v>
      </c>
      <c r="D277" s="6" t="str">
        <f t="shared" si="9"/>
        <v>Sunday</v>
      </c>
      <c r="E277" s="5">
        <v>18</v>
      </c>
      <c r="F277" s="5" t="str">
        <f t="shared" si="8"/>
        <v>Gen Z</v>
      </c>
      <c r="G277" s="5" t="s">
        <v>20</v>
      </c>
      <c r="H277" s="5" t="s">
        <v>28</v>
      </c>
      <c r="I277" s="5" t="s">
        <v>45</v>
      </c>
      <c r="J277" s="5">
        <v>52.51</v>
      </c>
      <c r="K277" s="5">
        <v>3</v>
      </c>
      <c r="L277" s="5">
        <v>0</v>
      </c>
      <c r="M277" s="5">
        <v>157.53</v>
      </c>
      <c r="N277" s="5" t="s">
        <v>29</v>
      </c>
      <c r="O277" s="5" t="s">
        <v>24</v>
      </c>
      <c r="P277" s="5">
        <v>37</v>
      </c>
      <c r="Q277" s="5">
        <v>12</v>
      </c>
      <c r="R277" s="5" t="b">
        <v>0</v>
      </c>
      <c r="S277" s="5">
        <v>1</v>
      </c>
      <c r="T277" s="5">
        <v>5</v>
      </c>
    </row>
    <row r="278" spans="1:20">
      <c r="A278" s="5" t="s">
        <v>599</v>
      </c>
      <c r="B278" s="5" t="s">
        <v>600</v>
      </c>
      <c r="C278" s="6">
        <v>44955</v>
      </c>
      <c r="D278" s="6" t="str">
        <f t="shared" si="9"/>
        <v>Sunday</v>
      </c>
      <c r="E278" s="5">
        <v>18</v>
      </c>
      <c r="F278" s="5" t="str">
        <f t="shared" si="8"/>
        <v>Gen Z</v>
      </c>
      <c r="G278" s="5" t="s">
        <v>27</v>
      </c>
      <c r="H278" s="5" t="s">
        <v>36</v>
      </c>
      <c r="I278" s="5" t="s">
        <v>33</v>
      </c>
      <c r="J278" s="5">
        <v>79.510000000000005</v>
      </c>
      <c r="K278" s="5">
        <v>4</v>
      </c>
      <c r="L278" s="5">
        <v>0</v>
      </c>
      <c r="M278" s="5">
        <v>318.04000000000002</v>
      </c>
      <c r="N278" s="5" t="s">
        <v>23</v>
      </c>
      <c r="O278" s="5" t="s">
        <v>42</v>
      </c>
      <c r="P278" s="5">
        <v>5</v>
      </c>
      <c r="Q278" s="5">
        <v>9</v>
      </c>
      <c r="R278" s="5" t="b">
        <v>1</v>
      </c>
      <c r="S278" s="5">
        <v>5</v>
      </c>
      <c r="T278" s="5">
        <v>1</v>
      </c>
    </row>
    <row r="279" spans="1:20">
      <c r="A279" s="5" t="s">
        <v>601</v>
      </c>
      <c r="B279" s="5" t="s">
        <v>602</v>
      </c>
      <c r="C279" s="6">
        <v>44955</v>
      </c>
      <c r="D279" s="6" t="str">
        <f t="shared" si="9"/>
        <v>Sunday</v>
      </c>
      <c r="E279" s="5">
        <v>38</v>
      </c>
      <c r="F279" s="5" t="str">
        <f t="shared" si="8"/>
        <v>Millennials</v>
      </c>
      <c r="G279" s="5" t="s">
        <v>27</v>
      </c>
      <c r="H279" s="5" t="s">
        <v>21</v>
      </c>
      <c r="I279" s="5" t="s">
        <v>22</v>
      </c>
      <c r="J279" s="5">
        <v>222.64</v>
      </c>
      <c r="K279" s="5">
        <v>1</v>
      </c>
      <c r="L279" s="5">
        <v>0</v>
      </c>
      <c r="M279" s="5">
        <v>222.64</v>
      </c>
      <c r="N279" s="5" t="s">
        <v>29</v>
      </c>
      <c r="O279" s="5" t="s">
        <v>24</v>
      </c>
      <c r="P279" s="5">
        <v>6</v>
      </c>
      <c r="Q279" s="5">
        <v>12</v>
      </c>
      <c r="R279" s="5" t="b">
        <v>0</v>
      </c>
      <c r="S279" s="5">
        <v>7</v>
      </c>
      <c r="T279" s="5">
        <v>3</v>
      </c>
    </row>
    <row r="280" spans="1:20">
      <c r="A280" s="5" t="s">
        <v>603</v>
      </c>
      <c r="B280" s="5" t="s">
        <v>604</v>
      </c>
      <c r="C280" s="6">
        <v>44956</v>
      </c>
      <c r="D280" s="6" t="str">
        <f t="shared" si="9"/>
        <v>Monday</v>
      </c>
      <c r="E280" s="5">
        <v>19</v>
      </c>
      <c r="F280" s="5" t="str">
        <f t="shared" si="8"/>
        <v>Gen Z</v>
      </c>
      <c r="G280" s="5" t="s">
        <v>20</v>
      </c>
      <c r="H280" s="5" t="s">
        <v>36</v>
      </c>
      <c r="I280" s="5" t="s">
        <v>33</v>
      </c>
      <c r="J280" s="5">
        <v>17.809999999999999</v>
      </c>
      <c r="K280" s="5">
        <v>1</v>
      </c>
      <c r="L280" s="5">
        <v>1.41</v>
      </c>
      <c r="M280" s="5">
        <v>16.399999999999999</v>
      </c>
      <c r="N280" s="5" t="s">
        <v>23</v>
      </c>
      <c r="O280" s="5" t="s">
        <v>24</v>
      </c>
      <c r="P280" s="5">
        <v>17</v>
      </c>
      <c r="Q280" s="5">
        <v>11</v>
      </c>
      <c r="R280" s="5" t="b">
        <v>1</v>
      </c>
      <c r="S280" s="5">
        <v>6</v>
      </c>
      <c r="T280" s="5">
        <v>5</v>
      </c>
    </row>
    <row r="281" spans="1:20">
      <c r="A281" s="5" t="s">
        <v>605</v>
      </c>
      <c r="B281" s="5" t="s">
        <v>606</v>
      </c>
      <c r="C281" s="6">
        <v>44956</v>
      </c>
      <c r="D281" s="6" t="str">
        <f t="shared" si="9"/>
        <v>Monday</v>
      </c>
      <c r="E281" s="5">
        <v>31</v>
      </c>
      <c r="F281" s="5" t="str">
        <f t="shared" si="8"/>
        <v>Millennials</v>
      </c>
      <c r="G281" s="5" t="s">
        <v>27</v>
      </c>
      <c r="H281" s="5" t="s">
        <v>36</v>
      </c>
      <c r="I281" s="5" t="s">
        <v>33</v>
      </c>
      <c r="J281" s="5">
        <v>71.28</v>
      </c>
      <c r="K281" s="5">
        <v>1</v>
      </c>
      <c r="L281" s="5">
        <v>0</v>
      </c>
      <c r="M281" s="5">
        <v>71.28</v>
      </c>
      <c r="N281" s="5" t="s">
        <v>99</v>
      </c>
      <c r="O281" s="5" t="s">
        <v>55</v>
      </c>
      <c r="P281" s="5">
        <v>12</v>
      </c>
      <c r="Q281" s="5">
        <v>7</v>
      </c>
      <c r="R281" s="5" t="b">
        <v>1</v>
      </c>
      <c r="S281" s="5">
        <v>5</v>
      </c>
      <c r="T281" s="5">
        <v>5</v>
      </c>
    </row>
    <row r="282" spans="1:20">
      <c r="A282" s="5" t="s">
        <v>607</v>
      </c>
      <c r="B282" s="5" t="s">
        <v>608</v>
      </c>
      <c r="C282" s="6">
        <v>44956</v>
      </c>
      <c r="D282" s="6" t="str">
        <f t="shared" si="9"/>
        <v>Monday</v>
      </c>
      <c r="E282" s="5">
        <v>60</v>
      </c>
      <c r="F282" s="5" t="str">
        <f t="shared" si="8"/>
        <v>Gen X/Boomers</v>
      </c>
      <c r="G282" s="5" t="s">
        <v>20</v>
      </c>
      <c r="H282" s="5" t="s">
        <v>32</v>
      </c>
      <c r="I282" s="5" t="s">
        <v>40</v>
      </c>
      <c r="J282" s="5">
        <v>785.55</v>
      </c>
      <c r="K282" s="5">
        <v>1</v>
      </c>
      <c r="L282" s="5">
        <v>0</v>
      </c>
      <c r="M282" s="5">
        <v>785.55</v>
      </c>
      <c r="N282" s="5" t="s">
        <v>29</v>
      </c>
      <c r="O282" s="5" t="s">
        <v>24</v>
      </c>
      <c r="P282" s="5">
        <v>1</v>
      </c>
      <c r="Q282" s="5">
        <v>11</v>
      </c>
      <c r="R282" s="5" t="b">
        <v>1</v>
      </c>
      <c r="S282" s="5">
        <v>9</v>
      </c>
      <c r="T282" s="5">
        <v>4</v>
      </c>
    </row>
    <row r="283" spans="1:20">
      <c r="A283" s="5" t="s">
        <v>609</v>
      </c>
      <c r="B283" s="5" t="s">
        <v>610</v>
      </c>
      <c r="C283" s="6">
        <v>44956</v>
      </c>
      <c r="D283" s="6" t="str">
        <f t="shared" si="9"/>
        <v>Monday</v>
      </c>
      <c r="E283" s="5">
        <v>41</v>
      </c>
      <c r="F283" s="5" t="str">
        <f t="shared" si="8"/>
        <v>Millennials</v>
      </c>
      <c r="G283" s="5" t="s">
        <v>27</v>
      </c>
      <c r="H283" s="5" t="s">
        <v>28</v>
      </c>
      <c r="I283" s="5" t="s">
        <v>22</v>
      </c>
      <c r="J283" s="5">
        <v>221.16</v>
      </c>
      <c r="K283" s="5">
        <v>2</v>
      </c>
      <c r="L283" s="5">
        <v>0</v>
      </c>
      <c r="M283" s="5">
        <v>442.32</v>
      </c>
      <c r="N283" s="5" t="s">
        <v>41</v>
      </c>
      <c r="O283" s="5" t="s">
        <v>42</v>
      </c>
      <c r="P283" s="5">
        <v>9</v>
      </c>
      <c r="Q283" s="5">
        <v>2</v>
      </c>
      <c r="R283" s="5" t="b">
        <v>0</v>
      </c>
      <c r="S283" s="5">
        <v>10</v>
      </c>
      <c r="T283" s="5">
        <v>4</v>
      </c>
    </row>
    <row r="284" spans="1:20">
      <c r="A284" s="5" t="s">
        <v>611</v>
      </c>
      <c r="B284" s="5" t="s">
        <v>612</v>
      </c>
      <c r="C284" s="6">
        <v>44956</v>
      </c>
      <c r="D284" s="6" t="str">
        <f t="shared" si="9"/>
        <v>Monday</v>
      </c>
      <c r="E284" s="5">
        <v>41</v>
      </c>
      <c r="F284" s="5" t="str">
        <f t="shared" si="8"/>
        <v>Millennials</v>
      </c>
      <c r="G284" s="5" t="s">
        <v>20</v>
      </c>
      <c r="H284" s="5" t="s">
        <v>36</v>
      </c>
      <c r="I284" s="5" t="s">
        <v>22</v>
      </c>
      <c r="J284" s="5">
        <v>238.51</v>
      </c>
      <c r="K284" s="5">
        <v>1</v>
      </c>
      <c r="L284" s="5">
        <v>0</v>
      </c>
      <c r="M284" s="5">
        <v>238.51</v>
      </c>
      <c r="N284" s="5" t="s">
        <v>29</v>
      </c>
      <c r="O284" s="5" t="s">
        <v>24</v>
      </c>
      <c r="P284" s="5">
        <v>11</v>
      </c>
      <c r="Q284" s="5">
        <v>16</v>
      </c>
      <c r="R284" s="5" t="b">
        <v>1</v>
      </c>
      <c r="S284" s="5">
        <v>7</v>
      </c>
      <c r="T284" s="5">
        <v>1</v>
      </c>
    </row>
    <row r="285" spans="1:20">
      <c r="A285" s="5" t="s">
        <v>613</v>
      </c>
      <c r="B285" s="5" t="s">
        <v>614</v>
      </c>
      <c r="C285" s="6">
        <v>44956</v>
      </c>
      <c r="D285" s="6" t="str">
        <f t="shared" si="9"/>
        <v>Monday</v>
      </c>
      <c r="E285" s="5">
        <v>33</v>
      </c>
      <c r="F285" s="5" t="str">
        <f t="shared" si="8"/>
        <v>Millennials</v>
      </c>
      <c r="G285" s="5" t="s">
        <v>20</v>
      </c>
      <c r="H285" s="5" t="s">
        <v>66</v>
      </c>
      <c r="I285" s="5" t="s">
        <v>40</v>
      </c>
      <c r="J285" s="5">
        <v>235.02</v>
      </c>
      <c r="K285" s="5">
        <v>2</v>
      </c>
      <c r="L285" s="5">
        <v>0</v>
      </c>
      <c r="M285" s="5">
        <v>470.04</v>
      </c>
      <c r="N285" s="5" t="s">
        <v>23</v>
      </c>
      <c r="O285" s="5" t="s">
        <v>55</v>
      </c>
      <c r="P285" s="5">
        <v>11</v>
      </c>
      <c r="Q285" s="5">
        <v>13</v>
      </c>
      <c r="R285" s="5" t="b">
        <v>1</v>
      </c>
      <c r="S285" s="5">
        <v>12</v>
      </c>
      <c r="T285" s="5">
        <v>4</v>
      </c>
    </row>
    <row r="286" spans="1:20">
      <c r="A286" s="5" t="s">
        <v>615</v>
      </c>
      <c r="B286" s="5" t="s">
        <v>616</v>
      </c>
      <c r="C286" s="6">
        <v>44956</v>
      </c>
      <c r="D286" s="6" t="str">
        <f t="shared" si="9"/>
        <v>Monday</v>
      </c>
      <c r="E286" s="5">
        <v>27</v>
      </c>
      <c r="F286" s="5" t="str">
        <f t="shared" si="8"/>
        <v>Millennials</v>
      </c>
      <c r="G286" s="5" t="s">
        <v>20</v>
      </c>
      <c r="H286" s="5" t="s">
        <v>21</v>
      </c>
      <c r="I286" s="5" t="s">
        <v>22</v>
      </c>
      <c r="J286" s="5">
        <v>190.94</v>
      </c>
      <c r="K286" s="5">
        <v>4</v>
      </c>
      <c r="L286" s="5">
        <v>28.38</v>
      </c>
      <c r="M286" s="5">
        <v>735.38</v>
      </c>
      <c r="N286" s="5" t="s">
        <v>49</v>
      </c>
      <c r="O286" s="5" t="s">
        <v>42</v>
      </c>
      <c r="P286" s="5">
        <v>19</v>
      </c>
      <c r="Q286" s="5">
        <v>5</v>
      </c>
      <c r="R286" s="5" t="b">
        <v>1</v>
      </c>
      <c r="S286" s="5">
        <v>6</v>
      </c>
      <c r="T286" s="5">
        <v>5</v>
      </c>
    </row>
    <row r="287" spans="1:20">
      <c r="A287" s="5" t="s">
        <v>617</v>
      </c>
      <c r="B287" s="5" t="s">
        <v>618</v>
      </c>
      <c r="C287" s="6">
        <v>44956</v>
      </c>
      <c r="D287" s="6" t="str">
        <f t="shared" si="9"/>
        <v>Monday</v>
      </c>
      <c r="E287" s="5">
        <v>31</v>
      </c>
      <c r="F287" s="5" t="str">
        <f t="shared" si="8"/>
        <v>Millennials</v>
      </c>
      <c r="G287" s="5" t="s">
        <v>20</v>
      </c>
      <c r="H287" s="5" t="s">
        <v>36</v>
      </c>
      <c r="I287" s="5" t="s">
        <v>22</v>
      </c>
      <c r="J287" s="5">
        <v>110.26</v>
      </c>
      <c r="K287" s="5">
        <v>1</v>
      </c>
      <c r="L287" s="5">
        <v>0</v>
      </c>
      <c r="M287" s="5">
        <v>110.26</v>
      </c>
      <c r="N287" s="5" t="s">
        <v>29</v>
      </c>
      <c r="O287" s="5" t="s">
        <v>24</v>
      </c>
      <c r="P287" s="5">
        <v>1</v>
      </c>
      <c r="Q287" s="5">
        <v>10</v>
      </c>
      <c r="R287" s="5" t="b">
        <v>1</v>
      </c>
      <c r="S287" s="5">
        <v>4</v>
      </c>
      <c r="T287" s="5">
        <v>5</v>
      </c>
    </row>
    <row r="288" spans="1:20">
      <c r="A288" s="5" t="s">
        <v>619</v>
      </c>
      <c r="B288" s="5" t="s">
        <v>620</v>
      </c>
      <c r="C288" s="6">
        <v>44956</v>
      </c>
      <c r="D288" s="6" t="str">
        <f t="shared" si="9"/>
        <v>Monday</v>
      </c>
      <c r="E288" s="5">
        <v>49</v>
      </c>
      <c r="F288" s="5" t="str">
        <f t="shared" si="8"/>
        <v>Gen X/Boomers</v>
      </c>
      <c r="G288" s="5" t="s">
        <v>20</v>
      </c>
      <c r="H288" s="5" t="s">
        <v>178</v>
      </c>
      <c r="I288" s="5" t="s">
        <v>45</v>
      </c>
      <c r="J288" s="5">
        <v>178.19</v>
      </c>
      <c r="K288" s="5">
        <v>2</v>
      </c>
      <c r="L288" s="5">
        <v>0</v>
      </c>
      <c r="M288" s="5">
        <v>356.38</v>
      </c>
      <c r="N288" s="5" t="s">
        <v>23</v>
      </c>
      <c r="O288" s="5" t="s">
        <v>24</v>
      </c>
      <c r="P288" s="5">
        <v>16</v>
      </c>
      <c r="Q288" s="5">
        <v>9</v>
      </c>
      <c r="R288" s="5" t="b">
        <v>1</v>
      </c>
      <c r="S288" s="5">
        <v>4</v>
      </c>
      <c r="T288" s="5">
        <v>3</v>
      </c>
    </row>
    <row r="289" spans="1:20">
      <c r="A289" s="5" t="s">
        <v>621</v>
      </c>
      <c r="B289" s="5" t="s">
        <v>622</v>
      </c>
      <c r="C289" s="6">
        <v>44957</v>
      </c>
      <c r="D289" s="6" t="str">
        <f t="shared" si="9"/>
        <v>Tuesday</v>
      </c>
      <c r="E289" s="5">
        <v>40</v>
      </c>
      <c r="F289" s="5" t="str">
        <f t="shared" si="8"/>
        <v>Millennials</v>
      </c>
      <c r="G289" s="5" t="s">
        <v>20</v>
      </c>
      <c r="H289" s="5" t="s">
        <v>36</v>
      </c>
      <c r="I289" s="5" t="s">
        <v>40</v>
      </c>
      <c r="J289" s="5">
        <v>178.93</v>
      </c>
      <c r="K289" s="5">
        <v>1</v>
      </c>
      <c r="L289" s="5">
        <v>15.22</v>
      </c>
      <c r="M289" s="5">
        <v>163.71</v>
      </c>
      <c r="N289" s="5" t="s">
        <v>29</v>
      </c>
      <c r="O289" s="5" t="s">
        <v>24</v>
      </c>
      <c r="P289" s="5">
        <v>15</v>
      </c>
      <c r="Q289" s="5">
        <v>8</v>
      </c>
      <c r="R289" s="5" t="b">
        <v>1</v>
      </c>
      <c r="S289" s="5">
        <v>10</v>
      </c>
      <c r="T289" s="5">
        <v>4</v>
      </c>
    </row>
    <row r="290" spans="1:20">
      <c r="A290" s="5" t="s">
        <v>623</v>
      </c>
      <c r="B290" s="5" t="s">
        <v>624</v>
      </c>
      <c r="C290" s="6">
        <v>44957</v>
      </c>
      <c r="D290" s="6" t="str">
        <f t="shared" si="9"/>
        <v>Tuesday</v>
      </c>
      <c r="E290" s="5">
        <v>18</v>
      </c>
      <c r="F290" s="5" t="str">
        <f t="shared" si="8"/>
        <v>Gen Z</v>
      </c>
      <c r="G290" s="5" t="s">
        <v>27</v>
      </c>
      <c r="H290" s="5" t="s">
        <v>36</v>
      </c>
      <c r="I290" s="5" t="s">
        <v>22</v>
      </c>
      <c r="J290" s="5">
        <v>158.02000000000001</v>
      </c>
      <c r="K290" s="5">
        <v>1</v>
      </c>
      <c r="L290" s="5">
        <v>21.85</v>
      </c>
      <c r="M290" s="5">
        <v>136.16999999999999</v>
      </c>
      <c r="N290" s="5" t="s">
        <v>29</v>
      </c>
      <c r="O290" s="5" t="s">
        <v>42</v>
      </c>
      <c r="P290" s="5">
        <v>36</v>
      </c>
      <c r="Q290" s="5">
        <v>9</v>
      </c>
      <c r="R290" s="5" t="b">
        <v>0</v>
      </c>
      <c r="S290" s="5">
        <v>9</v>
      </c>
      <c r="T290" s="5">
        <v>1</v>
      </c>
    </row>
    <row r="291" spans="1:20">
      <c r="A291" s="5" t="s">
        <v>625</v>
      </c>
      <c r="B291" s="5" t="s">
        <v>626</v>
      </c>
      <c r="C291" s="6">
        <v>44957</v>
      </c>
      <c r="D291" s="6" t="str">
        <f t="shared" si="9"/>
        <v>Tuesday</v>
      </c>
      <c r="E291" s="5">
        <v>22</v>
      </c>
      <c r="F291" s="5" t="str">
        <f t="shared" si="8"/>
        <v>Gen Z</v>
      </c>
      <c r="G291" s="5" t="s">
        <v>27</v>
      </c>
      <c r="H291" s="5" t="s">
        <v>36</v>
      </c>
      <c r="I291" s="5" t="s">
        <v>54</v>
      </c>
      <c r="J291" s="5">
        <v>485.83</v>
      </c>
      <c r="K291" s="5">
        <v>1</v>
      </c>
      <c r="L291" s="5">
        <v>0</v>
      </c>
      <c r="M291" s="5">
        <v>485.83</v>
      </c>
      <c r="N291" s="5" t="s">
        <v>29</v>
      </c>
      <c r="O291" s="5" t="s">
        <v>24</v>
      </c>
      <c r="P291" s="5">
        <v>24</v>
      </c>
      <c r="Q291" s="5">
        <v>12</v>
      </c>
      <c r="R291" s="5" t="b">
        <v>1</v>
      </c>
      <c r="S291" s="5">
        <v>6</v>
      </c>
      <c r="T291" s="5">
        <v>4</v>
      </c>
    </row>
    <row r="292" spans="1:20">
      <c r="A292" s="5" t="s">
        <v>627</v>
      </c>
      <c r="B292" s="5" t="s">
        <v>628</v>
      </c>
      <c r="C292" s="6">
        <v>44957</v>
      </c>
      <c r="D292" s="6" t="str">
        <f t="shared" si="9"/>
        <v>Tuesday</v>
      </c>
      <c r="E292" s="5">
        <v>43</v>
      </c>
      <c r="F292" s="5" t="str">
        <f t="shared" si="8"/>
        <v>Millennials</v>
      </c>
      <c r="G292" s="5" t="s">
        <v>20</v>
      </c>
      <c r="H292" s="5" t="s">
        <v>48</v>
      </c>
      <c r="I292" s="5" t="s">
        <v>45</v>
      </c>
      <c r="J292" s="5">
        <v>28.39</v>
      </c>
      <c r="K292" s="5">
        <v>1</v>
      </c>
      <c r="L292" s="5">
        <v>0</v>
      </c>
      <c r="M292" s="5">
        <v>28.39</v>
      </c>
      <c r="N292" s="5" t="s">
        <v>29</v>
      </c>
      <c r="O292" s="5" t="s">
        <v>24</v>
      </c>
      <c r="P292" s="5">
        <v>13</v>
      </c>
      <c r="Q292" s="5">
        <v>10</v>
      </c>
      <c r="R292" s="5" t="b">
        <v>1</v>
      </c>
      <c r="S292" s="5">
        <v>12</v>
      </c>
      <c r="T292" s="5">
        <v>5</v>
      </c>
    </row>
    <row r="293" spans="1:20">
      <c r="A293" s="5" t="s">
        <v>629</v>
      </c>
      <c r="B293" s="5" t="s">
        <v>630</v>
      </c>
      <c r="C293" s="6">
        <v>44957</v>
      </c>
      <c r="D293" s="6" t="str">
        <f t="shared" si="9"/>
        <v>Tuesday</v>
      </c>
      <c r="E293" s="5">
        <v>42</v>
      </c>
      <c r="F293" s="5" t="str">
        <f t="shared" si="8"/>
        <v>Millennials</v>
      </c>
      <c r="G293" s="5" t="s">
        <v>27</v>
      </c>
      <c r="H293" s="5" t="s">
        <v>36</v>
      </c>
      <c r="I293" s="5" t="s">
        <v>54</v>
      </c>
      <c r="J293" s="5">
        <v>274.43</v>
      </c>
      <c r="K293" s="5">
        <v>3</v>
      </c>
      <c r="L293" s="5">
        <v>47.04</v>
      </c>
      <c r="M293" s="5">
        <v>776.25</v>
      </c>
      <c r="N293" s="5" t="s">
        <v>23</v>
      </c>
      <c r="O293" s="5" t="s">
        <v>24</v>
      </c>
      <c r="P293" s="5">
        <v>27</v>
      </c>
      <c r="Q293" s="5">
        <v>9</v>
      </c>
      <c r="R293" s="5" t="b">
        <v>1</v>
      </c>
      <c r="S293" s="5">
        <v>12</v>
      </c>
      <c r="T293" s="5">
        <v>4</v>
      </c>
    </row>
    <row r="294" spans="1:20">
      <c r="A294" s="5" t="s">
        <v>631</v>
      </c>
      <c r="B294" s="5" t="s">
        <v>632</v>
      </c>
      <c r="C294" s="6">
        <v>44957</v>
      </c>
      <c r="D294" s="6" t="str">
        <f t="shared" si="9"/>
        <v>Tuesday</v>
      </c>
      <c r="E294" s="5">
        <v>43</v>
      </c>
      <c r="F294" s="5" t="str">
        <f t="shared" si="8"/>
        <v>Millennials</v>
      </c>
      <c r="G294" s="5" t="s">
        <v>27</v>
      </c>
      <c r="H294" s="5" t="s">
        <v>178</v>
      </c>
      <c r="I294" s="5" t="s">
        <v>33</v>
      </c>
      <c r="J294" s="5">
        <v>76.5</v>
      </c>
      <c r="K294" s="5">
        <v>1</v>
      </c>
      <c r="L294" s="5">
        <v>6.92</v>
      </c>
      <c r="M294" s="5">
        <v>69.58</v>
      </c>
      <c r="N294" s="5" t="s">
        <v>29</v>
      </c>
      <c r="O294" s="5" t="s">
        <v>42</v>
      </c>
      <c r="P294" s="5">
        <v>16</v>
      </c>
      <c r="Q294" s="5">
        <v>12</v>
      </c>
      <c r="R294" s="5" t="b">
        <v>0</v>
      </c>
      <c r="S294" s="5">
        <v>5</v>
      </c>
      <c r="T294" s="5">
        <v>4</v>
      </c>
    </row>
    <row r="295" spans="1:20">
      <c r="A295" s="5" t="s">
        <v>633</v>
      </c>
      <c r="B295" s="5" t="s">
        <v>634</v>
      </c>
      <c r="C295" s="6">
        <v>44957</v>
      </c>
      <c r="D295" s="6" t="str">
        <f t="shared" si="9"/>
        <v>Tuesday</v>
      </c>
      <c r="E295" s="5">
        <v>38</v>
      </c>
      <c r="F295" s="5" t="str">
        <f t="shared" si="8"/>
        <v>Millennials</v>
      </c>
      <c r="G295" s="5" t="s">
        <v>20</v>
      </c>
      <c r="H295" s="5" t="s">
        <v>36</v>
      </c>
      <c r="I295" s="5" t="s">
        <v>54</v>
      </c>
      <c r="J295" s="5">
        <v>66.84</v>
      </c>
      <c r="K295" s="5">
        <v>4</v>
      </c>
      <c r="L295" s="5">
        <v>0</v>
      </c>
      <c r="M295" s="5">
        <v>267.36</v>
      </c>
      <c r="N295" s="5" t="s">
        <v>29</v>
      </c>
      <c r="O295" s="5" t="s">
        <v>42</v>
      </c>
      <c r="P295" s="5">
        <v>27</v>
      </c>
      <c r="Q295" s="5">
        <v>7</v>
      </c>
      <c r="R295" s="5" t="b">
        <v>0</v>
      </c>
      <c r="S295" s="5">
        <v>5</v>
      </c>
      <c r="T295" s="5">
        <v>4</v>
      </c>
    </row>
    <row r="296" spans="1:20">
      <c r="A296" s="5" t="s">
        <v>635</v>
      </c>
      <c r="B296" s="5" t="s">
        <v>636</v>
      </c>
      <c r="C296" s="6">
        <v>44957</v>
      </c>
      <c r="D296" s="6" t="str">
        <f t="shared" si="9"/>
        <v>Tuesday</v>
      </c>
      <c r="E296" s="5">
        <v>38</v>
      </c>
      <c r="F296" s="5" t="str">
        <f t="shared" si="8"/>
        <v>Millennials</v>
      </c>
      <c r="G296" s="5" t="s">
        <v>20</v>
      </c>
      <c r="H296" s="5" t="s">
        <v>21</v>
      </c>
      <c r="I296" s="5" t="s">
        <v>67</v>
      </c>
      <c r="J296" s="5">
        <v>589.21</v>
      </c>
      <c r="K296" s="5">
        <v>2</v>
      </c>
      <c r="L296" s="5">
        <v>0</v>
      </c>
      <c r="M296" s="5">
        <v>1178.42</v>
      </c>
      <c r="N296" s="5" t="s">
        <v>23</v>
      </c>
      <c r="O296" s="5" t="s">
        <v>24</v>
      </c>
      <c r="P296" s="5">
        <v>12</v>
      </c>
      <c r="Q296" s="5">
        <v>6</v>
      </c>
      <c r="R296" s="5" t="b">
        <v>1</v>
      </c>
      <c r="S296" s="5">
        <v>7</v>
      </c>
      <c r="T296" s="5">
        <v>5</v>
      </c>
    </row>
    <row r="297" spans="1:20">
      <c r="A297" s="5" t="s">
        <v>637</v>
      </c>
      <c r="B297" s="5" t="s">
        <v>638</v>
      </c>
      <c r="C297" s="6">
        <v>44957</v>
      </c>
      <c r="D297" s="6" t="str">
        <f t="shared" si="9"/>
        <v>Tuesday</v>
      </c>
      <c r="E297" s="5">
        <v>32</v>
      </c>
      <c r="F297" s="5" t="str">
        <f t="shared" si="8"/>
        <v>Millennials</v>
      </c>
      <c r="G297" s="5" t="s">
        <v>27</v>
      </c>
      <c r="H297" s="5" t="s">
        <v>36</v>
      </c>
      <c r="I297" s="5" t="s">
        <v>33</v>
      </c>
      <c r="J297" s="5">
        <v>61.49</v>
      </c>
      <c r="K297" s="5">
        <v>5</v>
      </c>
      <c r="L297" s="5">
        <v>0</v>
      </c>
      <c r="M297" s="5">
        <v>307.45</v>
      </c>
      <c r="N297" s="5" t="s">
        <v>29</v>
      </c>
      <c r="O297" s="5" t="s">
        <v>42</v>
      </c>
      <c r="P297" s="5">
        <v>11</v>
      </c>
      <c r="Q297" s="5">
        <v>6</v>
      </c>
      <c r="R297" s="5" t="b">
        <v>0</v>
      </c>
      <c r="S297" s="5">
        <v>4</v>
      </c>
      <c r="T297" s="5">
        <v>4</v>
      </c>
    </row>
    <row r="298" spans="1:20">
      <c r="A298" s="5" t="s">
        <v>639</v>
      </c>
      <c r="B298" s="5" t="s">
        <v>640</v>
      </c>
      <c r="C298" s="6">
        <v>44957</v>
      </c>
      <c r="D298" s="6" t="str">
        <f t="shared" si="9"/>
        <v>Tuesday</v>
      </c>
      <c r="E298" s="5">
        <v>44</v>
      </c>
      <c r="F298" s="5" t="str">
        <f t="shared" si="8"/>
        <v>Millennials</v>
      </c>
      <c r="G298" s="5" t="s">
        <v>20</v>
      </c>
      <c r="H298" s="5" t="s">
        <v>88</v>
      </c>
      <c r="I298" s="5" t="s">
        <v>70</v>
      </c>
      <c r="J298" s="5">
        <v>38.979999999999997</v>
      </c>
      <c r="K298" s="5">
        <v>4</v>
      </c>
      <c r="L298" s="5">
        <v>0</v>
      </c>
      <c r="M298" s="5">
        <v>155.91999999999999</v>
      </c>
      <c r="N298" s="5" t="s">
        <v>29</v>
      </c>
      <c r="O298" s="5" t="s">
        <v>24</v>
      </c>
      <c r="P298" s="5">
        <v>4</v>
      </c>
      <c r="Q298" s="5">
        <v>12</v>
      </c>
      <c r="R298" s="5" t="b">
        <v>0</v>
      </c>
      <c r="S298" s="5">
        <v>7</v>
      </c>
      <c r="T298" s="5">
        <v>5</v>
      </c>
    </row>
    <row r="299" spans="1:20">
      <c r="A299" s="5" t="s">
        <v>641</v>
      </c>
      <c r="B299" s="5" t="s">
        <v>642</v>
      </c>
      <c r="C299" s="6">
        <v>44957</v>
      </c>
      <c r="D299" s="6" t="str">
        <f t="shared" si="9"/>
        <v>Tuesday</v>
      </c>
      <c r="E299" s="5">
        <v>48</v>
      </c>
      <c r="F299" s="5" t="str">
        <f t="shared" si="8"/>
        <v>Gen X/Boomers</v>
      </c>
      <c r="G299" s="5" t="s">
        <v>20</v>
      </c>
      <c r="H299" s="5" t="s">
        <v>178</v>
      </c>
      <c r="I299" s="5" t="s">
        <v>45</v>
      </c>
      <c r="J299" s="5">
        <v>42.57</v>
      </c>
      <c r="K299" s="5">
        <v>1</v>
      </c>
      <c r="L299" s="5">
        <v>11.98</v>
      </c>
      <c r="M299" s="5">
        <v>30.59</v>
      </c>
      <c r="N299" s="5" t="s">
        <v>99</v>
      </c>
      <c r="O299" s="5" t="s">
        <v>24</v>
      </c>
      <c r="P299" s="5">
        <v>22</v>
      </c>
      <c r="Q299" s="5">
        <v>7</v>
      </c>
      <c r="R299" s="5" t="b">
        <v>0</v>
      </c>
      <c r="S299" s="5">
        <v>4</v>
      </c>
      <c r="T299" s="5">
        <v>5</v>
      </c>
    </row>
    <row r="300" spans="1:20">
      <c r="A300" s="5" t="s">
        <v>643</v>
      </c>
      <c r="B300" s="5" t="s">
        <v>644</v>
      </c>
      <c r="C300" s="6">
        <v>44957</v>
      </c>
      <c r="D300" s="6" t="str">
        <f t="shared" si="9"/>
        <v>Tuesday</v>
      </c>
      <c r="E300" s="5">
        <v>38</v>
      </c>
      <c r="F300" s="5" t="str">
        <f t="shared" si="8"/>
        <v>Millennials</v>
      </c>
      <c r="G300" s="5" t="s">
        <v>27</v>
      </c>
      <c r="H300" s="5" t="s">
        <v>36</v>
      </c>
      <c r="I300" s="5" t="s">
        <v>45</v>
      </c>
      <c r="J300" s="5">
        <v>187.86</v>
      </c>
      <c r="K300" s="5">
        <v>1</v>
      </c>
      <c r="L300" s="5">
        <v>49.94</v>
      </c>
      <c r="M300" s="5">
        <v>137.91999999999999</v>
      </c>
      <c r="N300" s="5" t="s">
        <v>99</v>
      </c>
      <c r="O300" s="5" t="s">
        <v>42</v>
      </c>
      <c r="P300" s="5">
        <v>17</v>
      </c>
      <c r="Q300" s="5">
        <v>12</v>
      </c>
      <c r="R300" s="5" t="b">
        <v>1</v>
      </c>
      <c r="S300" s="5">
        <v>5</v>
      </c>
      <c r="T300" s="5">
        <v>5</v>
      </c>
    </row>
    <row r="301" spans="1:20">
      <c r="A301" s="5" t="s">
        <v>645</v>
      </c>
      <c r="B301" s="5" t="s">
        <v>646</v>
      </c>
      <c r="C301" s="6">
        <v>44957</v>
      </c>
      <c r="D301" s="6" t="str">
        <f t="shared" si="9"/>
        <v>Tuesday</v>
      </c>
      <c r="E301" s="5">
        <v>35</v>
      </c>
      <c r="F301" s="5" t="str">
        <f t="shared" si="8"/>
        <v>Millennials</v>
      </c>
      <c r="G301" s="5" t="s">
        <v>27</v>
      </c>
      <c r="H301" s="5" t="s">
        <v>178</v>
      </c>
      <c r="I301" s="5" t="s">
        <v>67</v>
      </c>
      <c r="J301" s="5">
        <v>118.78</v>
      </c>
      <c r="K301" s="5">
        <v>1</v>
      </c>
      <c r="L301" s="5">
        <v>0</v>
      </c>
      <c r="M301" s="5">
        <v>118.78</v>
      </c>
      <c r="N301" s="5" t="s">
        <v>23</v>
      </c>
      <c r="O301" s="5" t="s">
        <v>24</v>
      </c>
      <c r="P301" s="5">
        <v>3</v>
      </c>
      <c r="Q301" s="5">
        <v>13</v>
      </c>
      <c r="R301" s="5" t="b">
        <v>1</v>
      </c>
      <c r="S301" s="5">
        <v>6</v>
      </c>
      <c r="T301" s="5">
        <v>3</v>
      </c>
    </row>
    <row r="302" spans="1:20">
      <c r="A302" s="5" t="s">
        <v>647</v>
      </c>
      <c r="B302" s="5" t="s">
        <v>648</v>
      </c>
      <c r="C302" s="6">
        <v>44957</v>
      </c>
      <c r="D302" s="6" t="str">
        <f t="shared" si="9"/>
        <v>Tuesday</v>
      </c>
      <c r="E302" s="5">
        <v>35</v>
      </c>
      <c r="F302" s="5" t="str">
        <f t="shared" si="8"/>
        <v>Millennials</v>
      </c>
      <c r="G302" s="5" t="s">
        <v>20</v>
      </c>
      <c r="H302" s="5" t="s">
        <v>88</v>
      </c>
      <c r="I302" s="5" t="s">
        <v>70</v>
      </c>
      <c r="J302" s="5">
        <v>51.94</v>
      </c>
      <c r="K302" s="5">
        <v>1</v>
      </c>
      <c r="L302" s="5">
        <v>14.38</v>
      </c>
      <c r="M302" s="5">
        <v>37.56</v>
      </c>
      <c r="N302" s="5" t="s">
        <v>49</v>
      </c>
      <c r="O302" s="5" t="s">
        <v>42</v>
      </c>
      <c r="P302" s="5">
        <v>1</v>
      </c>
      <c r="Q302" s="5">
        <v>8</v>
      </c>
      <c r="R302" s="5" t="b">
        <v>0</v>
      </c>
      <c r="S302" s="5">
        <v>7</v>
      </c>
      <c r="T302" s="5">
        <v>3</v>
      </c>
    </row>
    <row r="303" spans="1:20">
      <c r="A303" s="5" t="s">
        <v>649</v>
      </c>
      <c r="B303" s="5" t="s">
        <v>650</v>
      </c>
      <c r="C303" s="6">
        <v>44958</v>
      </c>
      <c r="D303" s="6" t="str">
        <f t="shared" si="9"/>
        <v>Wednesday</v>
      </c>
      <c r="E303" s="5">
        <v>18</v>
      </c>
      <c r="F303" s="5" t="str">
        <f t="shared" si="8"/>
        <v>Gen Z</v>
      </c>
      <c r="G303" s="5" t="s">
        <v>20</v>
      </c>
      <c r="H303" s="5" t="s">
        <v>32</v>
      </c>
      <c r="I303" s="5" t="s">
        <v>37</v>
      </c>
      <c r="J303" s="5">
        <v>1201.31</v>
      </c>
      <c r="K303" s="5">
        <v>1</v>
      </c>
      <c r="L303" s="5">
        <v>177.05</v>
      </c>
      <c r="M303" s="5">
        <v>1024.26</v>
      </c>
      <c r="N303" s="5" t="s">
        <v>29</v>
      </c>
      <c r="O303" s="5" t="s">
        <v>42</v>
      </c>
      <c r="P303" s="5">
        <v>20</v>
      </c>
      <c r="Q303" s="5">
        <v>10</v>
      </c>
      <c r="R303" s="5" t="b">
        <v>1</v>
      </c>
      <c r="S303" s="5">
        <v>12</v>
      </c>
      <c r="T303" s="5">
        <v>5</v>
      </c>
    </row>
    <row r="304" spans="1:20">
      <c r="A304" s="5" t="s">
        <v>651</v>
      </c>
      <c r="B304" s="5" t="s">
        <v>652</v>
      </c>
      <c r="C304" s="6">
        <v>44958</v>
      </c>
      <c r="D304" s="6" t="str">
        <f t="shared" si="9"/>
        <v>Wednesday</v>
      </c>
      <c r="E304" s="5">
        <v>20</v>
      </c>
      <c r="F304" s="5" t="str">
        <f t="shared" si="8"/>
        <v>Gen Z</v>
      </c>
      <c r="G304" s="5" t="s">
        <v>27</v>
      </c>
      <c r="H304" s="5" t="s">
        <v>48</v>
      </c>
      <c r="I304" s="5" t="s">
        <v>67</v>
      </c>
      <c r="J304" s="5">
        <v>419.96</v>
      </c>
      <c r="K304" s="5">
        <v>5</v>
      </c>
      <c r="L304" s="5">
        <v>0</v>
      </c>
      <c r="M304" s="5">
        <v>2099.8000000000002</v>
      </c>
      <c r="N304" s="5" t="s">
        <v>99</v>
      </c>
      <c r="O304" s="5" t="s">
        <v>42</v>
      </c>
      <c r="P304" s="5">
        <v>30</v>
      </c>
      <c r="Q304" s="5">
        <v>14</v>
      </c>
      <c r="R304" s="5" t="b">
        <v>0</v>
      </c>
      <c r="S304" s="5">
        <v>6</v>
      </c>
      <c r="T304" s="5">
        <v>5</v>
      </c>
    </row>
    <row r="305" spans="1:20">
      <c r="A305" s="5" t="s">
        <v>653</v>
      </c>
      <c r="B305" s="5" t="s">
        <v>654</v>
      </c>
      <c r="C305" s="6">
        <v>44958</v>
      </c>
      <c r="D305" s="6" t="str">
        <f t="shared" si="9"/>
        <v>Wednesday</v>
      </c>
      <c r="E305" s="5">
        <v>23</v>
      </c>
      <c r="F305" s="5" t="str">
        <f t="shared" si="8"/>
        <v>Gen Z</v>
      </c>
      <c r="G305" s="5" t="s">
        <v>27</v>
      </c>
      <c r="H305" s="5" t="s">
        <v>21</v>
      </c>
      <c r="I305" s="5" t="s">
        <v>33</v>
      </c>
      <c r="J305" s="5">
        <v>61.2</v>
      </c>
      <c r="K305" s="5">
        <v>2</v>
      </c>
      <c r="L305" s="5">
        <v>0</v>
      </c>
      <c r="M305" s="5">
        <v>122.4</v>
      </c>
      <c r="N305" s="5" t="s">
        <v>23</v>
      </c>
      <c r="O305" s="5" t="s">
        <v>24</v>
      </c>
      <c r="P305" s="5">
        <v>8</v>
      </c>
      <c r="Q305" s="5">
        <v>11</v>
      </c>
      <c r="R305" s="5" t="b">
        <v>1</v>
      </c>
      <c r="S305" s="5">
        <v>4</v>
      </c>
      <c r="T305" s="5">
        <v>5</v>
      </c>
    </row>
    <row r="306" spans="1:20">
      <c r="A306" s="5" t="s">
        <v>655</v>
      </c>
      <c r="B306" s="5" t="s">
        <v>656</v>
      </c>
      <c r="C306" s="6">
        <v>44958</v>
      </c>
      <c r="D306" s="6" t="str">
        <f t="shared" si="9"/>
        <v>Wednesday</v>
      </c>
      <c r="E306" s="5">
        <v>33</v>
      </c>
      <c r="F306" s="5" t="str">
        <f t="shared" si="8"/>
        <v>Millennials</v>
      </c>
      <c r="G306" s="5" t="s">
        <v>27</v>
      </c>
      <c r="H306" s="5" t="s">
        <v>21</v>
      </c>
      <c r="I306" s="5" t="s">
        <v>70</v>
      </c>
      <c r="J306" s="5">
        <v>43.59</v>
      </c>
      <c r="K306" s="5">
        <v>2</v>
      </c>
      <c r="L306" s="5">
        <v>0</v>
      </c>
      <c r="M306" s="5">
        <v>87.18</v>
      </c>
      <c r="N306" s="5" t="s">
        <v>49</v>
      </c>
      <c r="O306" s="5" t="s">
        <v>24</v>
      </c>
      <c r="P306" s="5">
        <v>5</v>
      </c>
      <c r="Q306" s="5">
        <v>8</v>
      </c>
      <c r="R306" s="5" t="b">
        <v>1</v>
      </c>
      <c r="S306" s="5">
        <v>10</v>
      </c>
      <c r="T306" s="5">
        <v>4</v>
      </c>
    </row>
    <row r="307" spans="1:20">
      <c r="A307" s="5" t="s">
        <v>657</v>
      </c>
      <c r="B307" s="5" t="s">
        <v>658</v>
      </c>
      <c r="C307" s="6">
        <v>44958</v>
      </c>
      <c r="D307" s="6" t="str">
        <f t="shared" si="9"/>
        <v>Wednesday</v>
      </c>
      <c r="E307" s="5">
        <v>51</v>
      </c>
      <c r="F307" s="5" t="str">
        <f t="shared" si="8"/>
        <v>Gen X/Boomers</v>
      </c>
      <c r="G307" s="5" t="s">
        <v>27</v>
      </c>
      <c r="H307" s="5" t="s">
        <v>178</v>
      </c>
      <c r="I307" s="5" t="s">
        <v>70</v>
      </c>
      <c r="J307" s="5">
        <v>80.38</v>
      </c>
      <c r="K307" s="5">
        <v>2</v>
      </c>
      <c r="L307" s="5">
        <v>4.2300000000000004</v>
      </c>
      <c r="M307" s="5">
        <v>156.53</v>
      </c>
      <c r="N307" s="5" t="s">
        <v>29</v>
      </c>
      <c r="O307" s="5" t="s">
        <v>24</v>
      </c>
      <c r="P307" s="5">
        <v>2</v>
      </c>
      <c r="Q307" s="5">
        <v>10</v>
      </c>
      <c r="R307" s="5" t="b">
        <v>1</v>
      </c>
      <c r="S307" s="5">
        <v>4</v>
      </c>
      <c r="T307" s="5">
        <v>5</v>
      </c>
    </row>
    <row r="308" spans="1:20">
      <c r="A308" s="5" t="s">
        <v>659</v>
      </c>
      <c r="B308" s="5" t="s">
        <v>660</v>
      </c>
      <c r="C308" s="6">
        <v>44958</v>
      </c>
      <c r="D308" s="6" t="str">
        <f t="shared" si="9"/>
        <v>Wednesday</v>
      </c>
      <c r="E308" s="5">
        <v>33</v>
      </c>
      <c r="F308" s="5" t="str">
        <f t="shared" si="8"/>
        <v>Millennials</v>
      </c>
      <c r="G308" s="5" t="s">
        <v>20</v>
      </c>
      <c r="H308" s="5" t="s">
        <v>66</v>
      </c>
      <c r="I308" s="5" t="s">
        <v>22</v>
      </c>
      <c r="J308" s="5">
        <v>247.72</v>
      </c>
      <c r="K308" s="5">
        <v>1</v>
      </c>
      <c r="L308" s="5">
        <v>0</v>
      </c>
      <c r="M308" s="5">
        <v>247.72</v>
      </c>
      <c r="N308" s="5" t="s">
        <v>41</v>
      </c>
      <c r="O308" s="5" t="s">
        <v>55</v>
      </c>
      <c r="P308" s="5">
        <v>54</v>
      </c>
      <c r="Q308" s="5">
        <v>10</v>
      </c>
      <c r="R308" s="5" t="b">
        <v>1</v>
      </c>
      <c r="S308" s="5">
        <v>8</v>
      </c>
      <c r="T308" s="5">
        <v>5</v>
      </c>
    </row>
    <row r="309" spans="1:20">
      <c r="A309" s="5" t="s">
        <v>661</v>
      </c>
      <c r="B309" s="5" t="s">
        <v>662</v>
      </c>
      <c r="C309" s="6">
        <v>44958</v>
      </c>
      <c r="D309" s="6" t="str">
        <f t="shared" si="9"/>
        <v>Wednesday</v>
      </c>
      <c r="E309" s="5">
        <v>48</v>
      </c>
      <c r="F309" s="5" t="str">
        <f t="shared" si="8"/>
        <v>Gen X/Boomers</v>
      </c>
      <c r="G309" s="5" t="s">
        <v>20</v>
      </c>
      <c r="H309" s="5" t="s">
        <v>48</v>
      </c>
      <c r="I309" s="5" t="s">
        <v>22</v>
      </c>
      <c r="J309" s="5">
        <v>368.72</v>
      </c>
      <c r="K309" s="5">
        <v>1</v>
      </c>
      <c r="L309" s="5">
        <v>0</v>
      </c>
      <c r="M309" s="5">
        <v>368.72</v>
      </c>
      <c r="N309" s="5" t="s">
        <v>23</v>
      </c>
      <c r="O309" s="5" t="s">
        <v>42</v>
      </c>
      <c r="P309" s="5">
        <v>15</v>
      </c>
      <c r="Q309" s="5">
        <v>8</v>
      </c>
      <c r="R309" s="5" t="b">
        <v>0</v>
      </c>
      <c r="S309" s="5">
        <v>5</v>
      </c>
      <c r="T309" s="5">
        <v>3</v>
      </c>
    </row>
    <row r="310" spans="1:20">
      <c r="A310" s="5" t="s">
        <v>663</v>
      </c>
      <c r="B310" s="5" t="s">
        <v>664</v>
      </c>
      <c r="C310" s="6">
        <v>44958</v>
      </c>
      <c r="D310" s="6" t="str">
        <f t="shared" si="9"/>
        <v>Wednesday</v>
      </c>
      <c r="E310" s="5">
        <v>42</v>
      </c>
      <c r="F310" s="5" t="str">
        <f t="shared" si="8"/>
        <v>Millennials</v>
      </c>
      <c r="G310" s="5" t="s">
        <v>20</v>
      </c>
      <c r="H310" s="5" t="s">
        <v>124</v>
      </c>
      <c r="I310" s="5" t="s">
        <v>54</v>
      </c>
      <c r="J310" s="5">
        <v>394.76</v>
      </c>
      <c r="K310" s="5">
        <v>1</v>
      </c>
      <c r="L310" s="5">
        <v>0</v>
      </c>
      <c r="M310" s="5">
        <v>394.76</v>
      </c>
      <c r="N310" s="5" t="s">
        <v>23</v>
      </c>
      <c r="O310" s="5" t="s">
        <v>24</v>
      </c>
      <c r="P310" s="5">
        <v>21</v>
      </c>
      <c r="Q310" s="5">
        <v>13</v>
      </c>
      <c r="R310" s="5" t="b">
        <v>1</v>
      </c>
      <c r="S310" s="5">
        <v>3</v>
      </c>
      <c r="T310" s="5">
        <v>5</v>
      </c>
    </row>
    <row r="311" spans="1:20">
      <c r="A311" s="5" t="s">
        <v>665</v>
      </c>
      <c r="B311" s="5" t="s">
        <v>666</v>
      </c>
      <c r="C311" s="6">
        <v>44958</v>
      </c>
      <c r="D311" s="6" t="str">
        <f t="shared" si="9"/>
        <v>Wednesday</v>
      </c>
      <c r="E311" s="5">
        <v>41</v>
      </c>
      <c r="F311" s="5" t="str">
        <f t="shared" si="8"/>
        <v>Millennials</v>
      </c>
      <c r="G311" s="5" t="s">
        <v>20</v>
      </c>
      <c r="H311" s="5" t="s">
        <v>83</v>
      </c>
      <c r="I311" s="5" t="s">
        <v>40</v>
      </c>
      <c r="J311" s="5">
        <v>367.76</v>
      </c>
      <c r="K311" s="5">
        <v>2</v>
      </c>
      <c r="L311" s="5">
        <v>0</v>
      </c>
      <c r="M311" s="5">
        <v>735.52</v>
      </c>
      <c r="N311" s="5" t="s">
        <v>29</v>
      </c>
      <c r="O311" s="5" t="s">
        <v>55</v>
      </c>
      <c r="P311" s="5">
        <v>3</v>
      </c>
      <c r="Q311" s="5">
        <v>7</v>
      </c>
      <c r="R311" s="5" t="b">
        <v>1</v>
      </c>
      <c r="S311" s="5">
        <v>8</v>
      </c>
      <c r="T311" s="5">
        <v>3</v>
      </c>
    </row>
    <row r="312" spans="1:20">
      <c r="A312" s="5" t="s">
        <v>667</v>
      </c>
      <c r="B312" s="5" t="s">
        <v>668</v>
      </c>
      <c r="C312" s="6">
        <v>44958</v>
      </c>
      <c r="D312" s="6" t="str">
        <f t="shared" si="9"/>
        <v>Wednesday</v>
      </c>
      <c r="E312" s="5">
        <v>18</v>
      </c>
      <c r="F312" s="5" t="str">
        <f t="shared" si="8"/>
        <v>Gen Z</v>
      </c>
      <c r="G312" s="5" t="s">
        <v>20</v>
      </c>
      <c r="H312" s="5" t="s">
        <v>28</v>
      </c>
      <c r="I312" s="5" t="s">
        <v>67</v>
      </c>
      <c r="J312" s="5">
        <v>278.52999999999997</v>
      </c>
      <c r="K312" s="5">
        <v>4</v>
      </c>
      <c r="L312" s="5">
        <v>0</v>
      </c>
      <c r="M312" s="5">
        <v>1114.1199999999999</v>
      </c>
      <c r="N312" s="5" t="s">
        <v>29</v>
      </c>
      <c r="O312" s="5" t="s">
        <v>24</v>
      </c>
      <c r="P312" s="5">
        <v>7</v>
      </c>
      <c r="Q312" s="5">
        <v>7</v>
      </c>
      <c r="R312" s="5" t="b">
        <v>0</v>
      </c>
      <c r="S312" s="5">
        <v>2</v>
      </c>
      <c r="T312" s="5">
        <v>5</v>
      </c>
    </row>
    <row r="313" spans="1:20">
      <c r="A313" s="5" t="s">
        <v>669</v>
      </c>
      <c r="B313" s="5" t="s">
        <v>670</v>
      </c>
      <c r="C313" s="6">
        <v>44958</v>
      </c>
      <c r="D313" s="6" t="str">
        <f t="shared" si="9"/>
        <v>Wednesday</v>
      </c>
      <c r="E313" s="5">
        <v>41</v>
      </c>
      <c r="F313" s="5" t="str">
        <f t="shared" si="8"/>
        <v>Millennials</v>
      </c>
      <c r="G313" s="5" t="s">
        <v>27</v>
      </c>
      <c r="H313" s="5" t="s">
        <v>32</v>
      </c>
      <c r="I313" s="5" t="s">
        <v>40</v>
      </c>
      <c r="J313" s="5">
        <v>249.14</v>
      </c>
      <c r="K313" s="5">
        <v>5</v>
      </c>
      <c r="L313" s="5">
        <v>51.02</v>
      </c>
      <c r="M313" s="5">
        <v>1194.68</v>
      </c>
      <c r="N313" s="5" t="s">
        <v>29</v>
      </c>
      <c r="O313" s="5" t="s">
        <v>24</v>
      </c>
      <c r="P313" s="5">
        <v>12</v>
      </c>
      <c r="Q313" s="5">
        <v>6</v>
      </c>
      <c r="R313" s="5" t="b">
        <v>0</v>
      </c>
      <c r="S313" s="5">
        <v>9</v>
      </c>
      <c r="T313" s="5">
        <v>4</v>
      </c>
    </row>
    <row r="314" spans="1:20">
      <c r="A314" s="5" t="s">
        <v>671</v>
      </c>
      <c r="B314" s="5" t="s">
        <v>672</v>
      </c>
      <c r="C314" s="6">
        <v>44959</v>
      </c>
      <c r="D314" s="6" t="str">
        <f t="shared" si="9"/>
        <v>Thursday</v>
      </c>
      <c r="E314" s="5">
        <v>59</v>
      </c>
      <c r="F314" s="5" t="str">
        <f t="shared" si="8"/>
        <v>Gen X/Boomers</v>
      </c>
      <c r="G314" s="5" t="s">
        <v>27</v>
      </c>
      <c r="H314" s="5" t="s">
        <v>83</v>
      </c>
      <c r="I314" s="5" t="s">
        <v>45</v>
      </c>
      <c r="J314" s="5">
        <v>64.72</v>
      </c>
      <c r="K314" s="5">
        <v>1</v>
      </c>
      <c r="L314" s="5">
        <v>0</v>
      </c>
      <c r="M314" s="5">
        <v>64.72</v>
      </c>
      <c r="N314" s="5" t="s">
        <v>23</v>
      </c>
      <c r="O314" s="5" t="s">
        <v>55</v>
      </c>
      <c r="P314" s="5">
        <v>7</v>
      </c>
      <c r="Q314" s="5">
        <v>8</v>
      </c>
      <c r="R314" s="5" t="b">
        <v>1</v>
      </c>
      <c r="S314" s="5">
        <v>8</v>
      </c>
      <c r="T314" s="5">
        <v>5</v>
      </c>
    </row>
    <row r="315" spans="1:20">
      <c r="A315" s="5" t="s">
        <v>673</v>
      </c>
      <c r="B315" s="5" t="s">
        <v>674</v>
      </c>
      <c r="C315" s="6">
        <v>44959</v>
      </c>
      <c r="D315" s="6" t="str">
        <f t="shared" si="9"/>
        <v>Thursday</v>
      </c>
      <c r="E315" s="5">
        <v>44</v>
      </c>
      <c r="F315" s="5" t="str">
        <f t="shared" si="8"/>
        <v>Millennials</v>
      </c>
      <c r="G315" s="5" t="s">
        <v>27</v>
      </c>
      <c r="H315" s="5" t="s">
        <v>36</v>
      </c>
      <c r="I315" s="5" t="s">
        <v>45</v>
      </c>
      <c r="J315" s="5">
        <v>132.63</v>
      </c>
      <c r="K315" s="5">
        <v>1</v>
      </c>
      <c r="L315" s="5">
        <v>15.04</v>
      </c>
      <c r="M315" s="5">
        <v>117.59</v>
      </c>
      <c r="N315" s="5" t="s">
        <v>29</v>
      </c>
      <c r="O315" s="5" t="s">
        <v>42</v>
      </c>
      <c r="P315" s="5">
        <v>13</v>
      </c>
      <c r="Q315" s="5">
        <v>11</v>
      </c>
      <c r="R315" s="5" t="b">
        <v>0</v>
      </c>
      <c r="S315" s="5">
        <v>10</v>
      </c>
      <c r="T315" s="5">
        <v>5</v>
      </c>
    </row>
    <row r="316" spans="1:20">
      <c r="A316" s="5" t="s">
        <v>675</v>
      </c>
      <c r="B316" s="5" t="s">
        <v>676</v>
      </c>
      <c r="C316" s="6">
        <v>44959</v>
      </c>
      <c r="D316" s="6" t="str">
        <f t="shared" si="9"/>
        <v>Thursday</v>
      </c>
      <c r="E316" s="5">
        <v>30</v>
      </c>
      <c r="F316" s="5" t="str">
        <f t="shared" si="8"/>
        <v>Millennials</v>
      </c>
      <c r="G316" s="5" t="s">
        <v>20</v>
      </c>
      <c r="H316" s="5" t="s">
        <v>36</v>
      </c>
      <c r="I316" s="5" t="s">
        <v>70</v>
      </c>
      <c r="J316" s="5">
        <v>49.54</v>
      </c>
      <c r="K316" s="5">
        <v>1</v>
      </c>
      <c r="L316" s="5">
        <v>0</v>
      </c>
      <c r="M316" s="5">
        <v>49.54</v>
      </c>
      <c r="N316" s="5" t="s">
        <v>49</v>
      </c>
      <c r="O316" s="5" t="s">
        <v>42</v>
      </c>
      <c r="P316" s="5">
        <v>14</v>
      </c>
      <c r="Q316" s="5">
        <v>11</v>
      </c>
      <c r="R316" s="5" t="b">
        <v>1</v>
      </c>
      <c r="S316" s="5">
        <v>5</v>
      </c>
      <c r="T316" s="5">
        <v>5</v>
      </c>
    </row>
    <row r="317" spans="1:20">
      <c r="A317" s="5" t="s">
        <v>677</v>
      </c>
      <c r="B317" s="5" t="s">
        <v>678</v>
      </c>
      <c r="C317" s="6">
        <v>44959</v>
      </c>
      <c r="D317" s="6" t="str">
        <f t="shared" si="9"/>
        <v>Thursday</v>
      </c>
      <c r="E317" s="5">
        <v>34</v>
      </c>
      <c r="F317" s="5" t="str">
        <f t="shared" si="8"/>
        <v>Millennials</v>
      </c>
      <c r="G317" s="5" t="s">
        <v>20</v>
      </c>
      <c r="H317" s="5" t="s">
        <v>32</v>
      </c>
      <c r="I317" s="5" t="s">
        <v>37</v>
      </c>
      <c r="J317" s="5">
        <v>1563.53</v>
      </c>
      <c r="K317" s="5">
        <v>3</v>
      </c>
      <c r="L317" s="5">
        <v>0</v>
      </c>
      <c r="M317" s="5">
        <v>4690.59</v>
      </c>
      <c r="N317" s="5" t="s">
        <v>41</v>
      </c>
      <c r="O317" s="5" t="s">
        <v>42</v>
      </c>
      <c r="P317" s="5">
        <v>5</v>
      </c>
      <c r="Q317" s="5">
        <v>8</v>
      </c>
      <c r="R317" s="5" t="b">
        <v>1</v>
      </c>
      <c r="S317" s="5">
        <v>7</v>
      </c>
      <c r="T317" s="5">
        <v>4</v>
      </c>
    </row>
    <row r="318" spans="1:20">
      <c r="A318" s="5" t="s">
        <v>679</v>
      </c>
      <c r="B318" s="5" t="s">
        <v>680</v>
      </c>
      <c r="C318" s="6">
        <v>44959</v>
      </c>
      <c r="D318" s="6" t="str">
        <f t="shared" si="9"/>
        <v>Thursday</v>
      </c>
      <c r="E318" s="5">
        <v>34</v>
      </c>
      <c r="F318" s="5" t="str">
        <f t="shared" si="8"/>
        <v>Millennials</v>
      </c>
      <c r="G318" s="5" t="s">
        <v>20</v>
      </c>
      <c r="H318" s="5" t="s">
        <v>36</v>
      </c>
      <c r="I318" s="5" t="s">
        <v>67</v>
      </c>
      <c r="J318" s="5">
        <v>1613.69</v>
      </c>
      <c r="K318" s="5">
        <v>4</v>
      </c>
      <c r="L318" s="5">
        <v>0</v>
      </c>
      <c r="M318" s="5">
        <v>6454.76</v>
      </c>
      <c r="N318" s="5" t="s">
        <v>29</v>
      </c>
      <c r="O318" s="5" t="s">
        <v>42</v>
      </c>
      <c r="P318" s="5">
        <v>9</v>
      </c>
      <c r="Q318" s="5">
        <v>8</v>
      </c>
      <c r="R318" s="5" t="b">
        <v>0</v>
      </c>
      <c r="S318" s="5">
        <v>7</v>
      </c>
      <c r="T318" s="5">
        <v>4</v>
      </c>
    </row>
    <row r="319" spans="1:20">
      <c r="A319" s="5" t="s">
        <v>681</v>
      </c>
      <c r="B319" s="5" t="s">
        <v>682</v>
      </c>
      <c r="C319" s="6">
        <v>44959</v>
      </c>
      <c r="D319" s="6" t="str">
        <f t="shared" si="9"/>
        <v>Thursday</v>
      </c>
      <c r="E319" s="5">
        <v>42</v>
      </c>
      <c r="F319" s="5" t="str">
        <f t="shared" si="8"/>
        <v>Millennials</v>
      </c>
      <c r="G319" s="5" t="s">
        <v>20</v>
      </c>
      <c r="H319" s="5" t="s">
        <v>124</v>
      </c>
      <c r="I319" s="5" t="s">
        <v>54</v>
      </c>
      <c r="J319" s="5">
        <v>167.43</v>
      </c>
      <c r="K319" s="5">
        <v>1</v>
      </c>
      <c r="L319" s="5">
        <v>0</v>
      </c>
      <c r="M319" s="5">
        <v>167.43</v>
      </c>
      <c r="N319" s="5" t="s">
        <v>29</v>
      </c>
      <c r="O319" s="5" t="s">
        <v>42</v>
      </c>
      <c r="P319" s="5">
        <v>18</v>
      </c>
      <c r="Q319" s="5">
        <v>7</v>
      </c>
      <c r="R319" s="5" t="b">
        <v>0</v>
      </c>
      <c r="S319" s="5">
        <v>11</v>
      </c>
      <c r="T319" s="5">
        <v>4</v>
      </c>
    </row>
    <row r="320" spans="1:20">
      <c r="A320" s="5" t="s">
        <v>683</v>
      </c>
      <c r="B320" s="5" t="s">
        <v>684</v>
      </c>
      <c r="C320" s="6">
        <v>44959</v>
      </c>
      <c r="D320" s="6" t="str">
        <f t="shared" si="9"/>
        <v>Thursday</v>
      </c>
      <c r="E320" s="5">
        <v>34</v>
      </c>
      <c r="F320" s="5" t="str">
        <f t="shared" si="8"/>
        <v>Millennials</v>
      </c>
      <c r="G320" s="5" t="s">
        <v>20</v>
      </c>
      <c r="H320" s="5" t="s">
        <v>48</v>
      </c>
      <c r="I320" s="5" t="s">
        <v>67</v>
      </c>
      <c r="J320" s="5">
        <v>580</v>
      </c>
      <c r="K320" s="5">
        <v>1</v>
      </c>
      <c r="L320" s="5">
        <v>0</v>
      </c>
      <c r="M320" s="5">
        <v>580</v>
      </c>
      <c r="N320" s="5" t="s">
        <v>41</v>
      </c>
      <c r="O320" s="5" t="s">
        <v>24</v>
      </c>
      <c r="P320" s="5">
        <v>8</v>
      </c>
      <c r="Q320" s="5">
        <v>8</v>
      </c>
      <c r="R320" s="5" t="b">
        <v>0</v>
      </c>
      <c r="S320" s="5">
        <v>3</v>
      </c>
      <c r="T320" s="5">
        <v>5</v>
      </c>
    </row>
    <row r="321" spans="1:20">
      <c r="A321" s="5" t="s">
        <v>685</v>
      </c>
      <c r="B321" s="5" t="s">
        <v>686</v>
      </c>
      <c r="C321" s="6">
        <v>44959</v>
      </c>
      <c r="D321" s="6" t="str">
        <f t="shared" si="9"/>
        <v>Thursday</v>
      </c>
      <c r="E321" s="5">
        <v>39</v>
      </c>
      <c r="F321" s="5" t="str">
        <f t="shared" si="8"/>
        <v>Millennials</v>
      </c>
      <c r="G321" s="5" t="s">
        <v>27</v>
      </c>
      <c r="H321" s="5" t="s">
        <v>36</v>
      </c>
      <c r="I321" s="5" t="s">
        <v>33</v>
      </c>
      <c r="J321" s="5">
        <v>102.74</v>
      </c>
      <c r="K321" s="5">
        <v>3</v>
      </c>
      <c r="L321" s="5">
        <v>0</v>
      </c>
      <c r="M321" s="5">
        <v>308.22000000000003</v>
      </c>
      <c r="N321" s="5" t="s">
        <v>49</v>
      </c>
      <c r="O321" s="5" t="s">
        <v>24</v>
      </c>
      <c r="P321" s="5">
        <v>16</v>
      </c>
      <c r="Q321" s="5">
        <v>15</v>
      </c>
      <c r="R321" s="5" t="b">
        <v>0</v>
      </c>
      <c r="S321" s="5">
        <v>6</v>
      </c>
      <c r="T321" s="5">
        <v>1</v>
      </c>
    </row>
    <row r="322" spans="1:20">
      <c r="A322" s="5" t="s">
        <v>687</v>
      </c>
      <c r="B322" s="5" t="s">
        <v>688</v>
      </c>
      <c r="C322" s="6">
        <v>44959</v>
      </c>
      <c r="D322" s="6" t="str">
        <f t="shared" si="9"/>
        <v>Thursday</v>
      </c>
      <c r="E322" s="5">
        <v>34</v>
      </c>
      <c r="F322" s="5" t="str">
        <f t="shared" ref="F322:F385" si="10">IFERROR(IF(E322&lt;25, "Gen Z", IF(E322&lt;45, "Millennials", "Gen X/Boomers")),"Not Valide Age")</f>
        <v>Millennials</v>
      </c>
      <c r="G322" s="5" t="s">
        <v>129</v>
      </c>
      <c r="H322" s="5" t="s">
        <v>21</v>
      </c>
      <c r="I322" s="5" t="s">
        <v>40</v>
      </c>
      <c r="J322" s="5">
        <v>1046.76</v>
      </c>
      <c r="K322" s="5">
        <v>2</v>
      </c>
      <c r="L322" s="5">
        <v>0</v>
      </c>
      <c r="M322" s="5">
        <v>2093.52</v>
      </c>
      <c r="N322" s="5" t="s">
        <v>49</v>
      </c>
      <c r="O322" s="5" t="s">
        <v>55</v>
      </c>
      <c r="P322" s="5">
        <v>5</v>
      </c>
      <c r="Q322" s="5">
        <v>7</v>
      </c>
      <c r="R322" s="5" t="b">
        <v>1</v>
      </c>
      <c r="S322" s="5">
        <v>5</v>
      </c>
      <c r="T322" s="5">
        <v>4</v>
      </c>
    </row>
    <row r="323" spans="1:20">
      <c r="A323" s="5" t="s">
        <v>689</v>
      </c>
      <c r="B323" s="5" t="s">
        <v>690</v>
      </c>
      <c r="C323" s="6">
        <v>44959</v>
      </c>
      <c r="D323" s="6" t="str">
        <f t="shared" ref="D323:D386" si="11">TEXT(C323, "dddd")</f>
        <v>Thursday</v>
      </c>
      <c r="E323" s="5">
        <v>33</v>
      </c>
      <c r="F323" s="5" t="str">
        <f t="shared" si="10"/>
        <v>Millennials</v>
      </c>
      <c r="G323" s="5" t="s">
        <v>27</v>
      </c>
      <c r="H323" s="5" t="s">
        <v>48</v>
      </c>
      <c r="I323" s="5" t="s">
        <v>70</v>
      </c>
      <c r="J323" s="5">
        <v>31.44</v>
      </c>
      <c r="K323" s="5">
        <v>1</v>
      </c>
      <c r="L323" s="5">
        <v>0</v>
      </c>
      <c r="M323" s="5">
        <v>31.44</v>
      </c>
      <c r="N323" s="5" t="s">
        <v>49</v>
      </c>
      <c r="O323" s="5" t="s">
        <v>24</v>
      </c>
      <c r="P323" s="5">
        <v>10</v>
      </c>
      <c r="Q323" s="5">
        <v>6</v>
      </c>
      <c r="R323" s="5" t="b">
        <v>1</v>
      </c>
      <c r="S323" s="5">
        <v>7</v>
      </c>
      <c r="T323" s="5">
        <v>3</v>
      </c>
    </row>
    <row r="324" spans="1:20">
      <c r="A324" s="5" t="s">
        <v>691</v>
      </c>
      <c r="B324" s="5" t="s">
        <v>692</v>
      </c>
      <c r="C324" s="6">
        <v>44959</v>
      </c>
      <c r="D324" s="6" t="str">
        <f t="shared" si="11"/>
        <v>Thursday</v>
      </c>
      <c r="E324" s="5">
        <v>44</v>
      </c>
      <c r="F324" s="5" t="str">
        <f t="shared" si="10"/>
        <v>Millennials</v>
      </c>
      <c r="G324" s="5" t="s">
        <v>27</v>
      </c>
      <c r="H324" s="5" t="s">
        <v>32</v>
      </c>
      <c r="I324" s="5" t="s">
        <v>33</v>
      </c>
      <c r="J324" s="5">
        <v>76.58</v>
      </c>
      <c r="K324" s="5">
        <v>2</v>
      </c>
      <c r="L324" s="5">
        <v>0</v>
      </c>
      <c r="M324" s="5">
        <v>153.16</v>
      </c>
      <c r="N324" s="5" t="s">
        <v>99</v>
      </c>
      <c r="O324" s="5" t="s">
        <v>42</v>
      </c>
      <c r="P324" s="5">
        <v>19</v>
      </c>
      <c r="Q324" s="5">
        <v>12</v>
      </c>
      <c r="R324" s="5" t="b">
        <v>1</v>
      </c>
      <c r="S324" s="5">
        <v>7</v>
      </c>
      <c r="T324" s="5">
        <v>2</v>
      </c>
    </row>
    <row r="325" spans="1:20">
      <c r="A325" s="5" t="s">
        <v>693</v>
      </c>
      <c r="B325" s="5" t="s">
        <v>694</v>
      </c>
      <c r="C325" s="6">
        <v>44959</v>
      </c>
      <c r="D325" s="6" t="str">
        <f t="shared" si="11"/>
        <v>Thursday</v>
      </c>
      <c r="E325" s="5">
        <v>37</v>
      </c>
      <c r="F325" s="5" t="str">
        <f t="shared" si="10"/>
        <v>Millennials</v>
      </c>
      <c r="G325" s="5" t="s">
        <v>27</v>
      </c>
      <c r="H325" s="5" t="s">
        <v>36</v>
      </c>
      <c r="I325" s="5" t="s">
        <v>54</v>
      </c>
      <c r="J325" s="5">
        <v>114.14</v>
      </c>
      <c r="K325" s="5">
        <v>2</v>
      </c>
      <c r="L325" s="5">
        <v>0</v>
      </c>
      <c r="M325" s="5">
        <v>228.28</v>
      </c>
      <c r="N325" s="5" t="s">
        <v>99</v>
      </c>
      <c r="O325" s="5" t="s">
        <v>24</v>
      </c>
      <c r="P325" s="5">
        <v>5</v>
      </c>
      <c r="Q325" s="5">
        <v>10</v>
      </c>
      <c r="R325" s="5" t="b">
        <v>1</v>
      </c>
      <c r="S325" s="5">
        <v>9</v>
      </c>
      <c r="T325" s="5">
        <v>5</v>
      </c>
    </row>
    <row r="326" spans="1:20">
      <c r="A326" s="5" t="s">
        <v>695</v>
      </c>
      <c r="B326" s="5" t="s">
        <v>696</v>
      </c>
      <c r="C326" s="6">
        <v>44960</v>
      </c>
      <c r="D326" s="6" t="str">
        <f t="shared" si="11"/>
        <v>Friday</v>
      </c>
      <c r="E326" s="5">
        <v>28</v>
      </c>
      <c r="F326" s="5" t="str">
        <f t="shared" si="10"/>
        <v>Millennials</v>
      </c>
      <c r="G326" s="5" t="s">
        <v>20</v>
      </c>
      <c r="H326" s="5" t="s">
        <v>36</v>
      </c>
      <c r="I326" s="5" t="s">
        <v>70</v>
      </c>
      <c r="J326" s="5">
        <v>76.709999999999994</v>
      </c>
      <c r="K326" s="5">
        <v>5</v>
      </c>
      <c r="L326" s="5">
        <v>0</v>
      </c>
      <c r="M326" s="5">
        <v>383.55</v>
      </c>
      <c r="N326" s="5" t="s">
        <v>29</v>
      </c>
      <c r="O326" s="5" t="s">
        <v>24</v>
      </c>
      <c r="P326" s="5">
        <v>14</v>
      </c>
      <c r="Q326" s="5">
        <v>8</v>
      </c>
      <c r="R326" s="5" t="b">
        <v>1</v>
      </c>
      <c r="S326" s="5">
        <v>10</v>
      </c>
      <c r="T326" s="5">
        <v>5</v>
      </c>
    </row>
    <row r="327" spans="1:20">
      <c r="A327" s="5" t="s">
        <v>697</v>
      </c>
      <c r="B327" s="5" t="s">
        <v>698</v>
      </c>
      <c r="C327" s="6">
        <v>44960</v>
      </c>
      <c r="D327" s="6" t="str">
        <f t="shared" si="11"/>
        <v>Friday</v>
      </c>
      <c r="E327" s="5">
        <v>51</v>
      </c>
      <c r="F327" s="5" t="str">
        <f t="shared" si="10"/>
        <v>Gen X/Boomers</v>
      </c>
      <c r="G327" s="5" t="s">
        <v>20</v>
      </c>
      <c r="H327" s="5" t="s">
        <v>36</v>
      </c>
      <c r="I327" s="5" t="s">
        <v>54</v>
      </c>
      <c r="J327" s="5">
        <v>179.02</v>
      </c>
      <c r="K327" s="5">
        <v>4</v>
      </c>
      <c r="L327" s="5">
        <v>0</v>
      </c>
      <c r="M327" s="5">
        <v>716.08</v>
      </c>
      <c r="N327" s="5" t="s">
        <v>23</v>
      </c>
      <c r="O327" s="5" t="s">
        <v>24</v>
      </c>
      <c r="P327" s="5">
        <v>30</v>
      </c>
      <c r="Q327" s="5">
        <v>10</v>
      </c>
      <c r="R327" s="5" t="b">
        <v>1</v>
      </c>
      <c r="S327" s="5">
        <v>3</v>
      </c>
      <c r="T327" s="5">
        <v>2</v>
      </c>
    </row>
    <row r="328" spans="1:20">
      <c r="A328" s="5" t="s">
        <v>699</v>
      </c>
      <c r="B328" s="5" t="s">
        <v>700</v>
      </c>
      <c r="C328" s="6">
        <v>44960</v>
      </c>
      <c r="D328" s="6" t="str">
        <f t="shared" si="11"/>
        <v>Friday</v>
      </c>
      <c r="E328" s="5">
        <v>29</v>
      </c>
      <c r="F328" s="5" t="str">
        <f t="shared" si="10"/>
        <v>Millennials</v>
      </c>
      <c r="G328" s="5" t="s">
        <v>27</v>
      </c>
      <c r="H328" s="5" t="s">
        <v>83</v>
      </c>
      <c r="I328" s="5" t="s">
        <v>33</v>
      </c>
      <c r="J328" s="5">
        <v>51.69</v>
      </c>
      <c r="K328" s="5">
        <v>3</v>
      </c>
      <c r="L328" s="5">
        <v>2.68</v>
      </c>
      <c r="M328" s="5">
        <v>152.38999999999999</v>
      </c>
      <c r="N328" s="5" t="s">
        <v>99</v>
      </c>
      <c r="O328" s="5" t="s">
        <v>42</v>
      </c>
      <c r="P328" s="5">
        <v>13</v>
      </c>
      <c r="Q328" s="5">
        <v>9</v>
      </c>
      <c r="R328" s="5" t="b">
        <v>1</v>
      </c>
      <c r="S328" s="5">
        <v>3</v>
      </c>
      <c r="T328" s="5">
        <v>5</v>
      </c>
    </row>
    <row r="329" spans="1:20">
      <c r="A329" s="5" t="s">
        <v>701</v>
      </c>
      <c r="B329" s="5" t="s">
        <v>702</v>
      </c>
      <c r="C329" s="6">
        <v>44960</v>
      </c>
      <c r="D329" s="6" t="str">
        <f t="shared" si="11"/>
        <v>Friday</v>
      </c>
      <c r="E329" s="5">
        <v>62</v>
      </c>
      <c r="F329" s="5" t="str">
        <f t="shared" si="10"/>
        <v>Gen X/Boomers</v>
      </c>
      <c r="G329" s="5" t="s">
        <v>20</v>
      </c>
      <c r="H329" s="5" t="s">
        <v>36</v>
      </c>
      <c r="I329" s="5" t="s">
        <v>54</v>
      </c>
      <c r="J329" s="5">
        <v>692.89</v>
      </c>
      <c r="K329" s="5">
        <v>1</v>
      </c>
      <c r="L329" s="5">
        <v>0</v>
      </c>
      <c r="M329" s="5">
        <v>692.89</v>
      </c>
      <c r="N329" s="5" t="s">
        <v>99</v>
      </c>
      <c r="O329" s="5" t="s">
        <v>24</v>
      </c>
      <c r="P329" s="5">
        <v>36</v>
      </c>
      <c r="Q329" s="5">
        <v>8</v>
      </c>
      <c r="R329" s="5" t="b">
        <v>1</v>
      </c>
      <c r="S329" s="5">
        <v>5</v>
      </c>
      <c r="T329" s="5">
        <v>4</v>
      </c>
    </row>
    <row r="330" spans="1:20">
      <c r="A330" s="5" t="s">
        <v>703</v>
      </c>
      <c r="B330" s="5" t="s">
        <v>704</v>
      </c>
      <c r="C330" s="6">
        <v>44960</v>
      </c>
      <c r="D330" s="6" t="str">
        <f t="shared" si="11"/>
        <v>Friday</v>
      </c>
      <c r="E330" s="5">
        <v>63</v>
      </c>
      <c r="F330" s="5" t="str">
        <f t="shared" si="10"/>
        <v>Gen X/Boomers</v>
      </c>
      <c r="G330" s="5" t="s">
        <v>20</v>
      </c>
      <c r="H330" s="5" t="s">
        <v>83</v>
      </c>
      <c r="I330" s="5" t="s">
        <v>45</v>
      </c>
      <c r="J330" s="5">
        <v>124.94</v>
      </c>
      <c r="K330" s="5">
        <v>2</v>
      </c>
      <c r="L330" s="5">
        <v>26.52</v>
      </c>
      <c r="M330" s="5">
        <v>223.36</v>
      </c>
      <c r="N330" s="5" t="s">
        <v>49</v>
      </c>
      <c r="O330" s="5" t="s">
        <v>24</v>
      </c>
      <c r="P330" s="5">
        <v>25</v>
      </c>
      <c r="Q330" s="5">
        <v>10</v>
      </c>
      <c r="R330" s="5" t="b">
        <v>1</v>
      </c>
      <c r="S330" s="5">
        <v>5</v>
      </c>
      <c r="T330" s="5">
        <v>5</v>
      </c>
    </row>
    <row r="331" spans="1:20">
      <c r="A331" s="5" t="s">
        <v>705</v>
      </c>
      <c r="B331" s="5" t="s">
        <v>706</v>
      </c>
      <c r="C331" s="6">
        <v>44960</v>
      </c>
      <c r="D331" s="6" t="str">
        <f t="shared" si="11"/>
        <v>Friday</v>
      </c>
      <c r="E331" s="5">
        <v>32</v>
      </c>
      <c r="F331" s="5" t="str">
        <f t="shared" si="10"/>
        <v>Millennials</v>
      </c>
      <c r="G331" s="5" t="s">
        <v>27</v>
      </c>
      <c r="H331" s="5" t="s">
        <v>32</v>
      </c>
      <c r="I331" s="5" t="s">
        <v>33</v>
      </c>
      <c r="J331" s="5">
        <v>54.08</v>
      </c>
      <c r="K331" s="5">
        <v>5</v>
      </c>
      <c r="L331" s="5">
        <v>0</v>
      </c>
      <c r="M331" s="5">
        <v>270.39999999999998</v>
      </c>
      <c r="N331" s="5" t="s">
        <v>29</v>
      </c>
      <c r="O331" s="5" t="s">
        <v>55</v>
      </c>
      <c r="P331" s="5">
        <v>22</v>
      </c>
      <c r="Q331" s="5">
        <v>10</v>
      </c>
      <c r="R331" s="5" t="b">
        <v>1</v>
      </c>
      <c r="S331" s="5">
        <v>11</v>
      </c>
      <c r="T331" s="5">
        <v>1</v>
      </c>
    </row>
    <row r="332" spans="1:20">
      <c r="A332" s="5" t="s">
        <v>707</v>
      </c>
      <c r="B332" s="5" t="s">
        <v>708</v>
      </c>
      <c r="C332" s="6">
        <v>44960</v>
      </c>
      <c r="D332" s="6" t="str">
        <f t="shared" si="11"/>
        <v>Friday</v>
      </c>
      <c r="E332" s="5">
        <v>18</v>
      </c>
      <c r="F332" s="5" t="str">
        <f t="shared" si="10"/>
        <v>Gen Z</v>
      </c>
      <c r="G332" s="5" t="s">
        <v>20</v>
      </c>
      <c r="H332" s="5" t="s">
        <v>36</v>
      </c>
      <c r="I332" s="5" t="s">
        <v>40</v>
      </c>
      <c r="J332" s="5">
        <v>117.22</v>
      </c>
      <c r="K332" s="5">
        <v>2</v>
      </c>
      <c r="L332" s="5">
        <v>0</v>
      </c>
      <c r="M332" s="5">
        <v>234.44</v>
      </c>
      <c r="N332" s="5" t="s">
        <v>23</v>
      </c>
      <c r="O332" s="5" t="s">
        <v>55</v>
      </c>
      <c r="P332" s="5">
        <v>17</v>
      </c>
      <c r="Q332" s="5">
        <v>8</v>
      </c>
      <c r="R332" s="5" t="b">
        <v>0</v>
      </c>
      <c r="S332" s="5">
        <v>3</v>
      </c>
      <c r="T332" s="5">
        <v>4</v>
      </c>
    </row>
    <row r="333" spans="1:20">
      <c r="A333" s="5" t="s">
        <v>709</v>
      </c>
      <c r="B333" s="5" t="s">
        <v>710</v>
      </c>
      <c r="C333" s="6">
        <v>44961</v>
      </c>
      <c r="D333" s="6" t="str">
        <f t="shared" si="11"/>
        <v>Saturday</v>
      </c>
      <c r="E333" s="5">
        <v>28</v>
      </c>
      <c r="F333" s="5" t="str">
        <f t="shared" si="10"/>
        <v>Millennials</v>
      </c>
      <c r="G333" s="5" t="s">
        <v>20</v>
      </c>
      <c r="H333" s="5" t="s">
        <v>124</v>
      </c>
      <c r="I333" s="5" t="s">
        <v>37</v>
      </c>
      <c r="J333" s="5">
        <v>3602.91</v>
      </c>
      <c r="K333" s="5">
        <v>5</v>
      </c>
      <c r="L333" s="5">
        <v>0</v>
      </c>
      <c r="M333" s="5">
        <v>18014.55</v>
      </c>
      <c r="N333" s="5" t="s">
        <v>29</v>
      </c>
      <c r="O333" s="5" t="s">
        <v>42</v>
      </c>
      <c r="P333" s="5">
        <v>16</v>
      </c>
      <c r="Q333" s="5">
        <v>13</v>
      </c>
      <c r="R333" s="5" t="b">
        <v>1</v>
      </c>
      <c r="S333" s="5">
        <v>4</v>
      </c>
      <c r="T333" s="5">
        <v>5</v>
      </c>
    </row>
    <row r="334" spans="1:20">
      <c r="A334" s="5" t="s">
        <v>711</v>
      </c>
      <c r="B334" s="5" t="s">
        <v>712</v>
      </c>
      <c r="C334" s="6">
        <v>44961</v>
      </c>
      <c r="D334" s="6" t="str">
        <f t="shared" si="11"/>
        <v>Saturday</v>
      </c>
      <c r="E334" s="5">
        <v>44</v>
      </c>
      <c r="F334" s="5" t="str">
        <f t="shared" si="10"/>
        <v>Millennials</v>
      </c>
      <c r="G334" s="5" t="s">
        <v>20</v>
      </c>
      <c r="H334" s="5" t="s">
        <v>36</v>
      </c>
      <c r="I334" s="5" t="s">
        <v>22</v>
      </c>
      <c r="J334" s="5">
        <v>341.09</v>
      </c>
      <c r="K334" s="5">
        <v>2</v>
      </c>
      <c r="L334" s="5">
        <v>0</v>
      </c>
      <c r="M334" s="5">
        <v>682.18</v>
      </c>
      <c r="N334" s="5" t="s">
        <v>23</v>
      </c>
      <c r="O334" s="5" t="s">
        <v>42</v>
      </c>
      <c r="P334" s="5">
        <v>15</v>
      </c>
      <c r="Q334" s="5">
        <v>11</v>
      </c>
      <c r="R334" s="5" t="b">
        <v>0</v>
      </c>
      <c r="S334" s="5">
        <v>7</v>
      </c>
      <c r="T334" s="5">
        <v>1</v>
      </c>
    </row>
    <row r="335" spans="1:20">
      <c r="A335" s="5" t="s">
        <v>713</v>
      </c>
      <c r="B335" s="5" t="s">
        <v>714</v>
      </c>
      <c r="C335" s="6">
        <v>44961</v>
      </c>
      <c r="D335" s="6" t="str">
        <f t="shared" si="11"/>
        <v>Saturday</v>
      </c>
      <c r="E335" s="5">
        <v>38</v>
      </c>
      <c r="F335" s="5" t="str">
        <f t="shared" si="10"/>
        <v>Millennials</v>
      </c>
      <c r="G335" s="5" t="s">
        <v>27</v>
      </c>
      <c r="H335" s="5" t="s">
        <v>21</v>
      </c>
      <c r="I335" s="5" t="s">
        <v>45</v>
      </c>
      <c r="J335" s="5">
        <v>135.88</v>
      </c>
      <c r="K335" s="5">
        <v>4</v>
      </c>
      <c r="L335" s="5">
        <v>16.14</v>
      </c>
      <c r="M335" s="5">
        <v>527.38</v>
      </c>
      <c r="N335" s="5" t="s">
        <v>29</v>
      </c>
      <c r="O335" s="5" t="s">
        <v>42</v>
      </c>
      <c r="P335" s="5">
        <v>13</v>
      </c>
      <c r="Q335" s="5">
        <v>15</v>
      </c>
      <c r="R335" s="5" t="b">
        <v>0</v>
      </c>
      <c r="S335" s="5">
        <v>7</v>
      </c>
      <c r="T335" s="5">
        <v>4</v>
      </c>
    </row>
    <row r="336" spans="1:20">
      <c r="A336" s="5" t="s">
        <v>715</v>
      </c>
      <c r="B336" s="5" t="s">
        <v>716</v>
      </c>
      <c r="C336" s="6">
        <v>44961</v>
      </c>
      <c r="D336" s="6" t="str">
        <f t="shared" si="11"/>
        <v>Saturday</v>
      </c>
      <c r="E336" s="5">
        <v>40</v>
      </c>
      <c r="F336" s="5" t="str">
        <f t="shared" si="10"/>
        <v>Millennials</v>
      </c>
      <c r="G336" s="5" t="s">
        <v>20</v>
      </c>
      <c r="H336" s="5" t="s">
        <v>36</v>
      </c>
      <c r="I336" s="5" t="s">
        <v>70</v>
      </c>
      <c r="J336" s="5">
        <v>19.37</v>
      </c>
      <c r="K336" s="5">
        <v>1</v>
      </c>
      <c r="L336" s="5">
        <v>0</v>
      </c>
      <c r="M336" s="5">
        <v>19.37</v>
      </c>
      <c r="N336" s="5" t="s">
        <v>49</v>
      </c>
      <c r="O336" s="5" t="s">
        <v>24</v>
      </c>
      <c r="P336" s="5">
        <v>16</v>
      </c>
      <c r="Q336" s="5">
        <v>12</v>
      </c>
      <c r="R336" s="5" t="b">
        <v>1</v>
      </c>
      <c r="S336" s="5">
        <v>2</v>
      </c>
      <c r="T336" s="5">
        <v>4</v>
      </c>
    </row>
    <row r="337" spans="1:20">
      <c r="A337" s="5" t="s">
        <v>717</v>
      </c>
      <c r="B337" s="5" t="s">
        <v>718</v>
      </c>
      <c r="C337" s="6">
        <v>44961</v>
      </c>
      <c r="D337" s="6" t="str">
        <f t="shared" si="11"/>
        <v>Saturday</v>
      </c>
      <c r="E337" s="5">
        <v>46</v>
      </c>
      <c r="F337" s="5" t="str">
        <f t="shared" si="10"/>
        <v>Gen X/Boomers</v>
      </c>
      <c r="G337" s="5" t="s">
        <v>27</v>
      </c>
      <c r="H337" s="5" t="s">
        <v>28</v>
      </c>
      <c r="I337" s="5" t="s">
        <v>37</v>
      </c>
      <c r="J337" s="5">
        <v>2222.5</v>
      </c>
      <c r="K337" s="5">
        <v>4</v>
      </c>
      <c r="L337" s="5">
        <v>0</v>
      </c>
      <c r="M337" s="5">
        <v>8890</v>
      </c>
      <c r="N337" s="5" t="s">
        <v>49</v>
      </c>
      <c r="O337" s="5" t="s">
        <v>42</v>
      </c>
      <c r="P337" s="5">
        <v>4</v>
      </c>
      <c r="Q337" s="5">
        <v>10</v>
      </c>
      <c r="R337" s="5" t="b">
        <v>1</v>
      </c>
      <c r="S337" s="5">
        <v>6</v>
      </c>
      <c r="T337" s="5">
        <v>5</v>
      </c>
    </row>
    <row r="338" spans="1:20">
      <c r="A338" s="5" t="s">
        <v>719</v>
      </c>
      <c r="B338" s="5" t="s">
        <v>720</v>
      </c>
      <c r="C338" s="6">
        <v>44961</v>
      </c>
      <c r="D338" s="6" t="str">
        <f t="shared" si="11"/>
        <v>Saturday</v>
      </c>
      <c r="E338" s="5">
        <v>23</v>
      </c>
      <c r="F338" s="5" t="str">
        <f t="shared" si="10"/>
        <v>Gen Z</v>
      </c>
      <c r="G338" s="5" t="s">
        <v>27</v>
      </c>
      <c r="H338" s="5" t="s">
        <v>32</v>
      </c>
      <c r="I338" s="5" t="s">
        <v>45</v>
      </c>
      <c r="J338" s="5">
        <v>109.83</v>
      </c>
      <c r="K338" s="5">
        <v>2</v>
      </c>
      <c r="L338" s="5">
        <v>30.49</v>
      </c>
      <c r="M338" s="5">
        <v>189.17</v>
      </c>
      <c r="N338" s="5" t="s">
        <v>23</v>
      </c>
      <c r="O338" s="5" t="s">
        <v>24</v>
      </c>
      <c r="P338" s="5">
        <v>23</v>
      </c>
      <c r="Q338" s="5">
        <v>5</v>
      </c>
      <c r="R338" s="5" t="b">
        <v>0</v>
      </c>
      <c r="S338" s="5">
        <v>4</v>
      </c>
      <c r="T338" s="5">
        <v>4</v>
      </c>
    </row>
    <row r="339" spans="1:20">
      <c r="A339" s="5" t="s">
        <v>721</v>
      </c>
      <c r="B339" s="5" t="s">
        <v>722</v>
      </c>
      <c r="C339" s="6">
        <v>44961</v>
      </c>
      <c r="D339" s="6" t="str">
        <f t="shared" si="11"/>
        <v>Saturday</v>
      </c>
      <c r="E339" s="5">
        <v>38</v>
      </c>
      <c r="F339" s="5" t="str">
        <f t="shared" si="10"/>
        <v>Millennials</v>
      </c>
      <c r="G339" s="5" t="s">
        <v>20</v>
      </c>
      <c r="H339" s="5" t="s">
        <v>48</v>
      </c>
      <c r="I339" s="5" t="s">
        <v>22</v>
      </c>
      <c r="J339" s="5">
        <v>79.3</v>
      </c>
      <c r="K339" s="5">
        <v>2</v>
      </c>
      <c r="L339" s="5">
        <v>0</v>
      </c>
      <c r="M339" s="5">
        <v>158.6</v>
      </c>
      <c r="N339" s="5" t="s">
        <v>29</v>
      </c>
      <c r="O339" s="5" t="s">
        <v>55</v>
      </c>
      <c r="P339" s="5">
        <v>31</v>
      </c>
      <c r="Q339" s="5">
        <v>7</v>
      </c>
      <c r="R339" s="5" t="b">
        <v>0</v>
      </c>
      <c r="S339" s="5">
        <v>8</v>
      </c>
      <c r="T339" s="5">
        <v>3</v>
      </c>
    </row>
    <row r="340" spans="1:20">
      <c r="A340" s="5" t="s">
        <v>723</v>
      </c>
      <c r="B340" s="5" t="s">
        <v>724</v>
      </c>
      <c r="C340" s="6">
        <v>44961</v>
      </c>
      <c r="D340" s="6" t="str">
        <f t="shared" si="11"/>
        <v>Saturday</v>
      </c>
      <c r="E340" s="5">
        <v>18</v>
      </c>
      <c r="F340" s="5" t="str">
        <f t="shared" si="10"/>
        <v>Gen Z</v>
      </c>
      <c r="G340" s="5" t="s">
        <v>20</v>
      </c>
      <c r="H340" s="5" t="s">
        <v>36</v>
      </c>
      <c r="I340" s="5" t="s">
        <v>37</v>
      </c>
      <c r="J340" s="5">
        <v>342.48</v>
      </c>
      <c r="K340" s="5">
        <v>1</v>
      </c>
      <c r="L340" s="5">
        <v>0</v>
      </c>
      <c r="M340" s="5">
        <v>342.48</v>
      </c>
      <c r="N340" s="5" t="s">
        <v>29</v>
      </c>
      <c r="O340" s="5" t="s">
        <v>24</v>
      </c>
      <c r="P340" s="5">
        <v>6</v>
      </c>
      <c r="Q340" s="5">
        <v>9</v>
      </c>
      <c r="R340" s="5" t="b">
        <v>1</v>
      </c>
      <c r="S340" s="5">
        <v>12</v>
      </c>
      <c r="T340" s="5">
        <v>5</v>
      </c>
    </row>
    <row r="341" spans="1:20">
      <c r="A341" s="5" t="s">
        <v>725</v>
      </c>
      <c r="B341" s="5" t="s">
        <v>726</v>
      </c>
      <c r="C341" s="6">
        <v>44961</v>
      </c>
      <c r="D341" s="6" t="str">
        <f t="shared" si="11"/>
        <v>Saturday</v>
      </c>
      <c r="E341" s="5">
        <v>59</v>
      </c>
      <c r="F341" s="5" t="str">
        <f t="shared" si="10"/>
        <v>Gen X/Boomers</v>
      </c>
      <c r="G341" s="5" t="s">
        <v>20</v>
      </c>
      <c r="H341" s="5" t="s">
        <v>21</v>
      </c>
      <c r="I341" s="5" t="s">
        <v>22</v>
      </c>
      <c r="J341" s="5">
        <v>78.11</v>
      </c>
      <c r="K341" s="5">
        <v>1</v>
      </c>
      <c r="L341" s="5">
        <v>0</v>
      </c>
      <c r="M341" s="5">
        <v>78.11</v>
      </c>
      <c r="N341" s="5" t="s">
        <v>29</v>
      </c>
      <c r="O341" s="5" t="s">
        <v>24</v>
      </c>
      <c r="P341" s="5">
        <v>15</v>
      </c>
      <c r="Q341" s="5">
        <v>7</v>
      </c>
      <c r="R341" s="5" t="b">
        <v>0</v>
      </c>
      <c r="S341" s="5">
        <v>18</v>
      </c>
      <c r="T341" s="5">
        <v>5</v>
      </c>
    </row>
    <row r="342" spans="1:20">
      <c r="A342" s="5" t="s">
        <v>727</v>
      </c>
      <c r="B342" s="5" t="s">
        <v>728</v>
      </c>
      <c r="C342" s="6">
        <v>44961</v>
      </c>
      <c r="D342" s="6" t="str">
        <f t="shared" si="11"/>
        <v>Saturday</v>
      </c>
      <c r="E342" s="5">
        <v>32</v>
      </c>
      <c r="F342" s="5" t="str">
        <f t="shared" si="10"/>
        <v>Millennials</v>
      </c>
      <c r="G342" s="5" t="s">
        <v>20</v>
      </c>
      <c r="H342" s="5" t="s">
        <v>178</v>
      </c>
      <c r="I342" s="5" t="s">
        <v>67</v>
      </c>
      <c r="J342" s="5">
        <v>349.92</v>
      </c>
      <c r="K342" s="5">
        <v>1</v>
      </c>
      <c r="L342" s="5">
        <v>0</v>
      </c>
      <c r="M342" s="5">
        <v>349.92</v>
      </c>
      <c r="N342" s="5" t="s">
        <v>49</v>
      </c>
      <c r="O342" s="5" t="s">
        <v>24</v>
      </c>
      <c r="P342" s="5">
        <v>12</v>
      </c>
      <c r="Q342" s="5">
        <v>7</v>
      </c>
      <c r="R342" s="5" t="b">
        <v>1</v>
      </c>
      <c r="S342" s="5">
        <v>3</v>
      </c>
      <c r="T342" s="5">
        <v>5</v>
      </c>
    </row>
    <row r="343" spans="1:20">
      <c r="A343" s="5" t="s">
        <v>729</v>
      </c>
      <c r="B343" s="5" t="s">
        <v>730</v>
      </c>
      <c r="C343" s="6">
        <v>44961</v>
      </c>
      <c r="D343" s="6" t="str">
        <f t="shared" si="11"/>
        <v>Saturday</v>
      </c>
      <c r="E343" s="5">
        <v>40</v>
      </c>
      <c r="F343" s="5" t="str">
        <f t="shared" si="10"/>
        <v>Millennials</v>
      </c>
      <c r="G343" s="5" t="s">
        <v>20</v>
      </c>
      <c r="H343" s="5" t="s">
        <v>36</v>
      </c>
      <c r="I343" s="5" t="s">
        <v>67</v>
      </c>
      <c r="J343" s="5">
        <v>440.83</v>
      </c>
      <c r="K343" s="5">
        <v>2</v>
      </c>
      <c r="L343" s="5">
        <v>0</v>
      </c>
      <c r="M343" s="5">
        <v>881.66</v>
      </c>
      <c r="N343" s="5" t="s">
        <v>29</v>
      </c>
      <c r="O343" s="5" t="s">
        <v>42</v>
      </c>
      <c r="P343" s="5">
        <v>3</v>
      </c>
      <c r="Q343" s="5">
        <v>11</v>
      </c>
      <c r="R343" s="5" t="b">
        <v>1</v>
      </c>
      <c r="S343" s="5">
        <v>4</v>
      </c>
      <c r="T343" s="5">
        <v>1</v>
      </c>
    </row>
    <row r="344" spans="1:20">
      <c r="A344" s="5" t="s">
        <v>731</v>
      </c>
      <c r="B344" s="5" t="s">
        <v>732</v>
      </c>
      <c r="C344" s="6">
        <v>44962</v>
      </c>
      <c r="D344" s="6" t="str">
        <f t="shared" si="11"/>
        <v>Sunday</v>
      </c>
      <c r="E344" s="5">
        <v>35</v>
      </c>
      <c r="F344" s="5" t="str">
        <f t="shared" si="10"/>
        <v>Millennials</v>
      </c>
      <c r="G344" s="5" t="s">
        <v>27</v>
      </c>
      <c r="H344" s="5" t="s">
        <v>48</v>
      </c>
      <c r="I344" s="5" t="s">
        <v>67</v>
      </c>
      <c r="J344" s="5">
        <v>205.05</v>
      </c>
      <c r="K344" s="5">
        <v>2</v>
      </c>
      <c r="L344" s="5">
        <v>0</v>
      </c>
      <c r="M344" s="5">
        <v>410.1</v>
      </c>
      <c r="N344" s="5" t="s">
        <v>29</v>
      </c>
      <c r="O344" s="5" t="s">
        <v>42</v>
      </c>
      <c r="P344" s="5">
        <v>22</v>
      </c>
      <c r="Q344" s="5">
        <v>6</v>
      </c>
      <c r="R344" s="5" t="b">
        <v>1</v>
      </c>
      <c r="S344" s="5">
        <v>5</v>
      </c>
      <c r="T344" s="5">
        <v>5</v>
      </c>
    </row>
    <row r="345" spans="1:20">
      <c r="A345" s="5" t="s">
        <v>733</v>
      </c>
      <c r="B345" s="5" t="s">
        <v>734</v>
      </c>
      <c r="C345" s="6">
        <v>44962</v>
      </c>
      <c r="D345" s="6" t="str">
        <f t="shared" si="11"/>
        <v>Sunday</v>
      </c>
      <c r="E345" s="5">
        <v>36</v>
      </c>
      <c r="F345" s="5" t="str">
        <f t="shared" si="10"/>
        <v>Millennials</v>
      </c>
      <c r="G345" s="5" t="s">
        <v>20</v>
      </c>
      <c r="H345" s="5" t="s">
        <v>36</v>
      </c>
      <c r="I345" s="5" t="s">
        <v>54</v>
      </c>
      <c r="J345" s="5">
        <v>165.02</v>
      </c>
      <c r="K345" s="5">
        <v>1</v>
      </c>
      <c r="L345" s="5">
        <v>0</v>
      </c>
      <c r="M345" s="5">
        <v>165.02</v>
      </c>
      <c r="N345" s="5" t="s">
        <v>49</v>
      </c>
      <c r="O345" s="5" t="s">
        <v>42</v>
      </c>
      <c r="P345" s="5">
        <v>7</v>
      </c>
      <c r="Q345" s="5">
        <v>13</v>
      </c>
      <c r="R345" s="5" t="b">
        <v>1</v>
      </c>
      <c r="S345" s="5">
        <v>3</v>
      </c>
      <c r="T345" s="5">
        <v>2</v>
      </c>
    </row>
    <row r="346" spans="1:20">
      <c r="A346" s="5" t="s">
        <v>735</v>
      </c>
      <c r="B346" s="5" t="s">
        <v>736</v>
      </c>
      <c r="C346" s="6">
        <v>44962</v>
      </c>
      <c r="D346" s="6" t="str">
        <f t="shared" si="11"/>
        <v>Sunday</v>
      </c>
      <c r="E346" s="5">
        <v>40</v>
      </c>
      <c r="F346" s="5" t="str">
        <f t="shared" si="10"/>
        <v>Millennials</v>
      </c>
      <c r="G346" s="5" t="s">
        <v>20</v>
      </c>
      <c r="H346" s="5" t="s">
        <v>48</v>
      </c>
      <c r="I346" s="5" t="s">
        <v>40</v>
      </c>
      <c r="J346" s="5">
        <v>493.49</v>
      </c>
      <c r="K346" s="5">
        <v>2</v>
      </c>
      <c r="L346" s="5">
        <v>0</v>
      </c>
      <c r="M346" s="5">
        <v>986.98</v>
      </c>
      <c r="N346" s="5" t="s">
        <v>29</v>
      </c>
      <c r="O346" s="5" t="s">
        <v>24</v>
      </c>
      <c r="P346" s="5">
        <v>18</v>
      </c>
      <c r="Q346" s="5">
        <v>9</v>
      </c>
      <c r="R346" s="5" t="b">
        <v>1</v>
      </c>
      <c r="S346" s="5">
        <v>4</v>
      </c>
      <c r="T346" s="5">
        <v>3</v>
      </c>
    </row>
    <row r="347" spans="1:20">
      <c r="A347" s="5" t="s">
        <v>737</v>
      </c>
      <c r="B347" s="5" t="s">
        <v>738</v>
      </c>
      <c r="C347" s="6">
        <v>44962</v>
      </c>
      <c r="D347" s="6" t="str">
        <f t="shared" si="11"/>
        <v>Sunday</v>
      </c>
      <c r="E347" s="5">
        <v>45</v>
      </c>
      <c r="F347" s="5" t="str">
        <f t="shared" si="10"/>
        <v>Gen X/Boomers</v>
      </c>
      <c r="G347" s="5" t="s">
        <v>20</v>
      </c>
      <c r="H347" s="5" t="s">
        <v>124</v>
      </c>
      <c r="I347" s="5" t="s">
        <v>54</v>
      </c>
      <c r="J347" s="5">
        <v>21.76</v>
      </c>
      <c r="K347" s="5">
        <v>1</v>
      </c>
      <c r="L347" s="5">
        <v>0</v>
      </c>
      <c r="M347" s="5">
        <v>21.76</v>
      </c>
      <c r="N347" s="5" t="s">
        <v>99</v>
      </c>
      <c r="O347" s="5" t="s">
        <v>42</v>
      </c>
      <c r="P347" s="5">
        <v>8</v>
      </c>
      <c r="Q347" s="5">
        <v>9</v>
      </c>
      <c r="R347" s="5" t="b">
        <v>0</v>
      </c>
      <c r="S347" s="5">
        <v>9</v>
      </c>
      <c r="T347" s="5">
        <v>4</v>
      </c>
    </row>
    <row r="348" spans="1:20">
      <c r="A348" s="5" t="s">
        <v>739</v>
      </c>
      <c r="B348" s="5" t="s">
        <v>740</v>
      </c>
      <c r="C348" s="6">
        <v>44962</v>
      </c>
      <c r="D348" s="6" t="str">
        <f t="shared" si="11"/>
        <v>Sunday</v>
      </c>
      <c r="E348" s="5">
        <v>53</v>
      </c>
      <c r="F348" s="5" t="str">
        <f t="shared" si="10"/>
        <v>Gen X/Boomers</v>
      </c>
      <c r="G348" s="5" t="s">
        <v>20</v>
      </c>
      <c r="H348" s="5" t="s">
        <v>36</v>
      </c>
      <c r="I348" s="5" t="s">
        <v>40</v>
      </c>
      <c r="J348" s="5">
        <v>288.88</v>
      </c>
      <c r="K348" s="5">
        <v>1</v>
      </c>
      <c r="L348" s="5">
        <v>71.209999999999994</v>
      </c>
      <c r="M348" s="5">
        <v>217.67</v>
      </c>
      <c r="N348" s="5" t="s">
        <v>29</v>
      </c>
      <c r="O348" s="5" t="s">
        <v>24</v>
      </c>
      <c r="P348" s="5">
        <v>29</v>
      </c>
      <c r="Q348" s="5">
        <v>9</v>
      </c>
      <c r="R348" s="5" t="b">
        <v>1</v>
      </c>
      <c r="S348" s="5">
        <v>12</v>
      </c>
      <c r="T348" s="5">
        <v>3</v>
      </c>
    </row>
    <row r="349" spans="1:20">
      <c r="A349" s="5" t="s">
        <v>741</v>
      </c>
      <c r="B349" s="5" t="s">
        <v>742</v>
      </c>
      <c r="C349" s="6">
        <v>44962</v>
      </c>
      <c r="D349" s="6" t="str">
        <f t="shared" si="11"/>
        <v>Sunday</v>
      </c>
      <c r="E349" s="5">
        <v>20</v>
      </c>
      <c r="F349" s="5" t="str">
        <f t="shared" si="10"/>
        <v>Gen Z</v>
      </c>
      <c r="G349" s="5" t="s">
        <v>27</v>
      </c>
      <c r="H349" s="5" t="s">
        <v>28</v>
      </c>
      <c r="I349" s="5" t="s">
        <v>67</v>
      </c>
      <c r="J349" s="5">
        <v>1119.96</v>
      </c>
      <c r="K349" s="5">
        <v>1</v>
      </c>
      <c r="L349" s="5">
        <v>0</v>
      </c>
      <c r="M349" s="5">
        <v>1119.96</v>
      </c>
      <c r="N349" s="5" t="s">
        <v>99</v>
      </c>
      <c r="O349" s="5" t="s">
        <v>42</v>
      </c>
      <c r="P349" s="5">
        <v>16</v>
      </c>
      <c r="Q349" s="5">
        <v>12</v>
      </c>
      <c r="R349" s="5" t="b">
        <v>0</v>
      </c>
      <c r="S349" s="5">
        <v>5</v>
      </c>
      <c r="T349" s="5">
        <v>5</v>
      </c>
    </row>
    <row r="350" spans="1:20">
      <c r="A350" s="5" t="s">
        <v>743</v>
      </c>
      <c r="B350" s="5" t="s">
        <v>744</v>
      </c>
      <c r="C350" s="6">
        <v>44962</v>
      </c>
      <c r="D350" s="6" t="str">
        <f t="shared" si="11"/>
        <v>Sunday</v>
      </c>
      <c r="E350" s="5">
        <v>18</v>
      </c>
      <c r="F350" s="5" t="str">
        <f t="shared" si="10"/>
        <v>Gen Z</v>
      </c>
      <c r="G350" s="5" t="s">
        <v>20</v>
      </c>
      <c r="H350" s="5" t="s">
        <v>21</v>
      </c>
      <c r="I350" s="5" t="s">
        <v>40</v>
      </c>
      <c r="J350" s="5">
        <v>1125.06</v>
      </c>
      <c r="K350" s="5">
        <v>3</v>
      </c>
      <c r="L350" s="5">
        <v>0</v>
      </c>
      <c r="M350" s="5">
        <v>3375.18</v>
      </c>
      <c r="N350" s="5" t="s">
        <v>99</v>
      </c>
      <c r="O350" s="5" t="s">
        <v>42</v>
      </c>
      <c r="P350" s="5">
        <v>5</v>
      </c>
      <c r="Q350" s="5">
        <v>7</v>
      </c>
      <c r="R350" s="5" t="b">
        <v>1</v>
      </c>
      <c r="S350" s="5">
        <v>14</v>
      </c>
      <c r="T350" s="5">
        <v>5</v>
      </c>
    </row>
    <row r="351" spans="1:20">
      <c r="A351" s="5" t="s">
        <v>745</v>
      </c>
      <c r="B351" s="5" t="s">
        <v>746</v>
      </c>
      <c r="C351" s="6">
        <v>44962</v>
      </c>
      <c r="D351" s="6" t="str">
        <f t="shared" si="11"/>
        <v>Sunday</v>
      </c>
      <c r="E351" s="5">
        <v>29</v>
      </c>
      <c r="F351" s="5" t="str">
        <f t="shared" si="10"/>
        <v>Millennials</v>
      </c>
      <c r="G351" s="5" t="s">
        <v>27</v>
      </c>
      <c r="H351" s="5" t="s">
        <v>124</v>
      </c>
      <c r="I351" s="5" t="s">
        <v>70</v>
      </c>
      <c r="J351" s="5">
        <v>62.04</v>
      </c>
      <c r="K351" s="5">
        <v>2</v>
      </c>
      <c r="L351" s="5">
        <v>10.07</v>
      </c>
      <c r="M351" s="5">
        <v>114.01</v>
      </c>
      <c r="N351" s="5" t="s">
        <v>29</v>
      </c>
      <c r="O351" s="5" t="s">
        <v>24</v>
      </c>
      <c r="P351" s="5">
        <v>9</v>
      </c>
      <c r="Q351" s="5">
        <v>11</v>
      </c>
      <c r="R351" s="5" t="b">
        <v>1</v>
      </c>
      <c r="S351" s="5">
        <v>6</v>
      </c>
      <c r="T351" s="5">
        <v>5</v>
      </c>
    </row>
    <row r="352" spans="1:20">
      <c r="A352" s="5" t="s">
        <v>747</v>
      </c>
      <c r="B352" s="5" t="s">
        <v>748</v>
      </c>
      <c r="C352" s="6">
        <v>44962</v>
      </c>
      <c r="D352" s="6" t="str">
        <f t="shared" si="11"/>
        <v>Sunday</v>
      </c>
      <c r="E352" s="5">
        <v>46</v>
      </c>
      <c r="F352" s="5" t="str">
        <f t="shared" si="10"/>
        <v>Gen X/Boomers</v>
      </c>
      <c r="G352" s="5" t="s">
        <v>20</v>
      </c>
      <c r="H352" s="5" t="s">
        <v>48</v>
      </c>
      <c r="I352" s="5" t="s">
        <v>70</v>
      </c>
      <c r="J352" s="5">
        <v>58.17</v>
      </c>
      <c r="K352" s="5">
        <v>1</v>
      </c>
      <c r="L352" s="5">
        <v>11.02</v>
      </c>
      <c r="M352" s="5">
        <v>47.15</v>
      </c>
      <c r="N352" s="5" t="s">
        <v>49</v>
      </c>
      <c r="O352" s="5" t="s">
        <v>24</v>
      </c>
      <c r="P352" s="5">
        <v>8</v>
      </c>
      <c r="Q352" s="5">
        <v>6</v>
      </c>
      <c r="R352" s="5" t="b">
        <v>1</v>
      </c>
      <c r="S352" s="5">
        <v>13</v>
      </c>
      <c r="T352" s="5">
        <v>5</v>
      </c>
    </row>
    <row r="353" spans="1:20">
      <c r="A353" s="5" t="s">
        <v>749</v>
      </c>
      <c r="B353" s="5" t="s">
        <v>750</v>
      </c>
      <c r="C353" s="6">
        <v>44962</v>
      </c>
      <c r="D353" s="6" t="str">
        <f t="shared" si="11"/>
        <v>Sunday</v>
      </c>
      <c r="E353" s="5">
        <v>18</v>
      </c>
      <c r="F353" s="5" t="str">
        <f t="shared" si="10"/>
        <v>Gen Z</v>
      </c>
      <c r="G353" s="5" t="s">
        <v>129</v>
      </c>
      <c r="H353" s="5" t="s">
        <v>36</v>
      </c>
      <c r="I353" s="5" t="s">
        <v>37</v>
      </c>
      <c r="J353" s="5">
        <v>1456.73</v>
      </c>
      <c r="K353" s="5">
        <v>1</v>
      </c>
      <c r="L353" s="5">
        <v>0</v>
      </c>
      <c r="M353" s="5">
        <v>1456.73</v>
      </c>
      <c r="N353" s="5" t="s">
        <v>23</v>
      </c>
      <c r="O353" s="5" t="s">
        <v>42</v>
      </c>
      <c r="P353" s="5">
        <v>13</v>
      </c>
      <c r="Q353" s="5">
        <v>8</v>
      </c>
      <c r="R353" s="5" t="b">
        <v>1</v>
      </c>
      <c r="S353" s="5">
        <v>3</v>
      </c>
      <c r="T353" s="5">
        <v>3</v>
      </c>
    </row>
    <row r="354" spans="1:20">
      <c r="A354" s="5" t="s">
        <v>751</v>
      </c>
      <c r="B354" s="5" t="s">
        <v>752</v>
      </c>
      <c r="C354" s="6">
        <v>44962</v>
      </c>
      <c r="D354" s="6" t="str">
        <f t="shared" si="11"/>
        <v>Sunday</v>
      </c>
      <c r="E354" s="5">
        <v>23</v>
      </c>
      <c r="F354" s="5" t="str">
        <f t="shared" si="10"/>
        <v>Gen Z</v>
      </c>
      <c r="G354" s="5" t="s">
        <v>20</v>
      </c>
      <c r="H354" s="5" t="s">
        <v>21</v>
      </c>
      <c r="I354" s="5" t="s">
        <v>33</v>
      </c>
      <c r="J354" s="5">
        <v>141.88</v>
      </c>
      <c r="K354" s="5">
        <v>1</v>
      </c>
      <c r="L354" s="5">
        <v>0</v>
      </c>
      <c r="M354" s="5">
        <v>141.88</v>
      </c>
      <c r="N354" s="5" t="s">
        <v>23</v>
      </c>
      <c r="O354" s="5" t="s">
        <v>55</v>
      </c>
      <c r="P354" s="5">
        <v>8</v>
      </c>
      <c r="Q354" s="5">
        <v>10</v>
      </c>
      <c r="R354" s="5" t="b">
        <v>0</v>
      </c>
      <c r="S354" s="5">
        <v>8</v>
      </c>
      <c r="T354" s="5">
        <v>3</v>
      </c>
    </row>
    <row r="355" spans="1:20">
      <c r="A355" s="5" t="s">
        <v>753</v>
      </c>
      <c r="B355" s="5" t="s">
        <v>754</v>
      </c>
      <c r="C355" s="6">
        <v>44962</v>
      </c>
      <c r="D355" s="6" t="str">
        <f t="shared" si="11"/>
        <v>Sunday</v>
      </c>
      <c r="E355" s="5">
        <v>18</v>
      </c>
      <c r="F355" s="5" t="str">
        <f t="shared" si="10"/>
        <v>Gen Z</v>
      </c>
      <c r="G355" s="5" t="s">
        <v>20</v>
      </c>
      <c r="H355" s="5" t="s">
        <v>48</v>
      </c>
      <c r="I355" s="5" t="s">
        <v>54</v>
      </c>
      <c r="J355" s="5">
        <v>135.83000000000001</v>
      </c>
      <c r="K355" s="5">
        <v>2</v>
      </c>
      <c r="L355" s="5">
        <v>0</v>
      </c>
      <c r="M355" s="5">
        <v>271.66000000000003</v>
      </c>
      <c r="N355" s="5" t="s">
        <v>49</v>
      </c>
      <c r="O355" s="5" t="s">
        <v>24</v>
      </c>
      <c r="P355" s="5">
        <v>38</v>
      </c>
      <c r="Q355" s="5">
        <v>11</v>
      </c>
      <c r="R355" s="5" t="b">
        <v>1</v>
      </c>
      <c r="S355" s="5">
        <v>13</v>
      </c>
      <c r="T355" s="5">
        <v>4</v>
      </c>
    </row>
    <row r="356" spans="1:20">
      <c r="A356" s="5" t="s">
        <v>755</v>
      </c>
      <c r="B356" s="5" t="s">
        <v>756</v>
      </c>
      <c r="C356" s="6">
        <v>44962</v>
      </c>
      <c r="D356" s="6" t="str">
        <f t="shared" si="11"/>
        <v>Sunday</v>
      </c>
      <c r="E356" s="5">
        <v>52</v>
      </c>
      <c r="F356" s="5" t="str">
        <f t="shared" si="10"/>
        <v>Gen X/Boomers</v>
      </c>
      <c r="G356" s="5" t="s">
        <v>20</v>
      </c>
      <c r="H356" s="5" t="s">
        <v>32</v>
      </c>
      <c r="I356" s="5" t="s">
        <v>70</v>
      </c>
      <c r="J356" s="5">
        <v>58.63</v>
      </c>
      <c r="K356" s="5">
        <v>1</v>
      </c>
      <c r="L356" s="5">
        <v>0</v>
      </c>
      <c r="M356" s="5">
        <v>58.63</v>
      </c>
      <c r="N356" s="5" t="s">
        <v>23</v>
      </c>
      <c r="O356" s="5" t="s">
        <v>24</v>
      </c>
      <c r="P356" s="5">
        <v>12</v>
      </c>
      <c r="Q356" s="5">
        <v>6</v>
      </c>
      <c r="R356" s="5" t="b">
        <v>1</v>
      </c>
      <c r="S356" s="5">
        <v>2</v>
      </c>
      <c r="T356" s="5">
        <v>4</v>
      </c>
    </row>
    <row r="357" spans="1:20">
      <c r="A357" s="5" t="s">
        <v>757</v>
      </c>
      <c r="B357" s="5" t="s">
        <v>758</v>
      </c>
      <c r="C357" s="6">
        <v>44962</v>
      </c>
      <c r="D357" s="6" t="str">
        <f t="shared" si="11"/>
        <v>Sunday</v>
      </c>
      <c r="E357" s="5">
        <v>35</v>
      </c>
      <c r="F357" s="5" t="str">
        <f t="shared" si="10"/>
        <v>Millennials</v>
      </c>
      <c r="G357" s="5" t="s">
        <v>27</v>
      </c>
      <c r="H357" s="5" t="s">
        <v>66</v>
      </c>
      <c r="I357" s="5" t="s">
        <v>67</v>
      </c>
      <c r="J357" s="5">
        <v>1647.31</v>
      </c>
      <c r="K357" s="5">
        <v>3</v>
      </c>
      <c r="L357" s="5">
        <v>201.73</v>
      </c>
      <c r="M357" s="5">
        <v>4740.2</v>
      </c>
      <c r="N357" s="5" t="s">
        <v>49</v>
      </c>
      <c r="O357" s="5" t="s">
        <v>42</v>
      </c>
      <c r="P357" s="5">
        <v>16</v>
      </c>
      <c r="Q357" s="5">
        <v>11</v>
      </c>
      <c r="R357" s="5" t="b">
        <v>0</v>
      </c>
      <c r="S357" s="5">
        <v>4</v>
      </c>
      <c r="T357" s="5">
        <v>4</v>
      </c>
    </row>
    <row r="358" spans="1:20">
      <c r="A358" s="5" t="s">
        <v>759</v>
      </c>
      <c r="B358" s="5" t="s">
        <v>760</v>
      </c>
      <c r="C358" s="6">
        <v>44962</v>
      </c>
      <c r="D358" s="6" t="str">
        <f t="shared" si="11"/>
        <v>Sunday</v>
      </c>
      <c r="E358" s="5">
        <v>33</v>
      </c>
      <c r="F358" s="5" t="str">
        <f t="shared" si="10"/>
        <v>Millennials</v>
      </c>
      <c r="G358" s="5" t="s">
        <v>20</v>
      </c>
      <c r="H358" s="5" t="s">
        <v>178</v>
      </c>
      <c r="I358" s="5" t="s">
        <v>67</v>
      </c>
      <c r="J358" s="5">
        <v>112.61</v>
      </c>
      <c r="K358" s="5">
        <v>3</v>
      </c>
      <c r="L358" s="5">
        <v>0</v>
      </c>
      <c r="M358" s="5">
        <v>337.83</v>
      </c>
      <c r="N358" s="5" t="s">
        <v>29</v>
      </c>
      <c r="O358" s="5" t="s">
        <v>42</v>
      </c>
      <c r="P358" s="5">
        <v>39</v>
      </c>
      <c r="Q358" s="5">
        <v>10</v>
      </c>
      <c r="R358" s="5" t="b">
        <v>0</v>
      </c>
      <c r="S358" s="5">
        <v>4</v>
      </c>
      <c r="T358" s="5">
        <v>3</v>
      </c>
    </row>
    <row r="359" spans="1:20">
      <c r="A359" s="5" t="s">
        <v>761</v>
      </c>
      <c r="B359" s="5" t="s">
        <v>762</v>
      </c>
      <c r="C359" s="6">
        <v>44962</v>
      </c>
      <c r="D359" s="6" t="str">
        <f t="shared" si="11"/>
        <v>Sunday</v>
      </c>
      <c r="E359" s="5">
        <v>25</v>
      </c>
      <c r="F359" s="5" t="str">
        <f t="shared" si="10"/>
        <v>Millennials</v>
      </c>
      <c r="G359" s="5" t="s">
        <v>20</v>
      </c>
      <c r="H359" s="5" t="s">
        <v>88</v>
      </c>
      <c r="I359" s="5" t="s">
        <v>37</v>
      </c>
      <c r="J359" s="5">
        <v>773.84</v>
      </c>
      <c r="K359" s="5">
        <v>1</v>
      </c>
      <c r="L359" s="5">
        <v>0</v>
      </c>
      <c r="M359" s="5">
        <v>773.84</v>
      </c>
      <c r="N359" s="5" t="s">
        <v>29</v>
      </c>
      <c r="O359" s="5" t="s">
        <v>24</v>
      </c>
      <c r="P359" s="5">
        <v>2</v>
      </c>
      <c r="Q359" s="5">
        <v>6</v>
      </c>
      <c r="R359" s="5" t="b">
        <v>0</v>
      </c>
      <c r="S359" s="5">
        <v>7</v>
      </c>
      <c r="T359" s="5">
        <v>5</v>
      </c>
    </row>
    <row r="360" spans="1:20">
      <c r="A360" s="5" t="s">
        <v>763</v>
      </c>
      <c r="B360" s="5" t="s">
        <v>764</v>
      </c>
      <c r="C360" s="6">
        <v>44963</v>
      </c>
      <c r="D360" s="6" t="str">
        <f t="shared" si="11"/>
        <v>Monday</v>
      </c>
      <c r="E360" s="5">
        <v>39</v>
      </c>
      <c r="F360" s="5" t="str">
        <f t="shared" si="10"/>
        <v>Millennials</v>
      </c>
      <c r="G360" s="5" t="s">
        <v>27</v>
      </c>
      <c r="H360" s="5" t="s">
        <v>88</v>
      </c>
      <c r="I360" s="5" t="s">
        <v>70</v>
      </c>
      <c r="J360" s="5">
        <v>27.2</v>
      </c>
      <c r="K360" s="5">
        <v>3</v>
      </c>
      <c r="L360" s="5">
        <v>0</v>
      </c>
      <c r="M360" s="5">
        <v>81.599999999999994</v>
      </c>
      <c r="N360" s="5" t="s">
        <v>49</v>
      </c>
      <c r="O360" s="5" t="s">
        <v>24</v>
      </c>
      <c r="P360" s="5">
        <v>10</v>
      </c>
      <c r="Q360" s="5">
        <v>10</v>
      </c>
      <c r="R360" s="5" t="b">
        <v>1</v>
      </c>
      <c r="S360" s="5">
        <v>6</v>
      </c>
      <c r="T360" s="5">
        <v>1</v>
      </c>
    </row>
    <row r="361" spans="1:20">
      <c r="A361" s="5" t="s">
        <v>765</v>
      </c>
      <c r="B361" s="5" t="s">
        <v>766</v>
      </c>
      <c r="C361" s="6">
        <v>44963</v>
      </c>
      <c r="D361" s="6" t="str">
        <f t="shared" si="11"/>
        <v>Monday</v>
      </c>
      <c r="E361" s="5">
        <v>30</v>
      </c>
      <c r="F361" s="5" t="str">
        <f t="shared" si="10"/>
        <v>Millennials</v>
      </c>
      <c r="G361" s="5" t="s">
        <v>27</v>
      </c>
      <c r="H361" s="5" t="s">
        <v>28</v>
      </c>
      <c r="I361" s="5" t="s">
        <v>40</v>
      </c>
      <c r="J361" s="5">
        <v>367.4</v>
      </c>
      <c r="K361" s="5">
        <v>2</v>
      </c>
      <c r="L361" s="5">
        <v>0</v>
      </c>
      <c r="M361" s="5">
        <v>734.8</v>
      </c>
      <c r="N361" s="5" t="s">
        <v>49</v>
      </c>
      <c r="O361" s="5" t="s">
        <v>24</v>
      </c>
      <c r="P361" s="5">
        <v>22</v>
      </c>
      <c r="Q361" s="5">
        <v>9</v>
      </c>
      <c r="R361" s="5" t="b">
        <v>1</v>
      </c>
      <c r="S361" s="5">
        <v>7</v>
      </c>
      <c r="T361" s="5">
        <v>5</v>
      </c>
    </row>
    <row r="362" spans="1:20">
      <c r="A362" s="5" t="s">
        <v>767</v>
      </c>
      <c r="B362" s="5" t="s">
        <v>768</v>
      </c>
      <c r="C362" s="6">
        <v>44963</v>
      </c>
      <c r="D362" s="6" t="str">
        <f t="shared" si="11"/>
        <v>Monday</v>
      </c>
      <c r="E362" s="5">
        <v>22</v>
      </c>
      <c r="F362" s="5" t="str">
        <f t="shared" si="10"/>
        <v>Gen Z</v>
      </c>
      <c r="G362" s="5" t="s">
        <v>27</v>
      </c>
      <c r="H362" s="5" t="s">
        <v>83</v>
      </c>
      <c r="I362" s="5" t="s">
        <v>33</v>
      </c>
      <c r="J362" s="5">
        <v>64.099999999999994</v>
      </c>
      <c r="K362" s="5">
        <v>1</v>
      </c>
      <c r="L362" s="5">
        <v>0</v>
      </c>
      <c r="M362" s="5">
        <v>64.099999999999994</v>
      </c>
      <c r="N362" s="5" t="s">
        <v>29</v>
      </c>
      <c r="O362" s="5" t="s">
        <v>24</v>
      </c>
      <c r="P362" s="5">
        <v>27</v>
      </c>
      <c r="Q362" s="5">
        <v>10</v>
      </c>
      <c r="R362" s="5" t="b">
        <v>0</v>
      </c>
      <c r="S362" s="5">
        <v>5</v>
      </c>
      <c r="T362" s="5">
        <v>4</v>
      </c>
    </row>
    <row r="363" spans="1:20">
      <c r="A363" s="5" t="s">
        <v>769</v>
      </c>
      <c r="B363" s="5" t="s">
        <v>770</v>
      </c>
      <c r="C363" s="6">
        <v>44963</v>
      </c>
      <c r="D363" s="6" t="str">
        <f t="shared" si="11"/>
        <v>Monday</v>
      </c>
      <c r="E363" s="5">
        <v>18</v>
      </c>
      <c r="F363" s="5" t="str">
        <f t="shared" si="10"/>
        <v>Gen Z</v>
      </c>
      <c r="G363" s="5" t="s">
        <v>27</v>
      </c>
      <c r="H363" s="5" t="s">
        <v>32</v>
      </c>
      <c r="I363" s="5" t="s">
        <v>22</v>
      </c>
      <c r="J363" s="5">
        <v>58.38</v>
      </c>
      <c r="K363" s="5">
        <v>4</v>
      </c>
      <c r="L363" s="5">
        <v>0</v>
      </c>
      <c r="M363" s="5">
        <v>233.52</v>
      </c>
      <c r="N363" s="5" t="s">
        <v>29</v>
      </c>
      <c r="O363" s="5" t="s">
        <v>24</v>
      </c>
      <c r="P363" s="5">
        <v>12</v>
      </c>
      <c r="Q363" s="5">
        <v>11</v>
      </c>
      <c r="R363" s="5" t="b">
        <v>0</v>
      </c>
      <c r="S363" s="5">
        <v>3</v>
      </c>
      <c r="T363" s="5">
        <v>5</v>
      </c>
    </row>
    <row r="364" spans="1:20">
      <c r="A364" s="5" t="s">
        <v>771</v>
      </c>
      <c r="B364" s="5" t="s">
        <v>772</v>
      </c>
      <c r="C364" s="6">
        <v>44963</v>
      </c>
      <c r="D364" s="6" t="str">
        <f t="shared" si="11"/>
        <v>Monday</v>
      </c>
      <c r="E364" s="5">
        <v>20</v>
      </c>
      <c r="F364" s="5" t="str">
        <f t="shared" si="10"/>
        <v>Gen Z</v>
      </c>
      <c r="G364" s="5" t="s">
        <v>27</v>
      </c>
      <c r="H364" s="5" t="s">
        <v>88</v>
      </c>
      <c r="I364" s="5" t="s">
        <v>22</v>
      </c>
      <c r="J364" s="5">
        <v>99.99</v>
      </c>
      <c r="K364" s="5">
        <v>5</v>
      </c>
      <c r="L364" s="5">
        <v>17.62</v>
      </c>
      <c r="M364" s="5">
        <v>482.33</v>
      </c>
      <c r="N364" s="5" t="s">
        <v>41</v>
      </c>
      <c r="O364" s="5" t="s">
        <v>42</v>
      </c>
      <c r="P364" s="5">
        <v>17</v>
      </c>
      <c r="Q364" s="5">
        <v>8</v>
      </c>
      <c r="R364" s="5" t="b">
        <v>1</v>
      </c>
      <c r="S364" s="5">
        <v>1</v>
      </c>
      <c r="T364" s="5">
        <v>4</v>
      </c>
    </row>
    <row r="365" spans="1:20">
      <c r="A365" s="5" t="s">
        <v>773</v>
      </c>
      <c r="B365" s="5" t="s">
        <v>774</v>
      </c>
      <c r="C365" s="6">
        <v>44963</v>
      </c>
      <c r="D365" s="6" t="str">
        <f t="shared" si="11"/>
        <v>Monday</v>
      </c>
      <c r="E365" s="5">
        <v>34</v>
      </c>
      <c r="F365" s="5" t="str">
        <f t="shared" si="10"/>
        <v>Millennials</v>
      </c>
      <c r="G365" s="5" t="s">
        <v>20</v>
      </c>
      <c r="H365" s="5" t="s">
        <v>88</v>
      </c>
      <c r="I365" s="5" t="s">
        <v>54</v>
      </c>
      <c r="J365" s="5">
        <v>751.59</v>
      </c>
      <c r="K365" s="5">
        <v>5</v>
      </c>
      <c r="L365" s="5">
        <v>0</v>
      </c>
      <c r="M365" s="5">
        <v>3757.95</v>
      </c>
      <c r="N365" s="5" t="s">
        <v>23</v>
      </c>
      <c r="O365" s="5" t="s">
        <v>24</v>
      </c>
      <c r="P365" s="5">
        <v>10</v>
      </c>
      <c r="Q365" s="5">
        <v>5</v>
      </c>
      <c r="R365" s="5" t="b">
        <v>1</v>
      </c>
      <c r="S365" s="5">
        <v>4</v>
      </c>
      <c r="T365" s="5">
        <v>3</v>
      </c>
    </row>
    <row r="366" spans="1:20">
      <c r="A366" s="5" t="s">
        <v>775</v>
      </c>
      <c r="B366" s="5" t="s">
        <v>776</v>
      </c>
      <c r="C366" s="6">
        <v>44963</v>
      </c>
      <c r="D366" s="6" t="str">
        <f t="shared" si="11"/>
        <v>Monday</v>
      </c>
      <c r="E366" s="5">
        <v>42</v>
      </c>
      <c r="F366" s="5" t="str">
        <f t="shared" si="10"/>
        <v>Millennials</v>
      </c>
      <c r="G366" s="5" t="s">
        <v>20</v>
      </c>
      <c r="H366" s="5" t="s">
        <v>21</v>
      </c>
      <c r="I366" s="5" t="s">
        <v>54</v>
      </c>
      <c r="J366" s="5">
        <v>254.32</v>
      </c>
      <c r="K366" s="5">
        <v>2</v>
      </c>
      <c r="L366" s="5">
        <v>0</v>
      </c>
      <c r="M366" s="5">
        <v>508.64</v>
      </c>
      <c r="N366" s="5" t="s">
        <v>29</v>
      </c>
      <c r="O366" s="5" t="s">
        <v>42</v>
      </c>
      <c r="P366" s="5">
        <v>6</v>
      </c>
      <c r="Q366" s="5">
        <v>7</v>
      </c>
      <c r="R366" s="5" t="b">
        <v>1</v>
      </c>
      <c r="S366" s="5">
        <v>4</v>
      </c>
      <c r="T366" s="5">
        <v>5</v>
      </c>
    </row>
    <row r="367" spans="1:20">
      <c r="A367" s="5" t="s">
        <v>777</v>
      </c>
      <c r="B367" s="5" t="s">
        <v>778</v>
      </c>
      <c r="C367" s="6">
        <v>44963</v>
      </c>
      <c r="D367" s="6" t="str">
        <f t="shared" si="11"/>
        <v>Monday</v>
      </c>
      <c r="E367" s="5">
        <v>33</v>
      </c>
      <c r="F367" s="5" t="str">
        <f t="shared" si="10"/>
        <v>Millennials</v>
      </c>
      <c r="G367" s="5" t="s">
        <v>20</v>
      </c>
      <c r="H367" s="5" t="s">
        <v>36</v>
      </c>
      <c r="I367" s="5" t="s">
        <v>70</v>
      </c>
      <c r="J367" s="5">
        <v>50.17</v>
      </c>
      <c r="K367" s="5">
        <v>4</v>
      </c>
      <c r="L367" s="5">
        <v>0</v>
      </c>
      <c r="M367" s="5">
        <v>200.68</v>
      </c>
      <c r="N367" s="5" t="s">
        <v>29</v>
      </c>
      <c r="O367" s="5" t="s">
        <v>24</v>
      </c>
      <c r="P367" s="5">
        <v>6</v>
      </c>
      <c r="Q367" s="5">
        <v>10</v>
      </c>
      <c r="R367" s="5" t="b">
        <v>1</v>
      </c>
      <c r="S367" s="5">
        <v>3</v>
      </c>
      <c r="T367" s="5">
        <v>4</v>
      </c>
    </row>
    <row r="368" spans="1:20">
      <c r="A368" s="5" t="s">
        <v>779</v>
      </c>
      <c r="B368" s="5" t="s">
        <v>780</v>
      </c>
      <c r="C368" s="6">
        <v>44964</v>
      </c>
      <c r="D368" s="6" t="str">
        <f t="shared" si="11"/>
        <v>Tuesday</v>
      </c>
      <c r="E368" s="5">
        <v>50</v>
      </c>
      <c r="F368" s="5" t="str">
        <f t="shared" si="10"/>
        <v>Gen X/Boomers</v>
      </c>
      <c r="G368" s="5" t="s">
        <v>20</v>
      </c>
      <c r="H368" s="5" t="s">
        <v>83</v>
      </c>
      <c r="I368" s="5" t="s">
        <v>67</v>
      </c>
      <c r="J368" s="5">
        <v>330.96</v>
      </c>
      <c r="K368" s="5">
        <v>4</v>
      </c>
      <c r="L368" s="5">
        <v>0</v>
      </c>
      <c r="M368" s="5">
        <v>1323.84</v>
      </c>
      <c r="N368" s="5" t="s">
        <v>29</v>
      </c>
      <c r="O368" s="5" t="s">
        <v>24</v>
      </c>
      <c r="P368" s="5">
        <v>14</v>
      </c>
      <c r="Q368" s="5">
        <v>4</v>
      </c>
      <c r="R368" s="5" t="b">
        <v>0</v>
      </c>
      <c r="S368" s="5">
        <v>5</v>
      </c>
      <c r="T368" s="5">
        <v>3</v>
      </c>
    </row>
    <row r="369" spans="1:20">
      <c r="A369" s="5" t="s">
        <v>781</v>
      </c>
      <c r="B369" s="5" t="s">
        <v>782</v>
      </c>
      <c r="C369" s="6">
        <v>44964</v>
      </c>
      <c r="D369" s="6" t="str">
        <f t="shared" si="11"/>
        <v>Tuesday</v>
      </c>
      <c r="E369" s="5">
        <v>28</v>
      </c>
      <c r="F369" s="5" t="str">
        <f t="shared" si="10"/>
        <v>Millennials</v>
      </c>
      <c r="G369" s="5" t="s">
        <v>20</v>
      </c>
      <c r="H369" s="5" t="s">
        <v>83</v>
      </c>
      <c r="I369" s="5" t="s">
        <v>67</v>
      </c>
      <c r="J369" s="5">
        <v>711.42</v>
      </c>
      <c r="K369" s="5">
        <v>3</v>
      </c>
      <c r="L369" s="5">
        <v>0</v>
      </c>
      <c r="M369" s="5">
        <v>2134.2600000000002</v>
      </c>
      <c r="N369" s="5" t="s">
        <v>49</v>
      </c>
      <c r="O369" s="5" t="s">
        <v>24</v>
      </c>
      <c r="P369" s="5">
        <v>16</v>
      </c>
      <c r="Q369" s="5">
        <v>9</v>
      </c>
      <c r="R369" s="5" t="b">
        <v>0</v>
      </c>
      <c r="S369" s="5">
        <v>11</v>
      </c>
      <c r="T369" s="5">
        <v>5</v>
      </c>
    </row>
    <row r="370" spans="1:20">
      <c r="A370" s="5" t="s">
        <v>783</v>
      </c>
      <c r="B370" s="5" t="s">
        <v>784</v>
      </c>
      <c r="C370" s="6">
        <v>44964</v>
      </c>
      <c r="D370" s="6" t="str">
        <f t="shared" si="11"/>
        <v>Tuesday</v>
      </c>
      <c r="E370" s="5">
        <v>18</v>
      </c>
      <c r="F370" s="5" t="str">
        <f t="shared" si="10"/>
        <v>Gen Z</v>
      </c>
      <c r="G370" s="5" t="s">
        <v>20</v>
      </c>
      <c r="H370" s="5" t="s">
        <v>36</v>
      </c>
      <c r="I370" s="5" t="s">
        <v>33</v>
      </c>
      <c r="J370" s="5">
        <v>89.31</v>
      </c>
      <c r="K370" s="5">
        <v>5</v>
      </c>
      <c r="L370" s="5">
        <v>8.0299999999999994</v>
      </c>
      <c r="M370" s="5">
        <v>438.52</v>
      </c>
      <c r="N370" s="5" t="s">
        <v>29</v>
      </c>
      <c r="O370" s="5" t="s">
        <v>42</v>
      </c>
      <c r="P370" s="5">
        <v>9</v>
      </c>
      <c r="Q370" s="5">
        <v>7</v>
      </c>
      <c r="R370" s="5" t="b">
        <v>0</v>
      </c>
      <c r="S370" s="5">
        <v>13</v>
      </c>
      <c r="T370" s="5">
        <v>4</v>
      </c>
    </row>
    <row r="371" spans="1:20">
      <c r="A371" s="5" t="s">
        <v>785</v>
      </c>
      <c r="B371" s="5" t="s">
        <v>786</v>
      </c>
      <c r="C371" s="6">
        <v>44964</v>
      </c>
      <c r="D371" s="6" t="str">
        <f t="shared" si="11"/>
        <v>Tuesday</v>
      </c>
      <c r="E371" s="5">
        <v>47</v>
      </c>
      <c r="F371" s="5" t="str">
        <f t="shared" si="10"/>
        <v>Gen X/Boomers</v>
      </c>
      <c r="G371" s="5" t="s">
        <v>20</v>
      </c>
      <c r="H371" s="5" t="s">
        <v>32</v>
      </c>
      <c r="I371" s="5" t="s">
        <v>67</v>
      </c>
      <c r="J371" s="5">
        <v>988.13</v>
      </c>
      <c r="K371" s="5">
        <v>2</v>
      </c>
      <c r="L371" s="5">
        <v>180.34</v>
      </c>
      <c r="M371" s="5">
        <v>1795.92</v>
      </c>
      <c r="N371" s="5" t="s">
        <v>29</v>
      </c>
      <c r="O371" s="5" t="s">
        <v>42</v>
      </c>
      <c r="P371" s="5">
        <v>26</v>
      </c>
      <c r="Q371" s="5">
        <v>14</v>
      </c>
      <c r="R371" s="5" t="b">
        <v>0</v>
      </c>
      <c r="S371" s="5">
        <v>11</v>
      </c>
      <c r="T371" s="5">
        <v>4</v>
      </c>
    </row>
    <row r="372" spans="1:20">
      <c r="A372" s="5" t="s">
        <v>787</v>
      </c>
      <c r="B372" s="5" t="s">
        <v>788</v>
      </c>
      <c r="C372" s="6">
        <v>44964</v>
      </c>
      <c r="D372" s="6" t="str">
        <f t="shared" si="11"/>
        <v>Tuesday</v>
      </c>
      <c r="E372" s="5">
        <v>30</v>
      </c>
      <c r="F372" s="5" t="str">
        <f t="shared" si="10"/>
        <v>Millennials</v>
      </c>
      <c r="G372" s="5" t="s">
        <v>27</v>
      </c>
      <c r="H372" s="5" t="s">
        <v>32</v>
      </c>
      <c r="I372" s="5" t="s">
        <v>67</v>
      </c>
      <c r="J372" s="5">
        <v>688.78</v>
      </c>
      <c r="K372" s="5">
        <v>1</v>
      </c>
      <c r="L372" s="5">
        <v>64.900000000000006</v>
      </c>
      <c r="M372" s="5">
        <v>623.88</v>
      </c>
      <c r="N372" s="5" t="s">
        <v>23</v>
      </c>
      <c r="O372" s="5" t="s">
        <v>55</v>
      </c>
      <c r="P372" s="5">
        <v>4</v>
      </c>
      <c r="Q372" s="5">
        <v>10</v>
      </c>
      <c r="R372" s="5" t="b">
        <v>1</v>
      </c>
      <c r="S372" s="5">
        <v>5</v>
      </c>
      <c r="T372" s="5">
        <v>5</v>
      </c>
    </row>
    <row r="373" spans="1:20">
      <c r="A373" s="5" t="s">
        <v>789</v>
      </c>
      <c r="B373" s="5" t="s">
        <v>790</v>
      </c>
      <c r="C373" s="6">
        <v>44964</v>
      </c>
      <c r="D373" s="6" t="str">
        <f t="shared" si="11"/>
        <v>Tuesday</v>
      </c>
      <c r="E373" s="5">
        <v>45</v>
      </c>
      <c r="F373" s="5" t="str">
        <f t="shared" si="10"/>
        <v>Gen X/Boomers</v>
      </c>
      <c r="G373" s="5" t="s">
        <v>20</v>
      </c>
      <c r="H373" s="5" t="s">
        <v>21</v>
      </c>
      <c r="I373" s="5" t="s">
        <v>45</v>
      </c>
      <c r="J373" s="5">
        <v>49.17</v>
      </c>
      <c r="K373" s="5">
        <v>1</v>
      </c>
      <c r="L373" s="5">
        <v>0</v>
      </c>
      <c r="M373" s="5">
        <v>49.17</v>
      </c>
      <c r="N373" s="5" t="s">
        <v>99</v>
      </c>
      <c r="O373" s="5" t="s">
        <v>42</v>
      </c>
      <c r="P373" s="5">
        <v>30</v>
      </c>
      <c r="Q373" s="5">
        <v>16</v>
      </c>
      <c r="R373" s="5" t="b">
        <v>1</v>
      </c>
      <c r="S373" s="5">
        <v>5</v>
      </c>
      <c r="T373" s="5">
        <v>5</v>
      </c>
    </row>
    <row r="374" spans="1:20">
      <c r="A374" s="5" t="s">
        <v>791</v>
      </c>
      <c r="B374" s="5" t="s">
        <v>792</v>
      </c>
      <c r="C374" s="6">
        <v>44964</v>
      </c>
      <c r="D374" s="6" t="str">
        <f t="shared" si="11"/>
        <v>Tuesday</v>
      </c>
      <c r="E374" s="5">
        <v>54</v>
      </c>
      <c r="F374" s="5" t="str">
        <f t="shared" si="10"/>
        <v>Gen X/Boomers</v>
      </c>
      <c r="G374" s="5" t="s">
        <v>20</v>
      </c>
      <c r="H374" s="5" t="s">
        <v>66</v>
      </c>
      <c r="I374" s="5" t="s">
        <v>45</v>
      </c>
      <c r="J374" s="5">
        <v>92.6</v>
      </c>
      <c r="K374" s="5">
        <v>1</v>
      </c>
      <c r="L374" s="5">
        <v>0</v>
      </c>
      <c r="M374" s="5">
        <v>92.6</v>
      </c>
      <c r="N374" s="5" t="s">
        <v>29</v>
      </c>
      <c r="O374" s="5" t="s">
        <v>24</v>
      </c>
      <c r="P374" s="5">
        <v>16</v>
      </c>
      <c r="Q374" s="5">
        <v>9</v>
      </c>
      <c r="R374" s="5" t="b">
        <v>1</v>
      </c>
      <c r="S374" s="5">
        <v>12</v>
      </c>
      <c r="T374" s="5">
        <v>2</v>
      </c>
    </row>
    <row r="375" spans="1:20">
      <c r="A375" s="5" t="s">
        <v>793</v>
      </c>
      <c r="B375" s="5" t="s">
        <v>794</v>
      </c>
      <c r="C375" s="6">
        <v>44964</v>
      </c>
      <c r="D375" s="6" t="str">
        <f t="shared" si="11"/>
        <v>Tuesday</v>
      </c>
      <c r="E375" s="5">
        <v>27</v>
      </c>
      <c r="F375" s="5" t="str">
        <f t="shared" si="10"/>
        <v>Millennials</v>
      </c>
      <c r="G375" s="5" t="s">
        <v>129</v>
      </c>
      <c r="H375" s="5" t="s">
        <v>36</v>
      </c>
      <c r="I375" s="5" t="s">
        <v>45</v>
      </c>
      <c r="J375" s="5">
        <v>43.62</v>
      </c>
      <c r="K375" s="5">
        <v>5</v>
      </c>
      <c r="L375" s="5">
        <v>6.81</v>
      </c>
      <c r="M375" s="5">
        <v>211.29</v>
      </c>
      <c r="N375" s="5" t="s">
        <v>29</v>
      </c>
      <c r="O375" s="5" t="s">
        <v>24</v>
      </c>
      <c r="P375" s="5">
        <v>15</v>
      </c>
      <c r="Q375" s="5">
        <v>10</v>
      </c>
      <c r="R375" s="5" t="b">
        <v>1</v>
      </c>
      <c r="S375" s="5">
        <v>6</v>
      </c>
      <c r="T375" s="5">
        <v>5</v>
      </c>
    </row>
    <row r="376" spans="1:20">
      <c r="A376" s="5" t="s">
        <v>795</v>
      </c>
      <c r="B376" s="5" t="s">
        <v>796</v>
      </c>
      <c r="C376" s="6">
        <v>44964</v>
      </c>
      <c r="D376" s="6" t="str">
        <f t="shared" si="11"/>
        <v>Tuesday</v>
      </c>
      <c r="E376" s="5">
        <v>18</v>
      </c>
      <c r="F376" s="5" t="str">
        <f t="shared" si="10"/>
        <v>Gen Z</v>
      </c>
      <c r="G376" s="5" t="s">
        <v>27</v>
      </c>
      <c r="H376" s="5" t="s">
        <v>83</v>
      </c>
      <c r="I376" s="5" t="s">
        <v>54</v>
      </c>
      <c r="J376" s="5">
        <v>45.04</v>
      </c>
      <c r="K376" s="5">
        <v>5</v>
      </c>
      <c r="L376" s="5">
        <v>0</v>
      </c>
      <c r="M376" s="5">
        <v>225.2</v>
      </c>
      <c r="N376" s="5" t="s">
        <v>23</v>
      </c>
      <c r="O376" s="5" t="s">
        <v>24</v>
      </c>
      <c r="P376" s="5">
        <v>5</v>
      </c>
      <c r="Q376" s="5">
        <v>3</v>
      </c>
      <c r="R376" s="5" t="b">
        <v>0</v>
      </c>
      <c r="S376" s="5">
        <v>7</v>
      </c>
      <c r="T376" s="5">
        <v>3</v>
      </c>
    </row>
    <row r="377" spans="1:20">
      <c r="A377" s="5" t="s">
        <v>797</v>
      </c>
      <c r="B377" s="5" t="s">
        <v>798</v>
      </c>
      <c r="C377" s="6">
        <v>44964</v>
      </c>
      <c r="D377" s="6" t="str">
        <f t="shared" si="11"/>
        <v>Tuesday</v>
      </c>
      <c r="E377" s="5">
        <v>19</v>
      </c>
      <c r="F377" s="5" t="str">
        <f t="shared" si="10"/>
        <v>Gen Z</v>
      </c>
      <c r="G377" s="5" t="s">
        <v>20</v>
      </c>
      <c r="H377" s="5" t="s">
        <v>124</v>
      </c>
      <c r="I377" s="5" t="s">
        <v>70</v>
      </c>
      <c r="J377" s="5">
        <v>93.46</v>
      </c>
      <c r="K377" s="5">
        <v>4</v>
      </c>
      <c r="L377" s="5">
        <v>0</v>
      </c>
      <c r="M377" s="5">
        <v>373.84</v>
      </c>
      <c r="N377" s="5" t="s">
        <v>29</v>
      </c>
      <c r="O377" s="5" t="s">
        <v>55</v>
      </c>
      <c r="P377" s="5">
        <v>8</v>
      </c>
      <c r="Q377" s="5">
        <v>5</v>
      </c>
      <c r="R377" s="5" t="b">
        <v>0</v>
      </c>
      <c r="S377" s="5">
        <v>4</v>
      </c>
      <c r="T377" s="5">
        <v>3</v>
      </c>
    </row>
    <row r="378" spans="1:20">
      <c r="A378" s="5" t="s">
        <v>799</v>
      </c>
      <c r="B378" s="5" t="s">
        <v>800</v>
      </c>
      <c r="C378" s="6">
        <v>44964</v>
      </c>
      <c r="D378" s="6" t="str">
        <f t="shared" si="11"/>
        <v>Tuesday</v>
      </c>
      <c r="E378" s="5">
        <v>26</v>
      </c>
      <c r="F378" s="5" t="str">
        <f t="shared" si="10"/>
        <v>Millennials</v>
      </c>
      <c r="G378" s="5" t="s">
        <v>27</v>
      </c>
      <c r="H378" s="5" t="s">
        <v>28</v>
      </c>
      <c r="I378" s="5" t="s">
        <v>37</v>
      </c>
      <c r="J378" s="5">
        <v>573.1</v>
      </c>
      <c r="K378" s="5">
        <v>1</v>
      </c>
      <c r="L378" s="5">
        <v>109.05</v>
      </c>
      <c r="M378" s="5">
        <v>464.05</v>
      </c>
      <c r="N378" s="5" t="s">
        <v>49</v>
      </c>
      <c r="O378" s="5" t="s">
        <v>42</v>
      </c>
      <c r="P378" s="5">
        <v>15</v>
      </c>
      <c r="Q378" s="5">
        <v>8</v>
      </c>
      <c r="R378" s="5" t="b">
        <v>1</v>
      </c>
      <c r="S378" s="5">
        <v>10</v>
      </c>
      <c r="T378" s="5">
        <v>4</v>
      </c>
    </row>
    <row r="379" spans="1:20">
      <c r="A379" s="5" t="s">
        <v>801</v>
      </c>
      <c r="B379" s="5" t="s">
        <v>802</v>
      </c>
      <c r="C379" s="6">
        <v>44964</v>
      </c>
      <c r="D379" s="6" t="str">
        <f t="shared" si="11"/>
        <v>Tuesday</v>
      </c>
      <c r="E379" s="5">
        <v>22</v>
      </c>
      <c r="F379" s="5" t="str">
        <f t="shared" si="10"/>
        <v>Gen Z</v>
      </c>
      <c r="G379" s="5" t="s">
        <v>27</v>
      </c>
      <c r="H379" s="5" t="s">
        <v>48</v>
      </c>
      <c r="I379" s="5" t="s">
        <v>67</v>
      </c>
      <c r="J379" s="5">
        <v>62.17</v>
      </c>
      <c r="K379" s="5">
        <v>1</v>
      </c>
      <c r="L379" s="5">
        <v>0</v>
      </c>
      <c r="M379" s="5">
        <v>62.17</v>
      </c>
      <c r="N379" s="5" t="s">
        <v>23</v>
      </c>
      <c r="O379" s="5" t="s">
        <v>24</v>
      </c>
      <c r="P379" s="5">
        <v>23</v>
      </c>
      <c r="Q379" s="5">
        <v>9</v>
      </c>
      <c r="R379" s="5" t="b">
        <v>1</v>
      </c>
      <c r="S379" s="5">
        <v>8</v>
      </c>
      <c r="T379" s="5">
        <v>5</v>
      </c>
    </row>
    <row r="380" spans="1:20">
      <c r="A380" s="5" t="s">
        <v>803</v>
      </c>
      <c r="B380" s="5" t="s">
        <v>804</v>
      </c>
      <c r="C380" s="6">
        <v>44964</v>
      </c>
      <c r="D380" s="6" t="str">
        <f t="shared" si="11"/>
        <v>Tuesday</v>
      </c>
      <c r="E380" s="5">
        <v>26</v>
      </c>
      <c r="F380" s="5" t="str">
        <f t="shared" si="10"/>
        <v>Millennials</v>
      </c>
      <c r="G380" s="5" t="s">
        <v>20</v>
      </c>
      <c r="H380" s="5" t="s">
        <v>32</v>
      </c>
      <c r="I380" s="5" t="s">
        <v>54</v>
      </c>
      <c r="J380" s="5">
        <v>149</v>
      </c>
      <c r="K380" s="5">
        <v>1</v>
      </c>
      <c r="L380" s="5">
        <v>0</v>
      </c>
      <c r="M380" s="5">
        <v>149</v>
      </c>
      <c r="N380" s="5" t="s">
        <v>29</v>
      </c>
      <c r="O380" s="5" t="s">
        <v>42</v>
      </c>
      <c r="P380" s="5">
        <v>18</v>
      </c>
      <c r="Q380" s="5">
        <v>13</v>
      </c>
      <c r="R380" s="5" t="b">
        <v>0</v>
      </c>
      <c r="S380" s="5">
        <v>13</v>
      </c>
      <c r="T380" s="5">
        <v>3</v>
      </c>
    </row>
    <row r="381" spans="1:20">
      <c r="A381" s="5" t="s">
        <v>805</v>
      </c>
      <c r="B381" s="5" t="s">
        <v>806</v>
      </c>
      <c r="C381" s="6">
        <v>44964</v>
      </c>
      <c r="D381" s="6" t="str">
        <f t="shared" si="11"/>
        <v>Tuesday</v>
      </c>
      <c r="E381" s="5">
        <v>40</v>
      </c>
      <c r="F381" s="5" t="str">
        <f t="shared" si="10"/>
        <v>Millennials</v>
      </c>
      <c r="G381" s="5" t="s">
        <v>27</v>
      </c>
      <c r="H381" s="5" t="s">
        <v>48</v>
      </c>
      <c r="I381" s="5" t="s">
        <v>37</v>
      </c>
      <c r="J381" s="5">
        <v>6935.92</v>
      </c>
      <c r="K381" s="5">
        <v>1</v>
      </c>
      <c r="L381" s="5">
        <v>0</v>
      </c>
      <c r="M381" s="5">
        <v>6935.92</v>
      </c>
      <c r="N381" s="5" t="s">
        <v>29</v>
      </c>
      <c r="O381" s="5" t="s">
        <v>24</v>
      </c>
      <c r="P381" s="5">
        <v>5</v>
      </c>
      <c r="Q381" s="5">
        <v>17</v>
      </c>
      <c r="R381" s="5" t="b">
        <v>1</v>
      </c>
      <c r="S381" s="5">
        <v>6</v>
      </c>
      <c r="T381" s="5">
        <v>4</v>
      </c>
    </row>
    <row r="382" spans="1:20">
      <c r="A382" s="5" t="s">
        <v>807</v>
      </c>
      <c r="B382" s="5" t="s">
        <v>808</v>
      </c>
      <c r="C382" s="6">
        <v>44964</v>
      </c>
      <c r="D382" s="6" t="str">
        <f t="shared" si="11"/>
        <v>Tuesday</v>
      </c>
      <c r="E382" s="5">
        <v>28</v>
      </c>
      <c r="F382" s="5" t="str">
        <f t="shared" si="10"/>
        <v>Millennials</v>
      </c>
      <c r="G382" s="5" t="s">
        <v>20</v>
      </c>
      <c r="H382" s="5" t="s">
        <v>124</v>
      </c>
      <c r="I382" s="5" t="s">
        <v>67</v>
      </c>
      <c r="J382" s="5">
        <v>293.95</v>
      </c>
      <c r="K382" s="5">
        <v>1</v>
      </c>
      <c r="L382" s="5">
        <v>22.04</v>
      </c>
      <c r="M382" s="5">
        <v>271.91000000000003</v>
      </c>
      <c r="N382" s="5" t="s">
        <v>29</v>
      </c>
      <c r="O382" s="5" t="s">
        <v>55</v>
      </c>
      <c r="P382" s="5">
        <v>10</v>
      </c>
      <c r="Q382" s="5">
        <v>10</v>
      </c>
      <c r="R382" s="5" t="b">
        <v>1</v>
      </c>
      <c r="S382" s="5">
        <v>12</v>
      </c>
      <c r="T382" s="5">
        <v>5</v>
      </c>
    </row>
    <row r="383" spans="1:20">
      <c r="A383" s="5" t="s">
        <v>809</v>
      </c>
      <c r="B383" s="5" t="s">
        <v>810</v>
      </c>
      <c r="C383" s="6">
        <v>44964</v>
      </c>
      <c r="D383" s="6" t="str">
        <f t="shared" si="11"/>
        <v>Tuesday</v>
      </c>
      <c r="E383" s="5">
        <v>21</v>
      </c>
      <c r="F383" s="5" t="str">
        <f t="shared" si="10"/>
        <v>Gen Z</v>
      </c>
      <c r="G383" s="5" t="s">
        <v>27</v>
      </c>
      <c r="H383" s="5" t="s">
        <v>83</v>
      </c>
      <c r="I383" s="5" t="s">
        <v>67</v>
      </c>
      <c r="J383" s="5">
        <v>386.85</v>
      </c>
      <c r="K383" s="5">
        <v>1</v>
      </c>
      <c r="L383" s="5">
        <v>0</v>
      </c>
      <c r="M383" s="5">
        <v>386.85</v>
      </c>
      <c r="N383" s="5" t="s">
        <v>23</v>
      </c>
      <c r="O383" s="5" t="s">
        <v>24</v>
      </c>
      <c r="P383" s="5">
        <v>8</v>
      </c>
      <c r="Q383" s="5">
        <v>6</v>
      </c>
      <c r="R383" s="5" t="b">
        <v>1</v>
      </c>
      <c r="S383" s="5">
        <v>6</v>
      </c>
      <c r="T383" s="5">
        <v>3</v>
      </c>
    </row>
    <row r="384" spans="1:20">
      <c r="A384" s="5" t="s">
        <v>811</v>
      </c>
      <c r="B384" s="5" t="s">
        <v>812</v>
      </c>
      <c r="C384" s="6">
        <v>44964</v>
      </c>
      <c r="D384" s="6" t="str">
        <f t="shared" si="11"/>
        <v>Tuesday</v>
      </c>
      <c r="E384" s="5">
        <v>19</v>
      </c>
      <c r="F384" s="5" t="str">
        <f t="shared" si="10"/>
        <v>Gen Z</v>
      </c>
      <c r="G384" s="5" t="s">
        <v>20</v>
      </c>
      <c r="H384" s="5" t="s">
        <v>32</v>
      </c>
      <c r="I384" s="5" t="s">
        <v>33</v>
      </c>
      <c r="J384" s="5">
        <v>27.5</v>
      </c>
      <c r="K384" s="5">
        <v>4</v>
      </c>
      <c r="L384" s="5">
        <v>0</v>
      </c>
      <c r="M384" s="5">
        <v>110</v>
      </c>
      <c r="N384" s="5" t="s">
        <v>49</v>
      </c>
      <c r="O384" s="5" t="s">
        <v>42</v>
      </c>
      <c r="P384" s="5">
        <v>3</v>
      </c>
      <c r="Q384" s="5">
        <v>9</v>
      </c>
      <c r="R384" s="5" t="b">
        <v>1</v>
      </c>
      <c r="S384" s="5">
        <v>7</v>
      </c>
      <c r="T384" s="5">
        <v>5</v>
      </c>
    </row>
    <row r="385" spans="1:20">
      <c r="A385" s="5" t="s">
        <v>813</v>
      </c>
      <c r="B385" s="5" t="s">
        <v>814</v>
      </c>
      <c r="C385" s="6">
        <v>44965</v>
      </c>
      <c r="D385" s="6" t="str">
        <f t="shared" si="11"/>
        <v>Wednesday</v>
      </c>
      <c r="E385" s="5">
        <v>35</v>
      </c>
      <c r="F385" s="5" t="str">
        <f t="shared" si="10"/>
        <v>Millennials</v>
      </c>
      <c r="G385" s="5" t="s">
        <v>20</v>
      </c>
      <c r="H385" s="5" t="s">
        <v>36</v>
      </c>
      <c r="I385" s="5" t="s">
        <v>33</v>
      </c>
      <c r="J385" s="5">
        <v>54.27</v>
      </c>
      <c r="K385" s="5">
        <v>2</v>
      </c>
      <c r="L385" s="5">
        <v>0</v>
      </c>
      <c r="M385" s="5">
        <v>108.54</v>
      </c>
      <c r="N385" s="5" t="s">
        <v>23</v>
      </c>
      <c r="O385" s="5" t="s">
        <v>24</v>
      </c>
      <c r="P385" s="5">
        <v>6</v>
      </c>
      <c r="Q385" s="5">
        <v>4</v>
      </c>
      <c r="R385" s="5" t="b">
        <v>1</v>
      </c>
      <c r="S385" s="5">
        <v>7</v>
      </c>
      <c r="T385" s="5">
        <v>4</v>
      </c>
    </row>
    <row r="386" spans="1:20">
      <c r="A386" s="5" t="s">
        <v>815</v>
      </c>
      <c r="B386" s="5" t="s">
        <v>816</v>
      </c>
      <c r="C386" s="6">
        <v>44965</v>
      </c>
      <c r="D386" s="6" t="str">
        <f t="shared" si="11"/>
        <v>Wednesday</v>
      </c>
      <c r="E386" s="5">
        <v>23</v>
      </c>
      <c r="F386" s="5" t="str">
        <f t="shared" ref="F386:F449" si="12">IFERROR(IF(E386&lt;25, "Gen Z", IF(E386&lt;45, "Millennials", "Gen X/Boomers")),"Not Valide Age")</f>
        <v>Gen Z</v>
      </c>
      <c r="G386" s="5" t="s">
        <v>27</v>
      </c>
      <c r="H386" s="5" t="s">
        <v>36</v>
      </c>
      <c r="I386" s="5" t="s">
        <v>22</v>
      </c>
      <c r="J386" s="5">
        <v>75.739999999999995</v>
      </c>
      <c r="K386" s="5">
        <v>1</v>
      </c>
      <c r="L386" s="5">
        <v>0</v>
      </c>
      <c r="M386" s="5">
        <v>75.739999999999995</v>
      </c>
      <c r="N386" s="5" t="s">
        <v>23</v>
      </c>
      <c r="O386" s="5" t="s">
        <v>24</v>
      </c>
      <c r="P386" s="5">
        <v>22</v>
      </c>
      <c r="Q386" s="5">
        <v>5</v>
      </c>
      <c r="R386" s="5" t="b">
        <v>1</v>
      </c>
      <c r="S386" s="5">
        <v>7</v>
      </c>
      <c r="T386" s="5">
        <v>3</v>
      </c>
    </row>
    <row r="387" spans="1:20">
      <c r="A387" s="5" t="s">
        <v>817</v>
      </c>
      <c r="B387" s="5" t="s">
        <v>818</v>
      </c>
      <c r="C387" s="6">
        <v>44965</v>
      </c>
      <c r="D387" s="6" t="str">
        <f t="shared" ref="D387:D450" si="13">TEXT(C387, "dddd")</f>
        <v>Wednesday</v>
      </c>
      <c r="E387" s="5">
        <v>18</v>
      </c>
      <c r="F387" s="5" t="str">
        <f t="shared" si="12"/>
        <v>Gen Z</v>
      </c>
      <c r="G387" s="5" t="s">
        <v>27</v>
      </c>
      <c r="H387" s="5" t="s">
        <v>32</v>
      </c>
      <c r="I387" s="5" t="s">
        <v>22</v>
      </c>
      <c r="J387" s="5">
        <v>145.47</v>
      </c>
      <c r="K387" s="5">
        <v>1</v>
      </c>
      <c r="L387" s="5">
        <v>0</v>
      </c>
      <c r="M387" s="5">
        <v>145.47</v>
      </c>
      <c r="N387" s="5" t="s">
        <v>41</v>
      </c>
      <c r="O387" s="5" t="s">
        <v>55</v>
      </c>
      <c r="P387" s="5">
        <v>10</v>
      </c>
      <c r="Q387" s="5">
        <v>15</v>
      </c>
      <c r="R387" s="5" t="b">
        <v>1</v>
      </c>
      <c r="S387" s="5">
        <v>7</v>
      </c>
      <c r="T387" s="5">
        <v>4</v>
      </c>
    </row>
    <row r="388" spans="1:20">
      <c r="A388" s="5" t="s">
        <v>819</v>
      </c>
      <c r="B388" s="5" t="s">
        <v>820</v>
      </c>
      <c r="C388" s="6">
        <v>44965</v>
      </c>
      <c r="D388" s="6" t="str">
        <f t="shared" si="13"/>
        <v>Wednesday</v>
      </c>
      <c r="E388" s="5">
        <v>41</v>
      </c>
      <c r="F388" s="5" t="str">
        <f t="shared" si="12"/>
        <v>Millennials</v>
      </c>
      <c r="G388" s="5" t="s">
        <v>27</v>
      </c>
      <c r="H388" s="5" t="s">
        <v>83</v>
      </c>
      <c r="I388" s="5" t="s">
        <v>67</v>
      </c>
      <c r="J388" s="5">
        <v>252.04</v>
      </c>
      <c r="K388" s="5">
        <v>5</v>
      </c>
      <c r="L388" s="5">
        <v>0</v>
      </c>
      <c r="M388" s="5">
        <v>1260.2</v>
      </c>
      <c r="N388" s="5" t="s">
        <v>23</v>
      </c>
      <c r="O388" s="5" t="s">
        <v>24</v>
      </c>
      <c r="P388" s="5">
        <v>17</v>
      </c>
      <c r="Q388" s="5">
        <v>8</v>
      </c>
      <c r="R388" s="5" t="b">
        <v>0</v>
      </c>
      <c r="S388" s="5">
        <v>3</v>
      </c>
      <c r="T388" s="5">
        <v>4</v>
      </c>
    </row>
    <row r="389" spans="1:20">
      <c r="A389" s="5" t="s">
        <v>821</v>
      </c>
      <c r="B389" s="5" t="s">
        <v>822</v>
      </c>
      <c r="C389" s="6">
        <v>44965</v>
      </c>
      <c r="D389" s="6" t="str">
        <f t="shared" si="13"/>
        <v>Wednesday</v>
      </c>
      <c r="E389" s="5">
        <v>21</v>
      </c>
      <c r="F389" s="5" t="str">
        <f t="shared" si="12"/>
        <v>Gen Z</v>
      </c>
      <c r="G389" s="5" t="s">
        <v>27</v>
      </c>
      <c r="H389" s="5" t="s">
        <v>36</v>
      </c>
      <c r="I389" s="5" t="s">
        <v>70</v>
      </c>
      <c r="J389" s="5">
        <v>32.049999999999997</v>
      </c>
      <c r="K389" s="5">
        <v>1</v>
      </c>
      <c r="L389" s="5">
        <v>0</v>
      </c>
      <c r="M389" s="5">
        <v>32.049999999999997</v>
      </c>
      <c r="N389" s="5" t="s">
        <v>23</v>
      </c>
      <c r="O389" s="5" t="s">
        <v>42</v>
      </c>
      <c r="P389" s="5">
        <v>7</v>
      </c>
      <c r="Q389" s="5">
        <v>7</v>
      </c>
      <c r="R389" s="5" t="b">
        <v>0</v>
      </c>
      <c r="S389" s="5">
        <v>12</v>
      </c>
      <c r="T389" s="5">
        <v>4</v>
      </c>
    </row>
    <row r="390" spans="1:20">
      <c r="A390" s="5" t="s">
        <v>823</v>
      </c>
      <c r="B390" s="5" t="s">
        <v>824</v>
      </c>
      <c r="C390" s="6">
        <v>44965</v>
      </c>
      <c r="D390" s="6" t="str">
        <f t="shared" si="13"/>
        <v>Wednesday</v>
      </c>
      <c r="E390" s="5">
        <v>37</v>
      </c>
      <c r="F390" s="5" t="str">
        <f t="shared" si="12"/>
        <v>Millennials</v>
      </c>
      <c r="G390" s="5" t="s">
        <v>27</v>
      </c>
      <c r="H390" s="5" t="s">
        <v>36</v>
      </c>
      <c r="I390" s="5" t="s">
        <v>33</v>
      </c>
      <c r="J390" s="5">
        <v>18.84</v>
      </c>
      <c r="K390" s="5">
        <v>4</v>
      </c>
      <c r="L390" s="5">
        <v>0</v>
      </c>
      <c r="M390" s="5">
        <v>75.36</v>
      </c>
      <c r="N390" s="5" t="s">
        <v>99</v>
      </c>
      <c r="O390" s="5" t="s">
        <v>42</v>
      </c>
      <c r="P390" s="5">
        <v>12</v>
      </c>
      <c r="Q390" s="5">
        <v>10</v>
      </c>
      <c r="R390" s="5" t="b">
        <v>1</v>
      </c>
      <c r="S390" s="5">
        <v>3</v>
      </c>
      <c r="T390" s="5">
        <v>4</v>
      </c>
    </row>
    <row r="391" spans="1:20">
      <c r="A391" s="5" t="s">
        <v>825</v>
      </c>
      <c r="B391" s="5" t="s">
        <v>826</v>
      </c>
      <c r="C391" s="6">
        <v>44965</v>
      </c>
      <c r="D391" s="6" t="str">
        <f t="shared" si="13"/>
        <v>Wednesday</v>
      </c>
      <c r="E391" s="5">
        <v>46</v>
      </c>
      <c r="F391" s="5" t="str">
        <f t="shared" si="12"/>
        <v>Gen X/Boomers</v>
      </c>
      <c r="G391" s="5" t="s">
        <v>27</v>
      </c>
      <c r="H391" s="5" t="s">
        <v>21</v>
      </c>
      <c r="I391" s="5" t="s">
        <v>54</v>
      </c>
      <c r="J391" s="5">
        <v>103.15</v>
      </c>
      <c r="K391" s="5">
        <v>1</v>
      </c>
      <c r="L391" s="5">
        <v>0</v>
      </c>
      <c r="M391" s="5">
        <v>103.15</v>
      </c>
      <c r="N391" s="5" t="s">
        <v>29</v>
      </c>
      <c r="O391" s="5" t="s">
        <v>42</v>
      </c>
      <c r="P391" s="5">
        <v>16</v>
      </c>
      <c r="Q391" s="5">
        <v>7</v>
      </c>
      <c r="R391" s="5" t="b">
        <v>1</v>
      </c>
      <c r="S391" s="5">
        <v>8</v>
      </c>
      <c r="T391" s="5">
        <v>2</v>
      </c>
    </row>
    <row r="392" spans="1:20">
      <c r="A392" s="5" t="s">
        <v>827</v>
      </c>
      <c r="B392" s="5" t="s">
        <v>828</v>
      </c>
      <c r="C392" s="6">
        <v>44965</v>
      </c>
      <c r="D392" s="6" t="str">
        <f t="shared" si="13"/>
        <v>Wednesday</v>
      </c>
      <c r="E392" s="5">
        <v>18</v>
      </c>
      <c r="F392" s="5" t="str">
        <f t="shared" si="12"/>
        <v>Gen Z</v>
      </c>
      <c r="G392" s="5" t="s">
        <v>27</v>
      </c>
      <c r="H392" s="5" t="s">
        <v>32</v>
      </c>
      <c r="I392" s="5" t="s">
        <v>40</v>
      </c>
      <c r="J392" s="5">
        <v>893.98</v>
      </c>
      <c r="K392" s="5">
        <v>2</v>
      </c>
      <c r="L392" s="5">
        <v>98.59</v>
      </c>
      <c r="M392" s="5">
        <v>1689.37</v>
      </c>
      <c r="N392" s="5" t="s">
        <v>29</v>
      </c>
      <c r="O392" s="5" t="s">
        <v>24</v>
      </c>
      <c r="P392" s="5">
        <v>39</v>
      </c>
      <c r="Q392" s="5">
        <v>12</v>
      </c>
      <c r="R392" s="5" t="b">
        <v>1</v>
      </c>
      <c r="S392" s="5">
        <v>8</v>
      </c>
      <c r="T392" s="5">
        <v>4</v>
      </c>
    </row>
    <row r="393" spans="1:20">
      <c r="A393" s="5" t="s">
        <v>829</v>
      </c>
      <c r="B393" s="5" t="s">
        <v>830</v>
      </c>
      <c r="C393" s="6">
        <v>44965</v>
      </c>
      <c r="D393" s="6" t="str">
        <f t="shared" si="13"/>
        <v>Wednesday</v>
      </c>
      <c r="E393" s="5">
        <v>38</v>
      </c>
      <c r="F393" s="5" t="str">
        <f t="shared" si="12"/>
        <v>Millennials</v>
      </c>
      <c r="G393" s="5" t="s">
        <v>20</v>
      </c>
      <c r="H393" s="5" t="s">
        <v>124</v>
      </c>
      <c r="I393" s="5" t="s">
        <v>22</v>
      </c>
      <c r="J393" s="5">
        <v>116.84</v>
      </c>
      <c r="K393" s="5">
        <v>1</v>
      </c>
      <c r="L393" s="5">
        <v>0</v>
      </c>
      <c r="M393" s="5">
        <v>116.84</v>
      </c>
      <c r="N393" s="5" t="s">
        <v>23</v>
      </c>
      <c r="O393" s="5" t="s">
        <v>55</v>
      </c>
      <c r="P393" s="5">
        <v>32</v>
      </c>
      <c r="Q393" s="5">
        <v>6</v>
      </c>
      <c r="R393" s="5" t="b">
        <v>1</v>
      </c>
      <c r="S393" s="5">
        <v>3</v>
      </c>
      <c r="T393" s="5">
        <v>5</v>
      </c>
    </row>
    <row r="394" spans="1:20">
      <c r="A394" s="5" t="s">
        <v>831</v>
      </c>
      <c r="B394" s="5" t="s">
        <v>832</v>
      </c>
      <c r="C394" s="6">
        <v>44965</v>
      </c>
      <c r="D394" s="6" t="str">
        <f t="shared" si="13"/>
        <v>Wednesday</v>
      </c>
      <c r="E394" s="5">
        <v>47</v>
      </c>
      <c r="F394" s="5" t="str">
        <f t="shared" si="12"/>
        <v>Gen X/Boomers</v>
      </c>
      <c r="G394" s="5" t="s">
        <v>20</v>
      </c>
      <c r="H394" s="5" t="s">
        <v>36</v>
      </c>
      <c r="I394" s="5" t="s">
        <v>37</v>
      </c>
      <c r="J394" s="5">
        <v>2784.25</v>
      </c>
      <c r="K394" s="5">
        <v>3</v>
      </c>
      <c r="L394" s="5">
        <v>0</v>
      </c>
      <c r="M394" s="5">
        <v>8352.75</v>
      </c>
      <c r="N394" s="5" t="s">
        <v>23</v>
      </c>
      <c r="O394" s="5" t="s">
        <v>24</v>
      </c>
      <c r="P394" s="5">
        <v>3</v>
      </c>
      <c r="Q394" s="5">
        <v>10</v>
      </c>
      <c r="R394" s="5" t="b">
        <v>0</v>
      </c>
      <c r="S394" s="5">
        <v>6</v>
      </c>
      <c r="T394" s="5">
        <v>4</v>
      </c>
    </row>
    <row r="395" spans="1:20">
      <c r="A395" s="5" t="s">
        <v>833</v>
      </c>
      <c r="B395" s="5" t="s">
        <v>834</v>
      </c>
      <c r="C395" s="6">
        <v>44965</v>
      </c>
      <c r="D395" s="6" t="str">
        <f t="shared" si="13"/>
        <v>Wednesday</v>
      </c>
      <c r="E395" s="5">
        <v>30</v>
      </c>
      <c r="F395" s="5" t="str">
        <f t="shared" si="12"/>
        <v>Millennials</v>
      </c>
      <c r="G395" s="5" t="s">
        <v>20</v>
      </c>
      <c r="H395" s="5" t="s">
        <v>48</v>
      </c>
      <c r="I395" s="5" t="s">
        <v>67</v>
      </c>
      <c r="J395" s="5">
        <v>996.79</v>
      </c>
      <c r="K395" s="5">
        <v>1</v>
      </c>
      <c r="L395" s="5">
        <v>0</v>
      </c>
      <c r="M395" s="5">
        <v>996.79</v>
      </c>
      <c r="N395" s="5" t="s">
        <v>29</v>
      </c>
      <c r="O395" s="5" t="s">
        <v>24</v>
      </c>
      <c r="P395" s="5">
        <v>5</v>
      </c>
      <c r="Q395" s="5">
        <v>9</v>
      </c>
      <c r="R395" s="5" t="b">
        <v>1</v>
      </c>
      <c r="S395" s="5">
        <v>8</v>
      </c>
      <c r="T395" s="5">
        <v>5</v>
      </c>
    </row>
    <row r="396" spans="1:20">
      <c r="A396" s="5" t="s">
        <v>835</v>
      </c>
      <c r="B396" s="5" t="s">
        <v>836</v>
      </c>
      <c r="C396" s="6">
        <v>44965</v>
      </c>
      <c r="D396" s="6" t="str">
        <f t="shared" si="13"/>
        <v>Wednesday</v>
      </c>
      <c r="E396" s="5">
        <v>49</v>
      </c>
      <c r="F396" s="5" t="str">
        <f t="shared" si="12"/>
        <v>Gen X/Boomers</v>
      </c>
      <c r="G396" s="5" t="s">
        <v>20</v>
      </c>
      <c r="H396" s="5" t="s">
        <v>21</v>
      </c>
      <c r="I396" s="5" t="s">
        <v>67</v>
      </c>
      <c r="J396" s="5">
        <v>307.12</v>
      </c>
      <c r="K396" s="5">
        <v>1</v>
      </c>
      <c r="L396" s="5">
        <v>0</v>
      </c>
      <c r="M396" s="5">
        <v>307.12</v>
      </c>
      <c r="N396" s="5" t="s">
        <v>49</v>
      </c>
      <c r="O396" s="5" t="s">
        <v>24</v>
      </c>
      <c r="P396" s="5">
        <v>13</v>
      </c>
      <c r="Q396" s="5">
        <v>8</v>
      </c>
      <c r="R396" s="5" t="b">
        <v>0</v>
      </c>
      <c r="S396" s="5">
        <v>4</v>
      </c>
      <c r="T396" s="5">
        <v>4</v>
      </c>
    </row>
    <row r="397" spans="1:20">
      <c r="A397" s="5" t="s">
        <v>837</v>
      </c>
      <c r="B397" s="5" t="s">
        <v>838</v>
      </c>
      <c r="C397" s="6">
        <v>44965</v>
      </c>
      <c r="D397" s="6" t="str">
        <f t="shared" si="13"/>
        <v>Wednesday</v>
      </c>
      <c r="E397" s="5">
        <v>33</v>
      </c>
      <c r="F397" s="5" t="str">
        <f t="shared" si="12"/>
        <v>Millennials</v>
      </c>
      <c r="G397" s="5" t="s">
        <v>27</v>
      </c>
      <c r="H397" s="5" t="s">
        <v>178</v>
      </c>
      <c r="I397" s="5" t="s">
        <v>22</v>
      </c>
      <c r="J397" s="5">
        <v>197.36</v>
      </c>
      <c r="K397" s="5">
        <v>1</v>
      </c>
      <c r="L397" s="5">
        <v>0</v>
      </c>
      <c r="M397" s="5">
        <v>197.36</v>
      </c>
      <c r="N397" s="5" t="s">
        <v>29</v>
      </c>
      <c r="O397" s="5" t="s">
        <v>42</v>
      </c>
      <c r="P397" s="5">
        <v>31</v>
      </c>
      <c r="Q397" s="5">
        <v>5</v>
      </c>
      <c r="R397" s="5" t="b">
        <v>1</v>
      </c>
      <c r="S397" s="5">
        <v>11</v>
      </c>
      <c r="T397" s="5">
        <v>3</v>
      </c>
    </row>
    <row r="398" spans="1:20">
      <c r="A398" s="5" t="s">
        <v>839</v>
      </c>
      <c r="B398" s="5" t="s">
        <v>840</v>
      </c>
      <c r="C398" s="6">
        <v>44965</v>
      </c>
      <c r="D398" s="6" t="str">
        <f t="shared" si="13"/>
        <v>Wednesday</v>
      </c>
      <c r="E398" s="5">
        <v>54</v>
      </c>
      <c r="F398" s="5" t="str">
        <f t="shared" si="12"/>
        <v>Gen X/Boomers</v>
      </c>
      <c r="G398" s="5" t="s">
        <v>27</v>
      </c>
      <c r="H398" s="5" t="s">
        <v>178</v>
      </c>
      <c r="I398" s="5" t="s">
        <v>37</v>
      </c>
      <c r="J398" s="5">
        <v>4038.5</v>
      </c>
      <c r="K398" s="5">
        <v>1</v>
      </c>
      <c r="L398" s="5">
        <v>0</v>
      </c>
      <c r="M398" s="5">
        <v>4038.5</v>
      </c>
      <c r="N398" s="5" t="s">
        <v>29</v>
      </c>
      <c r="O398" s="5" t="s">
        <v>24</v>
      </c>
      <c r="P398" s="5">
        <v>10</v>
      </c>
      <c r="Q398" s="5">
        <v>8</v>
      </c>
      <c r="R398" s="5" t="b">
        <v>0</v>
      </c>
      <c r="S398" s="5">
        <v>7</v>
      </c>
      <c r="T398" s="5">
        <v>4</v>
      </c>
    </row>
    <row r="399" spans="1:20">
      <c r="A399" s="5" t="s">
        <v>841</v>
      </c>
      <c r="B399" s="5" t="s">
        <v>842</v>
      </c>
      <c r="C399" s="6">
        <v>44966</v>
      </c>
      <c r="D399" s="6" t="str">
        <f t="shared" si="13"/>
        <v>Thursday</v>
      </c>
      <c r="E399" s="5">
        <v>41</v>
      </c>
      <c r="F399" s="5" t="str">
        <f t="shared" si="12"/>
        <v>Millennials</v>
      </c>
      <c r="G399" s="5" t="s">
        <v>20</v>
      </c>
      <c r="H399" s="5" t="s">
        <v>36</v>
      </c>
      <c r="I399" s="5" t="s">
        <v>37</v>
      </c>
      <c r="J399" s="5">
        <v>533.51</v>
      </c>
      <c r="K399" s="5">
        <v>2</v>
      </c>
      <c r="L399" s="5">
        <v>91.38</v>
      </c>
      <c r="M399" s="5">
        <v>975.64</v>
      </c>
      <c r="N399" s="5" t="s">
        <v>23</v>
      </c>
      <c r="O399" s="5" t="s">
        <v>42</v>
      </c>
      <c r="P399" s="5">
        <v>5</v>
      </c>
      <c r="Q399" s="5">
        <v>7</v>
      </c>
      <c r="R399" s="5" t="b">
        <v>1</v>
      </c>
      <c r="S399" s="5">
        <v>5</v>
      </c>
      <c r="T399" s="5">
        <v>1</v>
      </c>
    </row>
    <row r="400" spans="1:20">
      <c r="A400" s="5" t="s">
        <v>843</v>
      </c>
      <c r="B400" s="5" t="s">
        <v>844</v>
      </c>
      <c r="C400" s="6">
        <v>44966</v>
      </c>
      <c r="D400" s="6" t="str">
        <f t="shared" si="13"/>
        <v>Thursday</v>
      </c>
      <c r="E400" s="5">
        <v>32</v>
      </c>
      <c r="F400" s="5" t="str">
        <f t="shared" si="12"/>
        <v>Millennials</v>
      </c>
      <c r="G400" s="5" t="s">
        <v>27</v>
      </c>
      <c r="H400" s="5" t="s">
        <v>83</v>
      </c>
      <c r="I400" s="5" t="s">
        <v>40</v>
      </c>
      <c r="J400" s="5">
        <v>174.85</v>
      </c>
      <c r="K400" s="5">
        <v>1</v>
      </c>
      <c r="L400" s="5">
        <v>0</v>
      </c>
      <c r="M400" s="5">
        <v>174.85</v>
      </c>
      <c r="N400" s="5" t="s">
        <v>29</v>
      </c>
      <c r="O400" s="5" t="s">
        <v>24</v>
      </c>
      <c r="P400" s="5">
        <v>29</v>
      </c>
      <c r="Q400" s="5">
        <v>13</v>
      </c>
      <c r="R400" s="5" t="b">
        <v>1</v>
      </c>
      <c r="S400" s="5">
        <v>10</v>
      </c>
      <c r="T400" s="5">
        <v>5</v>
      </c>
    </row>
    <row r="401" spans="1:20">
      <c r="A401" s="5" t="s">
        <v>845</v>
      </c>
      <c r="B401" s="5" t="s">
        <v>846</v>
      </c>
      <c r="C401" s="6">
        <v>44966</v>
      </c>
      <c r="D401" s="6" t="str">
        <f t="shared" si="13"/>
        <v>Thursday</v>
      </c>
      <c r="E401" s="5">
        <v>18</v>
      </c>
      <c r="F401" s="5" t="str">
        <f t="shared" si="12"/>
        <v>Gen Z</v>
      </c>
      <c r="G401" s="5" t="s">
        <v>20</v>
      </c>
      <c r="H401" s="5" t="s">
        <v>32</v>
      </c>
      <c r="I401" s="5" t="s">
        <v>45</v>
      </c>
      <c r="J401" s="5">
        <v>93.74</v>
      </c>
      <c r="K401" s="5">
        <v>3</v>
      </c>
      <c r="L401" s="5">
        <v>22.02</v>
      </c>
      <c r="M401" s="5">
        <v>259.2</v>
      </c>
      <c r="N401" s="5" t="s">
        <v>29</v>
      </c>
      <c r="O401" s="5" t="s">
        <v>55</v>
      </c>
      <c r="P401" s="5">
        <v>10</v>
      </c>
      <c r="Q401" s="5">
        <v>7</v>
      </c>
      <c r="R401" s="5" t="b">
        <v>1</v>
      </c>
      <c r="S401" s="5">
        <v>2</v>
      </c>
      <c r="T401" s="5">
        <v>5</v>
      </c>
    </row>
    <row r="402" spans="1:20">
      <c r="A402" s="5" t="s">
        <v>847</v>
      </c>
      <c r="B402" s="5" t="s">
        <v>848</v>
      </c>
      <c r="C402" s="6">
        <v>44966</v>
      </c>
      <c r="D402" s="6" t="str">
        <f t="shared" si="13"/>
        <v>Thursday</v>
      </c>
      <c r="E402" s="5">
        <v>45</v>
      </c>
      <c r="F402" s="5" t="str">
        <f t="shared" si="12"/>
        <v>Gen X/Boomers</v>
      </c>
      <c r="G402" s="5" t="s">
        <v>27</v>
      </c>
      <c r="H402" s="5" t="s">
        <v>28</v>
      </c>
      <c r="I402" s="5" t="s">
        <v>54</v>
      </c>
      <c r="J402" s="5">
        <v>1800.31</v>
      </c>
      <c r="K402" s="5">
        <v>1</v>
      </c>
      <c r="L402" s="5">
        <v>389.99</v>
      </c>
      <c r="M402" s="5">
        <v>1410.32</v>
      </c>
      <c r="N402" s="5" t="s">
        <v>29</v>
      </c>
      <c r="O402" s="5" t="s">
        <v>42</v>
      </c>
      <c r="P402" s="5">
        <v>19</v>
      </c>
      <c r="Q402" s="5">
        <v>12</v>
      </c>
      <c r="R402" s="5" t="b">
        <v>1</v>
      </c>
      <c r="S402" s="5">
        <v>11</v>
      </c>
      <c r="T402" s="5">
        <v>5</v>
      </c>
    </row>
    <row r="403" spans="1:20">
      <c r="A403" s="5" t="s">
        <v>849</v>
      </c>
      <c r="B403" s="5" t="s">
        <v>850</v>
      </c>
      <c r="C403" s="6">
        <v>44966</v>
      </c>
      <c r="D403" s="6" t="str">
        <f t="shared" si="13"/>
        <v>Thursday</v>
      </c>
      <c r="E403" s="5">
        <v>54</v>
      </c>
      <c r="F403" s="5" t="str">
        <f t="shared" si="12"/>
        <v>Gen X/Boomers</v>
      </c>
      <c r="G403" s="5" t="s">
        <v>20</v>
      </c>
      <c r="H403" s="5" t="s">
        <v>36</v>
      </c>
      <c r="I403" s="5" t="s">
        <v>37</v>
      </c>
      <c r="J403" s="5">
        <v>2946.39</v>
      </c>
      <c r="K403" s="5">
        <v>5</v>
      </c>
      <c r="L403" s="5">
        <v>0</v>
      </c>
      <c r="M403" s="5">
        <v>14731.95</v>
      </c>
      <c r="N403" s="5" t="s">
        <v>99</v>
      </c>
      <c r="O403" s="5" t="s">
        <v>24</v>
      </c>
      <c r="P403" s="5">
        <v>17</v>
      </c>
      <c r="Q403" s="5">
        <v>9</v>
      </c>
      <c r="R403" s="5" t="b">
        <v>1</v>
      </c>
      <c r="S403" s="5">
        <v>2</v>
      </c>
      <c r="T403" s="5">
        <v>5</v>
      </c>
    </row>
    <row r="404" spans="1:20">
      <c r="A404" s="5" t="s">
        <v>851</v>
      </c>
      <c r="B404" s="5" t="s">
        <v>852</v>
      </c>
      <c r="C404" s="6">
        <v>44966</v>
      </c>
      <c r="D404" s="6" t="str">
        <f t="shared" si="13"/>
        <v>Thursday</v>
      </c>
      <c r="E404" s="5">
        <v>48</v>
      </c>
      <c r="F404" s="5" t="str">
        <f t="shared" si="12"/>
        <v>Gen X/Boomers</v>
      </c>
      <c r="G404" s="5" t="s">
        <v>27</v>
      </c>
      <c r="H404" s="5" t="s">
        <v>48</v>
      </c>
      <c r="I404" s="5" t="s">
        <v>22</v>
      </c>
      <c r="J404" s="5">
        <v>233.19</v>
      </c>
      <c r="K404" s="5">
        <v>1</v>
      </c>
      <c r="L404" s="5">
        <v>49.83</v>
      </c>
      <c r="M404" s="5">
        <v>183.36</v>
      </c>
      <c r="N404" s="5" t="s">
        <v>23</v>
      </c>
      <c r="O404" s="5" t="s">
        <v>24</v>
      </c>
      <c r="P404" s="5">
        <v>9</v>
      </c>
      <c r="Q404" s="5">
        <v>10</v>
      </c>
      <c r="R404" s="5" t="b">
        <v>1</v>
      </c>
      <c r="S404" s="5">
        <v>4</v>
      </c>
      <c r="T404" s="5">
        <v>2</v>
      </c>
    </row>
    <row r="405" spans="1:20">
      <c r="A405" s="5" t="s">
        <v>853</v>
      </c>
      <c r="B405" s="5" t="s">
        <v>854</v>
      </c>
      <c r="C405" s="6">
        <v>44966</v>
      </c>
      <c r="D405" s="6" t="str">
        <f t="shared" si="13"/>
        <v>Thursday</v>
      </c>
      <c r="E405" s="5">
        <v>18</v>
      </c>
      <c r="F405" s="5" t="str">
        <f t="shared" si="12"/>
        <v>Gen Z</v>
      </c>
      <c r="G405" s="5" t="s">
        <v>27</v>
      </c>
      <c r="H405" s="5" t="s">
        <v>28</v>
      </c>
      <c r="I405" s="5" t="s">
        <v>54</v>
      </c>
      <c r="J405" s="5">
        <v>515.04999999999995</v>
      </c>
      <c r="K405" s="5">
        <v>2</v>
      </c>
      <c r="L405" s="5">
        <v>0</v>
      </c>
      <c r="M405" s="5">
        <v>1030.0999999999999</v>
      </c>
      <c r="N405" s="5" t="s">
        <v>23</v>
      </c>
      <c r="O405" s="5" t="s">
        <v>24</v>
      </c>
      <c r="P405" s="5">
        <v>26</v>
      </c>
      <c r="Q405" s="5">
        <v>10</v>
      </c>
      <c r="R405" s="5" t="b">
        <v>0</v>
      </c>
      <c r="S405" s="5">
        <v>5</v>
      </c>
      <c r="T405" s="5">
        <v>3</v>
      </c>
    </row>
    <row r="406" spans="1:20">
      <c r="A406" s="5" t="s">
        <v>855</v>
      </c>
      <c r="B406" s="5" t="s">
        <v>856</v>
      </c>
      <c r="C406" s="6">
        <v>44966</v>
      </c>
      <c r="D406" s="6" t="str">
        <f t="shared" si="13"/>
        <v>Thursday</v>
      </c>
      <c r="E406" s="5">
        <v>42</v>
      </c>
      <c r="F406" s="5" t="str">
        <f t="shared" si="12"/>
        <v>Millennials</v>
      </c>
      <c r="G406" s="5" t="s">
        <v>27</v>
      </c>
      <c r="H406" s="5" t="s">
        <v>32</v>
      </c>
      <c r="I406" s="5" t="s">
        <v>37</v>
      </c>
      <c r="J406" s="5">
        <v>1066.72</v>
      </c>
      <c r="K406" s="5">
        <v>4</v>
      </c>
      <c r="L406" s="5">
        <v>194.99</v>
      </c>
      <c r="M406" s="5">
        <v>4071.89</v>
      </c>
      <c r="N406" s="5" t="s">
        <v>29</v>
      </c>
      <c r="O406" s="5" t="s">
        <v>24</v>
      </c>
      <c r="P406" s="5">
        <v>42</v>
      </c>
      <c r="Q406" s="5">
        <v>9</v>
      </c>
      <c r="R406" s="5" t="b">
        <v>0</v>
      </c>
      <c r="S406" s="5">
        <v>9</v>
      </c>
      <c r="T406" s="5">
        <v>5</v>
      </c>
    </row>
    <row r="407" spans="1:20">
      <c r="A407" s="5" t="s">
        <v>857</v>
      </c>
      <c r="B407" s="5" t="s">
        <v>858</v>
      </c>
      <c r="C407" s="6">
        <v>44966</v>
      </c>
      <c r="D407" s="6" t="str">
        <f t="shared" si="13"/>
        <v>Thursday</v>
      </c>
      <c r="E407" s="5">
        <v>37</v>
      </c>
      <c r="F407" s="5" t="str">
        <f t="shared" si="12"/>
        <v>Millennials</v>
      </c>
      <c r="G407" s="5" t="s">
        <v>20</v>
      </c>
      <c r="H407" s="5" t="s">
        <v>83</v>
      </c>
      <c r="I407" s="5" t="s">
        <v>54</v>
      </c>
      <c r="J407" s="5">
        <v>281.75</v>
      </c>
      <c r="K407" s="5">
        <v>3</v>
      </c>
      <c r="L407" s="5">
        <v>36.61</v>
      </c>
      <c r="M407" s="5">
        <v>808.64</v>
      </c>
      <c r="N407" s="5" t="s">
        <v>23</v>
      </c>
      <c r="O407" s="5" t="s">
        <v>42</v>
      </c>
      <c r="P407" s="5">
        <v>11</v>
      </c>
      <c r="Q407" s="5">
        <v>6</v>
      </c>
      <c r="R407" s="5" t="b">
        <v>0</v>
      </c>
      <c r="S407" s="5">
        <v>7</v>
      </c>
      <c r="T407" s="5">
        <v>4</v>
      </c>
    </row>
    <row r="408" spans="1:20">
      <c r="A408" s="5" t="s">
        <v>859</v>
      </c>
      <c r="B408" s="5" t="s">
        <v>860</v>
      </c>
      <c r="C408" s="6">
        <v>44966</v>
      </c>
      <c r="D408" s="6" t="str">
        <f t="shared" si="13"/>
        <v>Thursday</v>
      </c>
      <c r="E408" s="5">
        <v>39</v>
      </c>
      <c r="F408" s="5" t="str">
        <f t="shared" si="12"/>
        <v>Millennials</v>
      </c>
      <c r="G408" s="5" t="s">
        <v>27</v>
      </c>
      <c r="H408" s="5" t="s">
        <v>88</v>
      </c>
      <c r="I408" s="5" t="s">
        <v>67</v>
      </c>
      <c r="J408" s="5">
        <v>399.21</v>
      </c>
      <c r="K408" s="5">
        <v>1</v>
      </c>
      <c r="L408" s="5">
        <v>95.49</v>
      </c>
      <c r="M408" s="5">
        <v>303.72000000000003</v>
      </c>
      <c r="N408" s="5" t="s">
        <v>29</v>
      </c>
      <c r="O408" s="5" t="s">
        <v>24</v>
      </c>
      <c r="P408" s="5">
        <v>20</v>
      </c>
      <c r="Q408" s="5">
        <v>6</v>
      </c>
      <c r="R408" s="5" t="b">
        <v>1</v>
      </c>
      <c r="S408" s="5">
        <v>7</v>
      </c>
      <c r="T408" s="5">
        <v>5</v>
      </c>
    </row>
    <row r="409" spans="1:20">
      <c r="A409" s="5" t="s">
        <v>861</v>
      </c>
      <c r="B409" s="5" t="s">
        <v>862</v>
      </c>
      <c r="C409" s="6">
        <v>44966</v>
      </c>
      <c r="D409" s="6" t="str">
        <f t="shared" si="13"/>
        <v>Thursday</v>
      </c>
      <c r="E409" s="5">
        <v>18</v>
      </c>
      <c r="F409" s="5" t="str">
        <f t="shared" si="12"/>
        <v>Gen Z</v>
      </c>
      <c r="G409" s="5" t="s">
        <v>27</v>
      </c>
      <c r="H409" s="5" t="s">
        <v>36</v>
      </c>
      <c r="I409" s="5" t="s">
        <v>22</v>
      </c>
      <c r="J409" s="5">
        <v>153.62</v>
      </c>
      <c r="K409" s="5">
        <v>1</v>
      </c>
      <c r="L409" s="5">
        <v>22.07</v>
      </c>
      <c r="M409" s="5">
        <v>131.55000000000001</v>
      </c>
      <c r="N409" s="5" t="s">
        <v>23</v>
      </c>
      <c r="O409" s="5" t="s">
        <v>24</v>
      </c>
      <c r="P409" s="5">
        <v>8</v>
      </c>
      <c r="Q409" s="5">
        <v>12</v>
      </c>
      <c r="R409" s="5" t="b">
        <v>0</v>
      </c>
      <c r="S409" s="5">
        <v>5</v>
      </c>
      <c r="T409" s="5">
        <v>5</v>
      </c>
    </row>
    <row r="410" spans="1:20">
      <c r="A410" s="5" t="s">
        <v>863</v>
      </c>
      <c r="B410" s="5" t="s">
        <v>864</v>
      </c>
      <c r="C410" s="6">
        <v>44966</v>
      </c>
      <c r="D410" s="6" t="str">
        <f t="shared" si="13"/>
        <v>Thursday</v>
      </c>
      <c r="E410" s="5">
        <v>34</v>
      </c>
      <c r="F410" s="5" t="str">
        <f t="shared" si="12"/>
        <v>Millennials</v>
      </c>
      <c r="G410" s="5" t="s">
        <v>27</v>
      </c>
      <c r="H410" s="5" t="s">
        <v>21</v>
      </c>
      <c r="I410" s="5" t="s">
        <v>45</v>
      </c>
      <c r="J410" s="5">
        <v>39.61</v>
      </c>
      <c r="K410" s="5">
        <v>1</v>
      </c>
      <c r="L410" s="5">
        <v>8.9</v>
      </c>
      <c r="M410" s="5">
        <v>30.71</v>
      </c>
      <c r="N410" s="5" t="s">
        <v>29</v>
      </c>
      <c r="O410" s="5" t="s">
        <v>42</v>
      </c>
      <c r="P410" s="5">
        <v>15</v>
      </c>
      <c r="Q410" s="5">
        <v>10</v>
      </c>
      <c r="R410" s="5" t="b">
        <v>0</v>
      </c>
      <c r="S410" s="5">
        <v>4</v>
      </c>
      <c r="T410" s="5">
        <v>4</v>
      </c>
    </row>
    <row r="411" spans="1:20">
      <c r="A411" s="5" t="s">
        <v>865</v>
      </c>
      <c r="B411" s="5" t="s">
        <v>866</v>
      </c>
      <c r="C411" s="6">
        <v>44967</v>
      </c>
      <c r="D411" s="6" t="str">
        <f t="shared" si="13"/>
        <v>Friday</v>
      </c>
      <c r="E411" s="5">
        <v>38</v>
      </c>
      <c r="F411" s="5" t="str">
        <f t="shared" si="12"/>
        <v>Millennials</v>
      </c>
      <c r="G411" s="5" t="s">
        <v>20</v>
      </c>
      <c r="H411" s="5" t="s">
        <v>48</v>
      </c>
      <c r="I411" s="5" t="s">
        <v>54</v>
      </c>
      <c r="J411" s="5">
        <v>324.73</v>
      </c>
      <c r="K411" s="5">
        <v>1</v>
      </c>
      <c r="L411" s="5">
        <v>77.17</v>
      </c>
      <c r="M411" s="5">
        <v>247.56</v>
      </c>
      <c r="N411" s="5" t="s">
        <v>29</v>
      </c>
      <c r="O411" s="5" t="s">
        <v>24</v>
      </c>
      <c r="P411" s="5">
        <v>5</v>
      </c>
      <c r="Q411" s="5">
        <v>8</v>
      </c>
      <c r="R411" s="5" t="b">
        <v>0</v>
      </c>
      <c r="S411" s="5">
        <v>2</v>
      </c>
      <c r="T411" s="5">
        <v>5</v>
      </c>
    </row>
    <row r="412" spans="1:20">
      <c r="A412" s="5" t="s">
        <v>867</v>
      </c>
      <c r="B412" s="5" t="s">
        <v>868</v>
      </c>
      <c r="C412" s="6">
        <v>44967</v>
      </c>
      <c r="D412" s="6" t="str">
        <f t="shared" si="13"/>
        <v>Friday</v>
      </c>
      <c r="E412" s="5">
        <v>18</v>
      </c>
      <c r="F412" s="5" t="str">
        <f t="shared" si="12"/>
        <v>Gen Z</v>
      </c>
      <c r="G412" s="5" t="s">
        <v>20</v>
      </c>
      <c r="H412" s="5" t="s">
        <v>28</v>
      </c>
      <c r="I412" s="5" t="s">
        <v>33</v>
      </c>
      <c r="J412" s="5">
        <v>60.32</v>
      </c>
      <c r="K412" s="5">
        <v>2</v>
      </c>
      <c r="L412" s="5">
        <v>0</v>
      </c>
      <c r="M412" s="5">
        <v>120.64</v>
      </c>
      <c r="N412" s="5" t="s">
        <v>49</v>
      </c>
      <c r="O412" s="5" t="s">
        <v>42</v>
      </c>
      <c r="P412" s="5">
        <v>13</v>
      </c>
      <c r="Q412" s="5">
        <v>12</v>
      </c>
      <c r="R412" s="5" t="b">
        <v>1</v>
      </c>
      <c r="S412" s="5">
        <v>3</v>
      </c>
      <c r="T412" s="5">
        <v>4</v>
      </c>
    </row>
    <row r="413" spans="1:20">
      <c r="A413" s="5" t="s">
        <v>869</v>
      </c>
      <c r="B413" s="5" t="s">
        <v>870</v>
      </c>
      <c r="C413" s="6">
        <v>44967</v>
      </c>
      <c r="D413" s="6" t="str">
        <f t="shared" si="13"/>
        <v>Friday</v>
      </c>
      <c r="E413" s="5">
        <v>43</v>
      </c>
      <c r="F413" s="5" t="str">
        <f t="shared" si="12"/>
        <v>Millennials</v>
      </c>
      <c r="G413" s="5" t="s">
        <v>20</v>
      </c>
      <c r="H413" s="5" t="s">
        <v>36</v>
      </c>
      <c r="I413" s="5" t="s">
        <v>67</v>
      </c>
      <c r="J413" s="5">
        <v>584.22</v>
      </c>
      <c r="K413" s="5">
        <v>2</v>
      </c>
      <c r="L413" s="5">
        <v>0</v>
      </c>
      <c r="M413" s="5">
        <v>1168.44</v>
      </c>
      <c r="N413" s="5" t="s">
        <v>23</v>
      </c>
      <c r="O413" s="5" t="s">
        <v>42</v>
      </c>
      <c r="P413" s="5">
        <v>5</v>
      </c>
      <c r="Q413" s="5">
        <v>10</v>
      </c>
      <c r="R413" s="5" t="b">
        <v>1</v>
      </c>
      <c r="S413" s="5">
        <v>5</v>
      </c>
      <c r="T413" s="5">
        <v>3</v>
      </c>
    </row>
    <row r="414" spans="1:20">
      <c r="A414" s="5" t="s">
        <v>871</v>
      </c>
      <c r="B414" s="5" t="s">
        <v>872</v>
      </c>
      <c r="C414" s="6">
        <v>44967</v>
      </c>
      <c r="D414" s="6" t="str">
        <f t="shared" si="13"/>
        <v>Friday</v>
      </c>
      <c r="E414" s="5">
        <v>52</v>
      </c>
      <c r="F414" s="5" t="str">
        <f t="shared" si="12"/>
        <v>Gen X/Boomers</v>
      </c>
      <c r="G414" s="5" t="s">
        <v>20</v>
      </c>
      <c r="H414" s="5" t="s">
        <v>178</v>
      </c>
      <c r="I414" s="5" t="s">
        <v>70</v>
      </c>
      <c r="J414" s="5">
        <v>42.89</v>
      </c>
      <c r="K414" s="5">
        <v>1</v>
      </c>
      <c r="L414" s="5">
        <v>0</v>
      </c>
      <c r="M414" s="5">
        <v>42.89</v>
      </c>
      <c r="N414" s="5" t="s">
        <v>49</v>
      </c>
      <c r="O414" s="5" t="s">
        <v>42</v>
      </c>
      <c r="P414" s="5">
        <v>26</v>
      </c>
      <c r="Q414" s="5">
        <v>10</v>
      </c>
      <c r="R414" s="5" t="b">
        <v>1</v>
      </c>
      <c r="S414" s="5">
        <v>8</v>
      </c>
      <c r="T414" s="5">
        <v>5</v>
      </c>
    </row>
    <row r="415" spans="1:20">
      <c r="A415" s="5" t="s">
        <v>873</v>
      </c>
      <c r="B415" s="5" t="s">
        <v>874</v>
      </c>
      <c r="C415" s="6">
        <v>44967</v>
      </c>
      <c r="D415" s="6" t="str">
        <f t="shared" si="13"/>
        <v>Friday</v>
      </c>
      <c r="E415" s="5">
        <v>18</v>
      </c>
      <c r="F415" s="5" t="str">
        <f t="shared" si="12"/>
        <v>Gen Z</v>
      </c>
      <c r="G415" s="5" t="s">
        <v>20</v>
      </c>
      <c r="H415" s="5" t="s">
        <v>28</v>
      </c>
      <c r="I415" s="5" t="s">
        <v>33</v>
      </c>
      <c r="J415" s="5">
        <v>48.46</v>
      </c>
      <c r="K415" s="5">
        <v>1</v>
      </c>
      <c r="L415" s="5">
        <v>0</v>
      </c>
      <c r="M415" s="5">
        <v>48.46</v>
      </c>
      <c r="N415" s="5" t="s">
        <v>29</v>
      </c>
      <c r="O415" s="5" t="s">
        <v>55</v>
      </c>
      <c r="P415" s="5">
        <v>18</v>
      </c>
      <c r="Q415" s="5">
        <v>11</v>
      </c>
      <c r="R415" s="5" t="b">
        <v>1</v>
      </c>
      <c r="S415" s="5">
        <v>4</v>
      </c>
      <c r="T415" s="5">
        <v>4</v>
      </c>
    </row>
    <row r="416" spans="1:20">
      <c r="A416" s="5" t="s">
        <v>875</v>
      </c>
      <c r="B416" s="5" t="s">
        <v>876</v>
      </c>
      <c r="C416" s="6">
        <v>44967</v>
      </c>
      <c r="D416" s="6" t="str">
        <f t="shared" si="13"/>
        <v>Friday</v>
      </c>
      <c r="E416" s="5">
        <v>18</v>
      </c>
      <c r="F416" s="5" t="str">
        <f t="shared" si="12"/>
        <v>Gen Z</v>
      </c>
      <c r="G416" s="5" t="s">
        <v>27</v>
      </c>
      <c r="H416" s="5" t="s">
        <v>124</v>
      </c>
      <c r="I416" s="5" t="s">
        <v>45</v>
      </c>
      <c r="J416" s="5">
        <v>72.849999999999994</v>
      </c>
      <c r="K416" s="5">
        <v>4</v>
      </c>
      <c r="L416" s="5">
        <v>5.07</v>
      </c>
      <c r="M416" s="5">
        <v>286.33</v>
      </c>
      <c r="N416" s="5" t="s">
        <v>41</v>
      </c>
      <c r="O416" s="5" t="s">
        <v>42</v>
      </c>
      <c r="P416" s="5">
        <v>16</v>
      </c>
      <c r="Q416" s="5">
        <v>8</v>
      </c>
      <c r="R416" s="5" t="b">
        <v>0</v>
      </c>
      <c r="S416" s="5">
        <v>6</v>
      </c>
      <c r="T416" s="5">
        <v>3</v>
      </c>
    </row>
    <row r="417" spans="1:20">
      <c r="A417" s="5" t="s">
        <v>877</v>
      </c>
      <c r="B417" s="5" t="s">
        <v>878</v>
      </c>
      <c r="C417" s="6">
        <v>44967</v>
      </c>
      <c r="D417" s="6" t="str">
        <f t="shared" si="13"/>
        <v>Friday</v>
      </c>
      <c r="E417" s="5">
        <v>32</v>
      </c>
      <c r="F417" s="5" t="str">
        <f t="shared" si="12"/>
        <v>Millennials</v>
      </c>
      <c r="G417" s="5" t="s">
        <v>27</v>
      </c>
      <c r="H417" s="5" t="s">
        <v>21</v>
      </c>
      <c r="I417" s="5" t="s">
        <v>54</v>
      </c>
      <c r="J417" s="5">
        <v>603.91999999999996</v>
      </c>
      <c r="K417" s="5">
        <v>2</v>
      </c>
      <c r="L417" s="5">
        <v>0</v>
      </c>
      <c r="M417" s="5">
        <v>1207.8399999999999</v>
      </c>
      <c r="N417" s="5" t="s">
        <v>49</v>
      </c>
      <c r="O417" s="5" t="s">
        <v>42</v>
      </c>
      <c r="P417" s="5">
        <v>12</v>
      </c>
      <c r="Q417" s="5">
        <v>6</v>
      </c>
      <c r="R417" s="5" t="b">
        <v>1</v>
      </c>
      <c r="S417" s="5">
        <v>20</v>
      </c>
      <c r="T417" s="5">
        <v>4</v>
      </c>
    </row>
    <row r="418" spans="1:20">
      <c r="A418" s="5" t="s">
        <v>879</v>
      </c>
      <c r="B418" s="5" t="s">
        <v>880</v>
      </c>
      <c r="C418" s="6">
        <v>44967</v>
      </c>
      <c r="D418" s="6" t="str">
        <f t="shared" si="13"/>
        <v>Friday</v>
      </c>
      <c r="E418" s="5">
        <v>51</v>
      </c>
      <c r="F418" s="5" t="str">
        <f t="shared" si="12"/>
        <v>Gen X/Boomers</v>
      </c>
      <c r="G418" s="5" t="s">
        <v>20</v>
      </c>
      <c r="H418" s="5" t="s">
        <v>48</v>
      </c>
      <c r="I418" s="5" t="s">
        <v>67</v>
      </c>
      <c r="J418" s="5">
        <v>672.23</v>
      </c>
      <c r="K418" s="5">
        <v>2</v>
      </c>
      <c r="L418" s="5">
        <v>0</v>
      </c>
      <c r="M418" s="5">
        <v>1344.46</v>
      </c>
      <c r="N418" s="5" t="s">
        <v>49</v>
      </c>
      <c r="O418" s="5" t="s">
        <v>42</v>
      </c>
      <c r="P418" s="5">
        <v>33</v>
      </c>
      <c r="Q418" s="5">
        <v>10</v>
      </c>
      <c r="R418" s="5" t="b">
        <v>1</v>
      </c>
      <c r="S418" s="5">
        <v>7</v>
      </c>
      <c r="T418" s="5">
        <v>4</v>
      </c>
    </row>
    <row r="419" spans="1:20">
      <c r="A419" s="5" t="s">
        <v>881</v>
      </c>
      <c r="B419" s="5" t="s">
        <v>882</v>
      </c>
      <c r="C419" s="6">
        <v>44967</v>
      </c>
      <c r="D419" s="6" t="str">
        <f t="shared" si="13"/>
        <v>Friday</v>
      </c>
      <c r="E419" s="5">
        <v>27</v>
      </c>
      <c r="F419" s="5" t="str">
        <f t="shared" si="12"/>
        <v>Millennials</v>
      </c>
      <c r="G419" s="5" t="s">
        <v>27</v>
      </c>
      <c r="H419" s="5" t="s">
        <v>124</v>
      </c>
      <c r="I419" s="5" t="s">
        <v>54</v>
      </c>
      <c r="J419" s="5">
        <v>266.44</v>
      </c>
      <c r="K419" s="5">
        <v>2</v>
      </c>
      <c r="L419" s="5">
        <v>0</v>
      </c>
      <c r="M419" s="5">
        <v>532.88</v>
      </c>
      <c r="N419" s="5" t="s">
        <v>49</v>
      </c>
      <c r="O419" s="5" t="s">
        <v>55</v>
      </c>
      <c r="P419" s="5">
        <v>19</v>
      </c>
      <c r="Q419" s="5">
        <v>10</v>
      </c>
      <c r="R419" s="5" t="b">
        <v>0</v>
      </c>
      <c r="S419" s="5">
        <v>4</v>
      </c>
      <c r="T419" s="5">
        <v>5</v>
      </c>
    </row>
    <row r="420" spans="1:20">
      <c r="A420" s="5" t="s">
        <v>883</v>
      </c>
      <c r="B420" s="5" t="s">
        <v>884</v>
      </c>
      <c r="C420" s="6">
        <v>44967</v>
      </c>
      <c r="D420" s="6" t="str">
        <f t="shared" si="13"/>
        <v>Friday</v>
      </c>
      <c r="E420" s="5">
        <v>47</v>
      </c>
      <c r="F420" s="5" t="str">
        <f t="shared" si="12"/>
        <v>Gen X/Boomers</v>
      </c>
      <c r="G420" s="5" t="s">
        <v>27</v>
      </c>
      <c r="H420" s="5" t="s">
        <v>88</v>
      </c>
      <c r="I420" s="5" t="s">
        <v>22</v>
      </c>
      <c r="J420" s="5">
        <v>238.83</v>
      </c>
      <c r="K420" s="5">
        <v>1</v>
      </c>
      <c r="L420" s="5">
        <v>0</v>
      </c>
      <c r="M420" s="5">
        <v>238.83</v>
      </c>
      <c r="N420" s="5" t="s">
        <v>99</v>
      </c>
      <c r="O420" s="5" t="s">
        <v>24</v>
      </c>
      <c r="P420" s="5">
        <v>16</v>
      </c>
      <c r="Q420" s="5">
        <v>12</v>
      </c>
      <c r="R420" s="5" t="b">
        <v>0</v>
      </c>
      <c r="S420" s="5">
        <v>3</v>
      </c>
      <c r="T420" s="5">
        <v>5</v>
      </c>
    </row>
    <row r="421" spans="1:20">
      <c r="A421" s="5" t="s">
        <v>885</v>
      </c>
      <c r="B421" s="5" t="s">
        <v>886</v>
      </c>
      <c r="C421" s="6">
        <v>44967</v>
      </c>
      <c r="D421" s="6" t="str">
        <f t="shared" si="13"/>
        <v>Friday</v>
      </c>
      <c r="E421" s="5">
        <v>25</v>
      </c>
      <c r="F421" s="5" t="str">
        <f t="shared" si="12"/>
        <v>Millennials</v>
      </c>
      <c r="G421" s="5" t="s">
        <v>20</v>
      </c>
      <c r="H421" s="5" t="s">
        <v>66</v>
      </c>
      <c r="I421" s="5" t="s">
        <v>54</v>
      </c>
      <c r="J421" s="5">
        <v>486.04</v>
      </c>
      <c r="K421" s="5">
        <v>1</v>
      </c>
      <c r="L421" s="5">
        <v>0</v>
      </c>
      <c r="M421" s="5">
        <v>486.04</v>
      </c>
      <c r="N421" s="5" t="s">
        <v>99</v>
      </c>
      <c r="O421" s="5" t="s">
        <v>55</v>
      </c>
      <c r="P421" s="5">
        <v>3</v>
      </c>
      <c r="Q421" s="5">
        <v>9</v>
      </c>
      <c r="R421" s="5" t="b">
        <v>0</v>
      </c>
      <c r="S421" s="5">
        <v>4</v>
      </c>
      <c r="T421" s="5">
        <v>4</v>
      </c>
    </row>
    <row r="422" spans="1:20">
      <c r="A422" s="5" t="s">
        <v>887</v>
      </c>
      <c r="B422" s="5" t="s">
        <v>888</v>
      </c>
      <c r="C422" s="6">
        <v>44967</v>
      </c>
      <c r="D422" s="6" t="str">
        <f t="shared" si="13"/>
        <v>Friday</v>
      </c>
      <c r="E422" s="5">
        <v>29</v>
      </c>
      <c r="F422" s="5" t="str">
        <f t="shared" si="12"/>
        <v>Millennials</v>
      </c>
      <c r="G422" s="5" t="s">
        <v>20</v>
      </c>
      <c r="H422" s="5" t="s">
        <v>178</v>
      </c>
      <c r="I422" s="5" t="s">
        <v>22</v>
      </c>
      <c r="J422" s="5">
        <v>226.83</v>
      </c>
      <c r="K422" s="5">
        <v>1</v>
      </c>
      <c r="L422" s="5">
        <v>0</v>
      </c>
      <c r="M422" s="5">
        <v>226.83</v>
      </c>
      <c r="N422" s="5" t="s">
        <v>29</v>
      </c>
      <c r="O422" s="5" t="s">
        <v>24</v>
      </c>
      <c r="P422" s="5">
        <v>8</v>
      </c>
      <c r="Q422" s="5">
        <v>7</v>
      </c>
      <c r="R422" s="5" t="b">
        <v>0</v>
      </c>
      <c r="S422" s="5">
        <v>9</v>
      </c>
      <c r="T422" s="5">
        <v>5</v>
      </c>
    </row>
    <row r="423" spans="1:20">
      <c r="A423" s="5" t="s">
        <v>889</v>
      </c>
      <c r="B423" s="5" t="s">
        <v>890</v>
      </c>
      <c r="C423" s="6">
        <v>44967</v>
      </c>
      <c r="D423" s="6" t="str">
        <f t="shared" si="13"/>
        <v>Friday</v>
      </c>
      <c r="E423" s="5">
        <v>18</v>
      </c>
      <c r="F423" s="5" t="str">
        <f t="shared" si="12"/>
        <v>Gen Z</v>
      </c>
      <c r="G423" s="5" t="s">
        <v>27</v>
      </c>
      <c r="H423" s="5" t="s">
        <v>124</v>
      </c>
      <c r="I423" s="5" t="s">
        <v>40</v>
      </c>
      <c r="J423" s="5">
        <v>287.02</v>
      </c>
      <c r="K423" s="5">
        <v>1</v>
      </c>
      <c r="L423" s="5">
        <v>0</v>
      </c>
      <c r="M423" s="5">
        <v>287.02</v>
      </c>
      <c r="N423" s="5" t="s">
        <v>41</v>
      </c>
      <c r="O423" s="5" t="s">
        <v>24</v>
      </c>
      <c r="P423" s="5">
        <v>73</v>
      </c>
      <c r="Q423" s="5">
        <v>9</v>
      </c>
      <c r="R423" s="5" t="b">
        <v>1</v>
      </c>
      <c r="S423" s="5">
        <v>4</v>
      </c>
      <c r="T423" s="5">
        <v>3</v>
      </c>
    </row>
    <row r="424" spans="1:20">
      <c r="A424" s="5" t="s">
        <v>891</v>
      </c>
      <c r="B424" s="5" t="s">
        <v>892</v>
      </c>
      <c r="C424" s="6">
        <v>44967</v>
      </c>
      <c r="D424" s="6" t="str">
        <f t="shared" si="13"/>
        <v>Friday</v>
      </c>
      <c r="E424" s="5">
        <v>30</v>
      </c>
      <c r="F424" s="5" t="str">
        <f t="shared" si="12"/>
        <v>Millennials</v>
      </c>
      <c r="G424" s="5" t="s">
        <v>27</v>
      </c>
      <c r="H424" s="5" t="s">
        <v>36</v>
      </c>
      <c r="I424" s="5" t="s">
        <v>33</v>
      </c>
      <c r="J424" s="5">
        <v>38.479999999999997</v>
      </c>
      <c r="K424" s="5">
        <v>3</v>
      </c>
      <c r="L424" s="5">
        <v>4.9400000000000004</v>
      </c>
      <c r="M424" s="5">
        <v>110.5</v>
      </c>
      <c r="N424" s="5" t="s">
        <v>29</v>
      </c>
      <c r="O424" s="5" t="s">
        <v>24</v>
      </c>
      <c r="P424" s="5">
        <v>10</v>
      </c>
      <c r="Q424" s="5">
        <v>17</v>
      </c>
      <c r="R424" s="5" t="b">
        <v>0</v>
      </c>
      <c r="S424" s="5">
        <v>24</v>
      </c>
      <c r="T424" s="5">
        <v>4</v>
      </c>
    </row>
    <row r="425" spans="1:20">
      <c r="A425" s="5" t="s">
        <v>893</v>
      </c>
      <c r="B425" s="5" t="s">
        <v>894</v>
      </c>
      <c r="C425" s="6">
        <v>44968</v>
      </c>
      <c r="D425" s="6" t="str">
        <f t="shared" si="13"/>
        <v>Saturday</v>
      </c>
      <c r="E425" s="5">
        <v>55</v>
      </c>
      <c r="F425" s="5" t="str">
        <f t="shared" si="12"/>
        <v>Gen X/Boomers</v>
      </c>
      <c r="G425" s="5" t="s">
        <v>20</v>
      </c>
      <c r="H425" s="5" t="s">
        <v>48</v>
      </c>
      <c r="I425" s="5" t="s">
        <v>54</v>
      </c>
      <c r="J425" s="5">
        <v>576.24</v>
      </c>
      <c r="K425" s="5">
        <v>2</v>
      </c>
      <c r="L425" s="5">
        <v>107.12</v>
      </c>
      <c r="M425" s="5">
        <v>1045.3599999999999</v>
      </c>
      <c r="N425" s="5" t="s">
        <v>29</v>
      </c>
      <c r="O425" s="5" t="s">
        <v>55</v>
      </c>
      <c r="P425" s="5">
        <v>14</v>
      </c>
      <c r="Q425" s="5">
        <v>10</v>
      </c>
      <c r="R425" s="5" t="b">
        <v>1</v>
      </c>
      <c r="S425" s="5">
        <v>5</v>
      </c>
      <c r="T425" s="5">
        <v>2</v>
      </c>
    </row>
    <row r="426" spans="1:20">
      <c r="A426" s="5" t="s">
        <v>895</v>
      </c>
      <c r="B426" s="5" t="s">
        <v>896</v>
      </c>
      <c r="C426" s="6">
        <v>44968</v>
      </c>
      <c r="D426" s="6" t="str">
        <f t="shared" si="13"/>
        <v>Saturday</v>
      </c>
      <c r="E426" s="5">
        <v>41</v>
      </c>
      <c r="F426" s="5" t="str">
        <f t="shared" si="12"/>
        <v>Millennials</v>
      </c>
      <c r="G426" s="5" t="s">
        <v>27</v>
      </c>
      <c r="H426" s="5" t="s">
        <v>36</v>
      </c>
      <c r="I426" s="5" t="s">
        <v>54</v>
      </c>
      <c r="J426" s="5">
        <v>241.97</v>
      </c>
      <c r="K426" s="5">
        <v>3</v>
      </c>
      <c r="L426" s="5">
        <v>0</v>
      </c>
      <c r="M426" s="5">
        <v>725.91</v>
      </c>
      <c r="N426" s="5" t="s">
        <v>23</v>
      </c>
      <c r="O426" s="5" t="s">
        <v>55</v>
      </c>
      <c r="P426" s="5">
        <v>8</v>
      </c>
      <c r="Q426" s="5">
        <v>8</v>
      </c>
      <c r="R426" s="5" t="b">
        <v>1</v>
      </c>
      <c r="S426" s="5">
        <v>12</v>
      </c>
      <c r="T426" s="5">
        <v>1</v>
      </c>
    </row>
    <row r="427" spans="1:20">
      <c r="A427" s="5" t="s">
        <v>897</v>
      </c>
      <c r="B427" s="5" t="s">
        <v>898</v>
      </c>
      <c r="C427" s="6">
        <v>44968</v>
      </c>
      <c r="D427" s="6" t="str">
        <f t="shared" si="13"/>
        <v>Saturday</v>
      </c>
      <c r="E427" s="5">
        <v>34</v>
      </c>
      <c r="F427" s="5" t="str">
        <f t="shared" si="12"/>
        <v>Millennials</v>
      </c>
      <c r="G427" s="5" t="s">
        <v>20</v>
      </c>
      <c r="H427" s="5" t="s">
        <v>48</v>
      </c>
      <c r="I427" s="5" t="s">
        <v>33</v>
      </c>
      <c r="J427" s="5">
        <v>51.02</v>
      </c>
      <c r="K427" s="5">
        <v>5</v>
      </c>
      <c r="L427" s="5">
        <v>0</v>
      </c>
      <c r="M427" s="5">
        <v>255.1</v>
      </c>
      <c r="N427" s="5" t="s">
        <v>23</v>
      </c>
      <c r="O427" s="5" t="s">
        <v>24</v>
      </c>
      <c r="P427" s="5">
        <v>7</v>
      </c>
      <c r="Q427" s="5">
        <v>5</v>
      </c>
      <c r="R427" s="5" t="b">
        <v>0</v>
      </c>
      <c r="S427" s="5">
        <v>3</v>
      </c>
      <c r="T427" s="5">
        <v>4</v>
      </c>
    </row>
    <row r="428" spans="1:20">
      <c r="A428" s="5" t="s">
        <v>899</v>
      </c>
      <c r="B428" s="5" t="s">
        <v>900</v>
      </c>
      <c r="C428" s="6">
        <v>44968</v>
      </c>
      <c r="D428" s="6" t="str">
        <f t="shared" si="13"/>
        <v>Saturday</v>
      </c>
      <c r="E428" s="5">
        <v>54</v>
      </c>
      <c r="F428" s="5" t="str">
        <f t="shared" si="12"/>
        <v>Gen X/Boomers</v>
      </c>
      <c r="G428" s="5" t="s">
        <v>20</v>
      </c>
      <c r="H428" s="5" t="s">
        <v>28</v>
      </c>
      <c r="I428" s="5" t="s">
        <v>33</v>
      </c>
      <c r="J428" s="5">
        <v>27.64</v>
      </c>
      <c r="K428" s="5">
        <v>4</v>
      </c>
      <c r="L428" s="5">
        <v>0</v>
      </c>
      <c r="M428" s="5">
        <v>110.56</v>
      </c>
      <c r="N428" s="5" t="s">
        <v>49</v>
      </c>
      <c r="O428" s="5" t="s">
        <v>42</v>
      </c>
      <c r="P428" s="5">
        <v>8</v>
      </c>
      <c r="Q428" s="5">
        <v>9</v>
      </c>
      <c r="R428" s="5" t="b">
        <v>1</v>
      </c>
      <c r="S428" s="5">
        <v>5</v>
      </c>
      <c r="T428" s="5">
        <v>4</v>
      </c>
    </row>
    <row r="429" spans="1:20">
      <c r="A429" s="5" t="s">
        <v>901</v>
      </c>
      <c r="B429" s="5" t="s">
        <v>902</v>
      </c>
      <c r="C429" s="6">
        <v>44968</v>
      </c>
      <c r="D429" s="6" t="str">
        <f t="shared" si="13"/>
        <v>Saturday</v>
      </c>
      <c r="E429" s="5">
        <v>28</v>
      </c>
      <c r="F429" s="5" t="str">
        <f t="shared" si="12"/>
        <v>Millennials</v>
      </c>
      <c r="G429" s="5" t="s">
        <v>20</v>
      </c>
      <c r="H429" s="5" t="s">
        <v>48</v>
      </c>
      <c r="I429" s="5" t="s">
        <v>70</v>
      </c>
      <c r="J429" s="5">
        <v>37.549999999999997</v>
      </c>
      <c r="K429" s="5">
        <v>1</v>
      </c>
      <c r="L429" s="5">
        <v>0</v>
      </c>
      <c r="M429" s="5">
        <v>37.549999999999997</v>
      </c>
      <c r="N429" s="5" t="s">
        <v>49</v>
      </c>
      <c r="O429" s="5" t="s">
        <v>42</v>
      </c>
      <c r="P429" s="5">
        <v>8</v>
      </c>
      <c r="Q429" s="5">
        <v>5</v>
      </c>
      <c r="R429" s="5" t="b">
        <v>0</v>
      </c>
      <c r="S429" s="5">
        <v>5</v>
      </c>
      <c r="T429" s="5">
        <v>5</v>
      </c>
    </row>
    <row r="430" spans="1:20">
      <c r="A430" s="5" t="s">
        <v>903</v>
      </c>
      <c r="B430" s="5" t="s">
        <v>904</v>
      </c>
      <c r="C430" s="6">
        <v>44968</v>
      </c>
      <c r="D430" s="6" t="str">
        <f t="shared" si="13"/>
        <v>Saturday</v>
      </c>
      <c r="E430" s="5">
        <v>28</v>
      </c>
      <c r="F430" s="5" t="str">
        <f t="shared" si="12"/>
        <v>Millennials</v>
      </c>
      <c r="G430" s="5" t="s">
        <v>20</v>
      </c>
      <c r="H430" s="5" t="s">
        <v>32</v>
      </c>
      <c r="I430" s="5" t="s">
        <v>70</v>
      </c>
      <c r="J430" s="5">
        <v>50.22</v>
      </c>
      <c r="K430" s="5">
        <v>4</v>
      </c>
      <c r="L430" s="5">
        <v>0</v>
      </c>
      <c r="M430" s="5">
        <v>200.88</v>
      </c>
      <c r="N430" s="5" t="s">
        <v>23</v>
      </c>
      <c r="O430" s="5" t="s">
        <v>24</v>
      </c>
      <c r="P430" s="5">
        <v>11</v>
      </c>
      <c r="Q430" s="5">
        <v>13</v>
      </c>
      <c r="R430" s="5" t="b">
        <v>1</v>
      </c>
      <c r="S430" s="5">
        <v>5</v>
      </c>
      <c r="T430" s="5">
        <v>5</v>
      </c>
    </row>
    <row r="431" spans="1:20">
      <c r="A431" s="5" t="s">
        <v>905</v>
      </c>
      <c r="B431" s="5" t="s">
        <v>906</v>
      </c>
      <c r="C431" s="6">
        <v>44968</v>
      </c>
      <c r="D431" s="6" t="str">
        <f t="shared" si="13"/>
        <v>Saturday</v>
      </c>
      <c r="E431" s="5">
        <v>44</v>
      </c>
      <c r="F431" s="5" t="str">
        <f t="shared" si="12"/>
        <v>Millennials</v>
      </c>
      <c r="G431" s="5" t="s">
        <v>20</v>
      </c>
      <c r="H431" s="5" t="s">
        <v>124</v>
      </c>
      <c r="I431" s="5" t="s">
        <v>70</v>
      </c>
      <c r="J431" s="5">
        <v>67.569999999999993</v>
      </c>
      <c r="K431" s="5">
        <v>1</v>
      </c>
      <c r="L431" s="5">
        <v>9.76</v>
      </c>
      <c r="M431" s="5">
        <v>57.81</v>
      </c>
      <c r="N431" s="5" t="s">
        <v>99</v>
      </c>
      <c r="O431" s="5" t="s">
        <v>24</v>
      </c>
      <c r="P431" s="5">
        <v>19</v>
      </c>
      <c r="Q431" s="5">
        <v>9</v>
      </c>
      <c r="R431" s="5" t="b">
        <v>0</v>
      </c>
      <c r="S431" s="5">
        <v>5</v>
      </c>
      <c r="T431" s="5">
        <v>5</v>
      </c>
    </row>
    <row r="432" spans="1:20">
      <c r="A432" s="5" t="s">
        <v>907</v>
      </c>
      <c r="B432" s="5" t="s">
        <v>908</v>
      </c>
      <c r="C432" s="6">
        <v>44968</v>
      </c>
      <c r="D432" s="6" t="str">
        <f t="shared" si="13"/>
        <v>Saturday</v>
      </c>
      <c r="E432" s="5">
        <v>24</v>
      </c>
      <c r="F432" s="5" t="str">
        <f t="shared" si="12"/>
        <v>Gen Z</v>
      </c>
      <c r="G432" s="5" t="s">
        <v>20</v>
      </c>
      <c r="H432" s="5" t="s">
        <v>32</v>
      </c>
      <c r="I432" s="5" t="s">
        <v>67</v>
      </c>
      <c r="J432" s="5">
        <v>388.01</v>
      </c>
      <c r="K432" s="5">
        <v>5</v>
      </c>
      <c r="L432" s="5">
        <v>0</v>
      </c>
      <c r="M432" s="5">
        <v>1940.05</v>
      </c>
      <c r="N432" s="5" t="s">
        <v>23</v>
      </c>
      <c r="O432" s="5" t="s">
        <v>55</v>
      </c>
      <c r="P432" s="5">
        <v>9</v>
      </c>
      <c r="Q432" s="5">
        <v>11</v>
      </c>
      <c r="R432" s="5" t="b">
        <v>0</v>
      </c>
      <c r="S432" s="5">
        <v>7</v>
      </c>
      <c r="T432" s="5">
        <v>3</v>
      </c>
    </row>
    <row r="433" spans="1:20">
      <c r="A433" s="5" t="s">
        <v>909</v>
      </c>
      <c r="B433" s="5" t="s">
        <v>910</v>
      </c>
      <c r="C433" s="6">
        <v>44968</v>
      </c>
      <c r="D433" s="6" t="str">
        <f t="shared" si="13"/>
        <v>Saturday</v>
      </c>
      <c r="E433" s="5">
        <v>18</v>
      </c>
      <c r="F433" s="5" t="str">
        <f t="shared" si="12"/>
        <v>Gen Z</v>
      </c>
      <c r="G433" s="5" t="s">
        <v>20</v>
      </c>
      <c r="H433" s="5" t="s">
        <v>36</v>
      </c>
      <c r="I433" s="5" t="s">
        <v>37</v>
      </c>
      <c r="J433" s="5">
        <v>566.41</v>
      </c>
      <c r="K433" s="5">
        <v>4</v>
      </c>
      <c r="L433" s="5">
        <v>0</v>
      </c>
      <c r="M433" s="5">
        <v>2265.64</v>
      </c>
      <c r="N433" s="5" t="s">
        <v>23</v>
      </c>
      <c r="O433" s="5" t="s">
        <v>24</v>
      </c>
      <c r="P433" s="5">
        <v>16</v>
      </c>
      <c r="Q433" s="5">
        <v>8</v>
      </c>
      <c r="R433" s="5" t="b">
        <v>1</v>
      </c>
      <c r="S433" s="5">
        <v>6</v>
      </c>
      <c r="T433" s="5">
        <v>5</v>
      </c>
    </row>
    <row r="434" spans="1:20">
      <c r="A434" s="5" t="s">
        <v>911</v>
      </c>
      <c r="B434" s="5" t="s">
        <v>912</v>
      </c>
      <c r="C434" s="6">
        <v>44968</v>
      </c>
      <c r="D434" s="6" t="str">
        <f t="shared" si="13"/>
        <v>Saturday</v>
      </c>
      <c r="E434" s="5">
        <v>32</v>
      </c>
      <c r="F434" s="5" t="str">
        <f t="shared" si="12"/>
        <v>Millennials</v>
      </c>
      <c r="G434" s="5" t="s">
        <v>27</v>
      </c>
      <c r="H434" s="5" t="s">
        <v>124</v>
      </c>
      <c r="I434" s="5" t="s">
        <v>40</v>
      </c>
      <c r="J434" s="5">
        <v>796.94</v>
      </c>
      <c r="K434" s="5">
        <v>3</v>
      </c>
      <c r="L434" s="5">
        <v>0</v>
      </c>
      <c r="M434" s="5">
        <v>2390.8200000000002</v>
      </c>
      <c r="N434" s="5" t="s">
        <v>49</v>
      </c>
      <c r="O434" s="5" t="s">
        <v>24</v>
      </c>
      <c r="P434" s="5">
        <v>7</v>
      </c>
      <c r="Q434" s="5">
        <v>10</v>
      </c>
      <c r="R434" s="5" t="b">
        <v>0</v>
      </c>
      <c r="S434" s="5">
        <v>4</v>
      </c>
      <c r="T434" s="5">
        <v>5</v>
      </c>
    </row>
    <row r="435" spans="1:20">
      <c r="A435" s="5" t="s">
        <v>913</v>
      </c>
      <c r="B435" s="5" t="s">
        <v>914</v>
      </c>
      <c r="C435" s="6">
        <v>44968</v>
      </c>
      <c r="D435" s="6" t="str">
        <f t="shared" si="13"/>
        <v>Saturday</v>
      </c>
      <c r="E435" s="5">
        <v>41</v>
      </c>
      <c r="F435" s="5" t="str">
        <f t="shared" si="12"/>
        <v>Millennials</v>
      </c>
      <c r="G435" s="5" t="s">
        <v>129</v>
      </c>
      <c r="H435" s="5" t="s">
        <v>36</v>
      </c>
      <c r="I435" s="5" t="s">
        <v>70</v>
      </c>
      <c r="J435" s="5">
        <v>185.48</v>
      </c>
      <c r="K435" s="5">
        <v>1</v>
      </c>
      <c r="L435" s="5">
        <v>36.340000000000003</v>
      </c>
      <c r="M435" s="5">
        <v>149.13999999999999</v>
      </c>
      <c r="N435" s="5" t="s">
        <v>41</v>
      </c>
      <c r="O435" s="5" t="s">
        <v>55</v>
      </c>
      <c r="P435" s="5">
        <v>12</v>
      </c>
      <c r="Q435" s="5">
        <v>12</v>
      </c>
      <c r="R435" s="5" t="b">
        <v>1</v>
      </c>
      <c r="S435" s="5">
        <v>5</v>
      </c>
      <c r="T435" s="5">
        <v>5</v>
      </c>
    </row>
    <row r="436" spans="1:20">
      <c r="A436" s="5" t="s">
        <v>915</v>
      </c>
      <c r="B436" s="5" t="s">
        <v>916</v>
      </c>
      <c r="C436" s="6">
        <v>44968</v>
      </c>
      <c r="D436" s="6" t="str">
        <f t="shared" si="13"/>
        <v>Saturday</v>
      </c>
      <c r="E436" s="5">
        <v>47</v>
      </c>
      <c r="F436" s="5" t="str">
        <f t="shared" si="12"/>
        <v>Gen X/Boomers</v>
      </c>
      <c r="G436" s="5" t="s">
        <v>20</v>
      </c>
      <c r="H436" s="5" t="s">
        <v>48</v>
      </c>
      <c r="I436" s="5" t="s">
        <v>22</v>
      </c>
      <c r="J436" s="5">
        <v>194.99</v>
      </c>
      <c r="K436" s="5">
        <v>1</v>
      </c>
      <c r="L436" s="5">
        <v>0</v>
      </c>
      <c r="M436" s="5">
        <v>194.99</v>
      </c>
      <c r="N436" s="5" t="s">
        <v>23</v>
      </c>
      <c r="O436" s="5" t="s">
        <v>42</v>
      </c>
      <c r="P436" s="5">
        <v>21</v>
      </c>
      <c r="Q436" s="5">
        <v>7</v>
      </c>
      <c r="R436" s="5" t="b">
        <v>1</v>
      </c>
      <c r="S436" s="5">
        <v>4</v>
      </c>
      <c r="T436" s="5">
        <v>4</v>
      </c>
    </row>
    <row r="437" spans="1:20">
      <c r="A437" s="5" t="s">
        <v>917</v>
      </c>
      <c r="B437" s="5" t="s">
        <v>918</v>
      </c>
      <c r="C437" s="6">
        <v>44968</v>
      </c>
      <c r="D437" s="6" t="str">
        <f t="shared" si="13"/>
        <v>Saturday</v>
      </c>
      <c r="E437" s="5">
        <v>23</v>
      </c>
      <c r="F437" s="5" t="str">
        <f t="shared" si="12"/>
        <v>Gen Z</v>
      </c>
      <c r="G437" s="5" t="s">
        <v>27</v>
      </c>
      <c r="H437" s="5" t="s">
        <v>21</v>
      </c>
      <c r="I437" s="5" t="s">
        <v>37</v>
      </c>
      <c r="J437" s="5">
        <v>1635.67</v>
      </c>
      <c r="K437" s="5">
        <v>4</v>
      </c>
      <c r="L437" s="5">
        <v>178.7</v>
      </c>
      <c r="M437" s="5">
        <v>6363.98</v>
      </c>
      <c r="N437" s="5" t="s">
        <v>41</v>
      </c>
      <c r="O437" s="5" t="s">
        <v>42</v>
      </c>
      <c r="P437" s="5">
        <v>7</v>
      </c>
      <c r="Q437" s="5">
        <v>9</v>
      </c>
      <c r="R437" s="5" t="b">
        <v>0</v>
      </c>
      <c r="S437" s="5">
        <v>11</v>
      </c>
      <c r="T437" s="5">
        <v>1</v>
      </c>
    </row>
    <row r="438" spans="1:20">
      <c r="A438" s="5" t="s">
        <v>919</v>
      </c>
      <c r="B438" s="5" t="s">
        <v>920</v>
      </c>
      <c r="C438" s="6">
        <v>44968</v>
      </c>
      <c r="D438" s="6" t="str">
        <f t="shared" si="13"/>
        <v>Saturday</v>
      </c>
      <c r="E438" s="5">
        <v>60</v>
      </c>
      <c r="F438" s="5" t="str">
        <f t="shared" si="12"/>
        <v>Gen X/Boomers</v>
      </c>
      <c r="G438" s="5" t="s">
        <v>27</v>
      </c>
      <c r="H438" s="5" t="s">
        <v>36</v>
      </c>
      <c r="I438" s="5" t="s">
        <v>40</v>
      </c>
      <c r="J438" s="5">
        <v>460.59</v>
      </c>
      <c r="K438" s="5">
        <v>4</v>
      </c>
      <c r="L438" s="5">
        <v>0</v>
      </c>
      <c r="M438" s="5">
        <v>1842.36</v>
      </c>
      <c r="N438" s="5" t="s">
        <v>49</v>
      </c>
      <c r="O438" s="5" t="s">
        <v>24</v>
      </c>
      <c r="P438" s="5">
        <v>25</v>
      </c>
      <c r="Q438" s="5">
        <v>5</v>
      </c>
      <c r="R438" s="5" t="b">
        <v>0</v>
      </c>
      <c r="S438" s="5">
        <v>3</v>
      </c>
      <c r="T438" s="5">
        <v>4</v>
      </c>
    </row>
    <row r="439" spans="1:20">
      <c r="A439" s="5" t="s">
        <v>921</v>
      </c>
      <c r="B439" s="5" t="s">
        <v>922</v>
      </c>
      <c r="C439" s="6">
        <v>44968</v>
      </c>
      <c r="D439" s="6" t="str">
        <f t="shared" si="13"/>
        <v>Saturday</v>
      </c>
      <c r="E439" s="5">
        <v>37</v>
      </c>
      <c r="F439" s="5" t="str">
        <f t="shared" si="12"/>
        <v>Millennials</v>
      </c>
      <c r="G439" s="5" t="s">
        <v>27</v>
      </c>
      <c r="H439" s="5" t="s">
        <v>36</v>
      </c>
      <c r="I439" s="5" t="s">
        <v>33</v>
      </c>
      <c r="J439" s="5">
        <v>26.53</v>
      </c>
      <c r="K439" s="5">
        <v>2</v>
      </c>
      <c r="L439" s="5">
        <v>7.88</v>
      </c>
      <c r="M439" s="5">
        <v>45.18</v>
      </c>
      <c r="N439" s="5" t="s">
        <v>49</v>
      </c>
      <c r="O439" s="5" t="s">
        <v>24</v>
      </c>
      <c r="P439" s="5">
        <v>17</v>
      </c>
      <c r="Q439" s="5">
        <v>6</v>
      </c>
      <c r="R439" s="5" t="b">
        <v>1</v>
      </c>
      <c r="S439" s="5">
        <v>6</v>
      </c>
      <c r="T439" s="5">
        <v>4</v>
      </c>
    </row>
    <row r="440" spans="1:20">
      <c r="A440" s="5" t="s">
        <v>923</v>
      </c>
      <c r="B440" s="5" t="s">
        <v>924</v>
      </c>
      <c r="C440" s="6">
        <v>44969</v>
      </c>
      <c r="D440" s="6" t="str">
        <f t="shared" si="13"/>
        <v>Sunday</v>
      </c>
      <c r="E440" s="5">
        <v>29</v>
      </c>
      <c r="F440" s="5" t="str">
        <f t="shared" si="12"/>
        <v>Millennials</v>
      </c>
      <c r="G440" s="5" t="s">
        <v>20</v>
      </c>
      <c r="H440" s="5" t="s">
        <v>21</v>
      </c>
      <c r="I440" s="5" t="s">
        <v>70</v>
      </c>
      <c r="J440" s="5">
        <v>19.84</v>
      </c>
      <c r="K440" s="5">
        <v>1</v>
      </c>
      <c r="L440" s="5">
        <v>0</v>
      </c>
      <c r="M440" s="5">
        <v>19.84</v>
      </c>
      <c r="N440" s="5" t="s">
        <v>29</v>
      </c>
      <c r="O440" s="5" t="s">
        <v>42</v>
      </c>
      <c r="P440" s="5">
        <v>8</v>
      </c>
      <c r="Q440" s="5">
        <v>11</v>
      </c>
      <c r="R440" s="5" t="b">
        <v>1</v>
      </c>
      <c r="S440" s="5">
        <v>5</v>
      </c>
      <c r="T440" s="5">
        <v>5</v>
      </c>
    </row>
    <row r="441" spans="1:20">
      <c r="A441" s="5" t="s">
        <v>925</v>
      </c>
      <c r="B441" s="5" t="s">
        <v>926</v>
      </c>
      <c r="C441" s="6">
        <v>44969</v>
      </c>
      <c r="D441" s="6" t="str">
        <f t="shared" si="13"/>
        <v>Sunday</v>
      </c>
      <c r="E441" s="5">
        <v>46</v>
      </c>
      <c r="F441" s="5" t="str">
        <f t="shared" si="12"/>
        <v>Gen X/Boomers</v>
      </c>
      <c r="G441" s="5" t="s">
        <v>20</v>
      </c>
      <c r="H441" s="5" t="s">
        <v>32</v>
      </c>
      <c r="I441" s="5" t="s">
        <v>67</v>
      </c>
      <c r="J441" s="5">
        <v>256.44</v>
      </c>
      <c r="K441" s="5">
        <v>5</v>
      </c>
      <c r="L441" s="5">
        <v>0</v>
      </c>
      <c r="M441" s="5">
        <v>1282.2</v>
      </c>
      <c r="N441" s="5" t="s">
        <v>49</v>
      </c>
      <c r="O441" s="5" t="s">
        <v>42</v>
      </c>
      <c r="P441" s="5">
        <v>25</v>
      </c>
      <c r="Q441" s="5">
        <v>13</v>
      </c>
      <c r="R441" s="5" t="b">
        <v>1</v>
      </c>
      <c r="S441" s="5">
        <v>6</v>
      </c>
      <c r="T441" s="5">
        <v>4</v>
      </c>
    </row>
    <row r="442" spans="1:20">
      <c r="A442" s="5" t="s">
        <v>927</v>
      </c>
      <c r="B442" s="5" t="s">
        <v>928</v>
      </c>
      <c r="C442" s="6">
        <v>44969</v>
      </c>
      <c r="D442" s="6" t="str">
        <f t="shared" si="13"/>
        <v>Sunday</v>
      </c>
      <c r="E442" s="5">
        <v>41</v>
      </c>
      <c r="F442" s="5" t="str">
        <f t="shared" si="12"/>
        <v>Millennials</v>
      </c>
      <c r="G442" s="5" t="s">
        <v>27</v>
      </c>
      <c r="H442" s="5" t="s">
        <v>66</v>
      </c>
      <c r="I442" s="5" t="s">
        <v>54</v>
      </c>
      <c r="J442" s="5">
        <v>157.19999999999999</v>
      </c>
      <c r="K442" s="5">
        <v>2</v>
      </c>
      <c r="L442" s="5">
        <v>41.49</v>
      </c>
      <c r="M442" s="5">
        <v>272.91000000000003</v>
      </c>
      <c r="N442" s="5" t="s">
        <v>49</v>
      </c>
      <c r="O442" s="5" t="s">
        <v>42</v>
      </c>
      <c r="P442" s="5">
        <v>2</v>
      </c>
      <c r="Q442" s="5">
        <v>9</v>
      </c>
      <c r="R442" s="5" t="b">
        <v>0</v>
      </c>
      <c r="S442" s="5">
        <v>2</v>
      </c>
      <c r="T442" s="5">
        <v>5</v>
      </c>
    </row>
    <row r="443" spans="1:20">
      <c r="A443" s="5" t="s">
        <v>929</v>
      </c>
      <c r="B443" s="5" t="s">
        <v>930</v>
      </c>
      <c r="C443" s="6">
        <v>44969</v>
      </c>
      <c r="D443" s="6" t="str">
        <f t="shared" si="13"/>
        <v>Sunday</v>
      </c>
      <c r="E443" s="5">
        <v>29</v>
      </c>
      <c r="F443" s="5" t="str">
        <f t="shared" si="12"/>
        <v>Millennials</v>
      </c>
      <c r="G443" s="5" t="s">
        <v>27</v>
      </c>
      <c r="H443" s="5" t="s">
        <v>88</v>
      </c>
      <c r="I443" s="5" t="s">
        <v>70</v>
      </c>
      <c r="J443" s="5">
        <v>54.23</v>
      </c>
      <c r="K443" s="5">
        <v>5</v>
      </c>
      <c r="L443" s="5">
        <v>12.55</v>
      </c>
      <c r="M443" s="5">
        <v>258.60000000000002</v>
      </c>
      <c r="N443" s="5" t="s">
        <v>29</v>
      </c>
      <c r="O443" s="5" t="s">
        <v>24</v>
      </c>
      <c r="P443" s="5">
        <v>14</v>
      </c>
      <c r="Q443" s="5">
        <v>10</v>
      </c>
      <c r="R443" s="5" t="b">
        <v>1</v>
      </c>
      <c r="S443" s="5">
        <v>6</v>
      </c>
      <c r="T443" s="5">
        <v>4</v>
      </c>
    </row>
    <row r="444" spans="1:20">
      <c r="A444" s="5" t="s">
        <v>931</v>
      </c>
      <c r="B444" s="5" t="s">
        <v>932</v>
      </c>
      <c r="C444" s="6">
        <v>44969</v>
      </c>
      <c r="D444" s="6" t="str">
        <f t="shared" si="13"/>
        <v>Sunday</v>
      </c>
      <c r="E444" s="5">
        <v>31</v>
      </c>
      <c r="F444" s="5" t="str">
        <f t="shared" si="12"/>
        <v>Millennials</v>
      </c>
      <c r="G444" s="5" t="s">
        <v>27</v>
      </c>
      <c r="H444" s="5" t="s">
        <v>21</v>
      </c>
      <c r="I444" s="5" t="s">
        <v>67</v>
      </c>
      <c r="J444" s="5">
        <v>502.3</v>
      </c>
      <c r="K444" s="5">
        <v>2</v>
      </c>
      <c r="L444" s="5">
        <v>36.58</v>
      </c>
      <c r="M444" s="5">
        <v>968.02</v>
      </c>
      <c r="N444" s="5" t="s">
        <v>29</v>
      </c>
      <c r="O444" s="5" t="s">
        <v>42</v>
      </c>
      <c r="P444" s="5">
        <v>5</v>
      </c>
      <c r="Q444" s="5">
        <v>11</v>
      </c>
      <c r="R444" s="5" t="b">
        <v>1</v>
      </c>
      <c r="S444" s="5">
        <v>3</v>
      </c>
      <c r="T444" s="5">
        <v>3</v>
      </c>
    </row>
    <row r="445" spans="1:20">
      <c r="A445" s="5" t="s">
        <v>933</v>
      </c>
      <c r="B445" s="5" t="s">
        <v>934</v>
      </c>
      <c r="C445" s="6">
        <v>44969</v>
      </c>
      <c r="D445" s="6" t="str">
        <f t="shared" si="13"/>
        <v>Sunday</v>
      </c>
      <c r="E445" s="5">
        <v>35</v>
      </c>
      <c r="F445" s="5" t="str">
        <f t="shared" si="12"/>
        <v>Millennials</v>
      </c>
      <c r="G445" s="5" t="s">
        <v>20</v>
      </c>
      <c r="H445" s="5" t="s">
        <v>124</v>
      </c>
      <c r="I445" s="5" t="s">
        <v>54</v>
      </c>
      <c r="J445" s="5">
        <v>210.92</v>
      </c>
      <c r="K445" s="5">
        <v>1</v>
      </c>
      <c r="L445" s="5">
        <v>39.39</v>
      </c>
      <c r="M445" s="5">
        <v>171.53</v>
      </c>
      <c r="N445" s="5" t="s">
        <v>23</v>
      </c>
      <c r="O445" s="5" t="s">
        <v>24</v>
      </c>
      <c r="P445" s="5">
        <v>32</v>
      </c>
      <c r="Q445" s="5">
        <v>6</v>
      </c>
      <c r="R445" s="5" t="b">
        <v>1</v>
      </c>
      <c r="S445" s="5">
        <v>6</v>
      </c>
      <c r="T445" s="5">
        <v>4</v>
      </c>
    </row>
    <row r="446" spans="1:20">
      <c r="A446" s="5" t="s">
        <v>935</v>
      </c>
      <c r="B446" s="5" t="s">
        <v>936</v>
      </c>
      <c r="C446" s="6">
        <v>44969</v>
      </c>
      <c r="D446" s="6" t="str">
        <f t="shared" si="13"/>
        <v>Sunday</v>
      </c>
      <c r="E446" s="5">
        <v>39</v>
      </c>
      <c r="F446" s="5" t="str">
        <f t="shared" si="12"/>
        <v>Millennials</v>
      </c>
      <c r="G446" s="5" t="s">
        <v>20</v>
      </c>
      <c r="H446" s="5" t="s">
        <v>36</v>
      </c>
      <c r="I446" s="5" t="s">
        <v>54</v>
      </c>
      <c r="J446" s="5">
        <v>263.41000000000003</v>
      </c>
      <c r="K446" s="5">
        <v>2</v>
      </c>
      <c r="L446" s="5">
        <v>52.63</v>
      </c>
      <c r="M446" s="5">
        <v>474.19</v>
      </c>
      <c r="N446" s="5" t="s">
        <v>29</v>
      </c>
      <c r="O446" s="5" t="s">
        <v>24</v>
      </c>
      <c r="P446" s="5">
        <v>26</v>
      </c>
      <c r="Q446" s="5">
        <v>11</v>
      </c>
      <c r="R446" s="5" t="b">
        <v>0</v>
      </c>
      <c r="S446" s="5">
        <v>2</v>
      </c>
      <c r="T446" s="5">
        <v>3</v>
      </c>
    </row>
    <row r="447" spans="1:20">
      <c r="A447" s="5" t="s">
        <v>937</v>
      </c>
      <c r="B447" s="5" t="s">
        <v>938</v>
      </c>
      <c r="C447" s="6">
        <v>44969</v>
      </c>
      <c r="D447" s="6" t="str">
        <f t="shared" si="13"/>
        <v>Sunday</v>
      </c>
      <c r="E447" s="5">
        <v>57</v>
      </c>
      <c r="F447" s="5" t="str">
        <f t="shared" si="12"/>
        <v>Gen X/Boomers</v>
      </c>
      <c r="G447" s="5" t="s">
        <v>27</v>
      </c>
      <c r="H447" s="5" t="s">
        <v>36</v>
      </c>
      <c r="I447" s="5" t="s">
        <v>45</v>
      </c>
      <c r="J447" s="5">
        <v>189.2</v>
      </c>
      <c r="K447" s="5">
        <v>2</v>
      </c>
      <c r="L447" s="5">
        <v>0</v>
      </c>
      <c r="M447" s="5">
        <v>378.4</v>
      </c>
      <c r="N447" s="5" t="s">
        <v>99</v>
      </c>
      <c r="O447" s="5" t="s">
        <v>24</v>
      </c>
      <c r="P447" s="5">
        <v>14</v>
      </c>
      <c r="Q447" s="5">
        <v>7</v>
      </c>
      <c r="R447" s="5" t="b">
        <v>1</v>
      </c>
      <c r="S447" s="5">
        <v>5</v>
      </c>
      <c r="T447" s="5">
        <v>1</v>
      </c>
    </row>
    <row r="448" spans="1:20">
      <c r="A448" s="5" t="s">
        <v>939</v>
      </c>
      <c r="B448" s="5" t="s">
        <v>940</v>
      </c>
      <c r="C448" s="6">
        <v>44969</v>
      </c>
      <c r="D448" s="6" t="str">
        <f t="shared" si="13"/>
        <v>Sunday</v>
      </c>
      <c r="E448" s="5">
        <v>47</v>
      </c>
      <c r="F448" s="5" t="str">
        <f t="shared" si="12"/>
        <v>Gen X/Boomers</v>
      </c>
      <c r="G448" s="5" t="s">
        <v>27</v>
      </c>
      <c r="H448" s="5" t="s">
        <v>48</v>
      </c>
      <c r="I448" s="5" t="s">
        <v>70</v>
      </c>
      <c r="J448" s="5">
        <v>10.86</v>
      </c>
      <c r="K448" s="5">
        <v>1</v>
      </c>
      <c r="L448" s="5">
        <v>0</v>
      </c>
      <c r="M448" s="5">
        <v>10.86</v>
      </c>
      <c r="N448" s="5" t="s">
        <v>29</v>
      </c>
      <c r="O448" s="5" t="s">
        <v>42</v>
      </c>
      <c r="P448" s="5">
        <v>10</v>
      </c>
      <c r="Q448" s="5">
        <v>9</v>
      </c>
      <c r="R448" s="5" t="b">
        <v>1</v>
      </c>
      <c r="S448" s="5">
        <v>5</v>
      </c>
      <c r="T448" s="5">
        <v>5</v>
      </c>
    </row>
    <row r="449" spans="1:20">
      <c r="A449" s="5" t="s">
        <v>941</v>
      </c>
      <c r="B449" s="5" t="s">
        <v>942</v>
      </c>
      <c r="C449" s="6">
        <v>44970</v>
      </c>
      <c r="D449" s="6" t="str">
        <f t="shared" si="13"/>
        <v>Monday</v>
      </c>
      <c r="E449" s="5">
        <v>43</v>
      </c>
      <c r="F449" s="5" t="str">
        <f t="shared" si="12"/>
        <v>Millennials</v>
      </c>
      <c r="G449" s="5" t="s">
        <v>27</v>
      </c>
      <c r="H449" s="5" t="s">
        <v>48</v>
      </c>
      <c r="I449" s="5" t="s">
        <v>37</v>
      </c>
      <c r="J449" s="5">
        <v>2240.87</v>
      </c>
      <c r="K449" s="5">
        <v>3</v>
      </c>
      <c r="L449" s="5">
        <v>0</v>
      </c>
      <c r="M449" s="5">
        <v>6722.61</v>
      </c>
      <c r="N449" s="5" t="s">
        <v>49</v>
      </c>
      <c r="O449" s="5" t="s">
        <v>24</v>
      </c>
      <c r="P449" s="5">
        <v>12</v>
      </c>
      <c r="Q449" s="5">
        <v>7</v>
      </c>
      <c r="R449" s="5" t="b">
        <v>0</v>
      </c>
      <c r="S449" s="5">
        <v>16</v>
      </c>
      <c r="T449" s="5">
        <v>4</v>
      </c>
    </row>
    <row r="450" spans="1:20">
      <c r="A450" s="5" t="s">
        <v>943</v>
      </c>
      <c r="B450" s="5" t="s">
        <v>944</v>
      </c>
      <c r="C450" s="6">
        <v>44970</v>
      </c>
      <c r="D450" s="6" t="str">
        <f t="shared" si="13"/>
        <v>Monday</v>
      </c>
      <c r="E450" s="5">
        <v>47</v>
      </c>
      <c r="F450" s="5" t="str">
        <f t="shared" ref="F450:F513" si="14">IFERROR(IF(E450&lt;25, "Gen Z", IF(E450&lt;45, "Millennials", "Gen X/Boomers")),"Not Valide Age")</f>
        <v>Gen X/Boomers</v>
      </c>
      <c r="G450" s="5" t="s">
        <v>27</v>
      </c>
      <c r="H450" s="5" t="s">
        <v>36</v>
      </c>
      <c r="I450" s="5" t="s">
        <v>40</v>
      </c>
      <c r="J450" s="5">
        <v>304.29000000000002</v>
      </c>
      <c r="K450" s="5">
        <v>1</v>
      </c>
      <c r="L450" s="5">
        <v>0</v>
      </c>
      <c r="M450" s="5">
        <v>304.29000000000002</v>
      </c>
      <c r="N450" s="5" t="s">
        <v>29</v>
      </c>
      <c r="O450" s="5" t="s">
        <v>55</v>
      </c>
      <c r="P450" s="5">
        <v>7</v>
      </c>
      <c r="Q450" s="5">
        <v>15</v>
      </c>
      <c r="R450" s="5" t="b">
        <v>1</v>
      </c>
      <c r="S450" s="5">
        <v>4</v>
      </c>
      <c r="T450" s="5">
        <v>3</v>
      </c>
    </row>
    <row r="451" spans="1:20">
      <c r="A451" s="5" t="s">
        <v>945</v>
      </c>
      <c r="B451" s="5" t="s">
        <v>946</v>
      </c>
      <c r="C451" s="6">
        <v>44970</v>
      </c>
      <c r="D451" s="6" t="str">
        <f t="shared" ref="D451:D514" si="15">TEXT(C451, "dddd")</f>
        <v>Monday</v>
      </c>
      <c r="E451" s="5">
        <v>34</v>
      </c>
      <c r="F451" s="5" t="str">
        <f t="shared" si="14"/>
        <v>Millennials</v>
      </c>
      <c r="G451" s="5" t="s">
        <v>20</v>
      </c>
      <c r="H451" s="5" t="s">
        <v>83</v>
      </c>
      <c r="I451" s="5" t="s">
        <v>33</v>
      </c>
      <c r="J451" s="5">
        <v>59.85</v>
      </c>
      <c r="K451" s="5">
        <v>1</v>
      </c>
      <c r="L451" s="5">
        <v>3.84</v>
      </c>
      <c r="M451" s="5">
        <v>56.01</v>
      </c>
      <c r="N451" s="5" t="s">
        <v>49</v>
      </c>
      <c r="O451" s="5" t="s">
        <v>42</v>
      </c>
      <c r="P451" s="5">
        <v>8</v>
      </c>
      <c r="Q451" s="5">
        <v>3</v>
      </c>
      <c r="R451" s="5" t="b">
        <v>1</v>
      </c>
      <c r="S451" s="5">
        <v>5</v>
      </c>
      <c r="T451" s="5">
        <v>3</v>
      </c>
    </row>
    <row r="452" spans="1:20">
      <c r="A452" s="5" t="s">
        <v>947</v>
      </c>
      <c r="B452" s="5" t="s">
        <v>948</v>
      </c>
      <c r="C452" s="6">
        <v>44970</v>
      </c>
      <c r="D452" s="6" t="str">
        <f t="shared" si="15"/>
        <v>Monday</v>
      </c>
      <c r="E452" s="5">
        <v>18</v>
      </c>
      <c r="F452" s="5" t="str">
        <f t="shared" si="14"/>
        <v>Gen Z</v>
      </c>
      <c r="G452" s="5" t="s">
        <v>27</v>
      </c>
      <c r="H452" s="5" t="s">
        <v>32</v>
      </c>
      <c r="I452" s="5" t="s">
        <v>40</v>
      </c>
      <c r="J452" s="5">
        <v>709.75</v>
      </c>
      <c r="K452" s="5">
        <v>3</v>
      </c>
      <c r="L452" s="5">
        <v>106.72</v>
      </c>
      <c r="M452" s="5">
        <v>2022.53</v>
      </c>
      <c r="N452" s="5" t="s">
        <v>29</v>
      </c>
      <c r="O452" s="5" t="s">
        <v>24</v>
      </c>
      <c r="P452" s="5">
        <v>15</v>
      </c>
      <c r="Q452" s="5">
        <v>16</v>
      </c>
      <c r="R452" s="5" t="b">
        <v>0</v>
      </c>
      <c r="S452" s="5">
        <v>6</v>
      </c>
      <c r="T452" s="5">
        <v>4</v>
      </c>
    </row>
    <row r="453" spans="1:20">
      <c r="A453" s="5" t="s">
        <v>949</v>
      </c>
      <c r="B453" s="5" t="s">
        <v>950</v>
      </c>
      <c r="C453" s="6">
        <v>44970</v>
      </c>
      <c r="D453" s="6" t="str">
        <f t="shared" si="15"/>
        <v>Monday</v>
      </c>
      <c r="E453" s="5">
        <v>44</v>
      </c>
      <c r="F453" s="5" t="str">
        <f t="shared" si="14"/>
        <v>Millennials</v>
      </c>
      <c r="G453" s="5" t="s">
        <v>27</v>
      </c>
      <c r="H453" s="5" t="s">
        <v>36</v>
      </c>
      <c r="I453" s="5" t="s">
        <v>40</v>
      </c>
      <c r="J453" s="5">
        <v>809.75</v>
      </c>
      <c r="K453" s="5">
        <v>4</v>
      </c>
      <c r="L453" s="5">
        <v>0</v>
      </c>
      <c r="M453" s="5">
        <v>3239</v>
      </c>
      <c r="N453" s="5" t="s">
        <v>29</v>
      </c>
      <c r="O453" s="5" t="s">
        <v>42</v>
      </c>
      <c r="P453" s="5">
        <v>16</v>
      </c>
      <c r="Q453" s="5">
        <v>6</v>
      </c>
      <c r="R453" s="5" t="b">
        <v>1</v>
      </c>
      <c r="S453" s="5">
        <v>11</v>
      </c>
      <c r="T453" s="5">
        <v>5</v>
      </c>
    </row>
    <row r="454" spans="1:20">
      <c r="A454" s="5" t="s">
        <v>951</v>
      </c>
      <c r="B454" s="5" t="s">
        <v>952</v>
      </c>
      <c r="C454" s="6">
        <v>44970</v>
      </c>
      <c r="D454" s="6" t="str">
        <f t="shared" si="15"/>
        <v>Monday</v>
      </c>
      <c r="E454" s="5">
        <v>33</v>
      </c>
      <c r="F454" s="5" t="str">
        <f t="shared" si="14"/>
        <v>Millennials</v>
      </c>
      <c r="G454" s="5" t="s">
        <v>27</v>
      </c>
      <c r="H454" s="5" t="s">
        <v>66</v>
      </c>
      <c r="I454" s="5" t="s">
        <v>40</v>
      </c>
      <c r="J454" s="5">
        <v>332.81</v>
      </c>
      <c r="K454" s="5">
        <v>2</v>
      </c>
      <c r="L454" s="5">
        <v>0</v>
      </c>
      <c r="M454" s="5">
        <v>665.62</v>
      </c>
      <c r="N454" s="5" t="s">
        <v>23</v>
      </c>
      <c r="O454" s="5" t="s">
        <v>24</v>
      </c>
      <c r="P454" s="5">
        <v>26</v>
      </c>
      <c r="Q454" s="5">
        <v>8</v>
      </c>
      <c r="R454" s="5" t="b">
        <v>1</v>
      </c>
      <c r="S454" s="5">
        <v>13</v>
      </c>
      <c r="T454" s="5">
        <v>4</v>
      </c>
    </row>
    <row r="455" spans="1:20">
      <c r="A455" s="5" t="s">
        <v>953</v>
      </c>
      <c r="B455" s="5" t="s">
        <v>954</v>
      </c>
      <c r="C455" s="6">
        <v>44970</v>
      </c>
      <c r="D455" s="6" t="str">
        <f t="shared" si="15"/>
        <v>Monday</v>
      </c>
      <c r="E455" s="5">
        <v>44</v>
      </c>
      <c r="F455" s="5" t="str">
        <f t="shared" si="14"/>
        <v>Millennials</v>
      </c>
      <c r="G455" s="5" t="s">
        <v>27</v>
      </c>
      <c r="H455" s="5" t="s">
        <v>83</v>
      </c>
      <c r="I455" s="5" t="s">
        <v>54</v>
      </c>
      <c r="J455" s="5">
        <v>168.62</v>
      </c>
      <c r="K455" s="5">
        <v>1</v>
      </c>
      <c r="L455" s="5">
        <v>45.31</v>
      </c>
      <c r="M455" s="5">
        <v>123.31</v>
      </c>
      <c r="N455" s="5" t="s">
        <v>23</v>
      </c>
      <c r="O455" s="5" t="s">
        <v>42</v>
      </c>
      <c r="P455" s="5">
        <v>16</v>
      </c>
      <c r="Q455" s="5">
        <v>13</v>
      </c>
      <c r="R455" s="5" t="b">
        <v>0</v>
      </c>
      <c r="S455" s="5">
        <v>10</v>
      </c>
      <c r="T455" s="5">
        <v>4</v>
      </c>
    </row>
    <row r="456" spans="1:20">
      <c r="A456" s="5" t="s">
        <v>955</v>
      </c>
      <c r="B456" s="5" t="s">
        <v>956</v>
      </c>
      <c r="C456" s="6">
        <v>44970</v>
      </c>
      <c r="D456" s="6" t="str">
        <f t="shared" si="15"/>
        <v>Monday</v>
      </c>
      <c r="E456" s="5">
        <v>61</v>
      </c>
      <c r="F456" s="5" t="str">
        <f t="shared" si="14"/>
        <v>Gen X/Boomers</v>
      </c>
      <c r="G456" s="5" t="s">
        <v>20</v>
      </c>
      <c r="H456" s="5" t="s">
        <v>178</v>
      </c>
      <c r="I456" s="5" t="s">
        <v>70</v>
      </c>
      <c r="J456" s="5">
        <v>42.78</v>
      </c>
      <c r="K456" s="5">
        <v>2</v>
      </c>
      <c r="L456" s="5">
        <v>9.34</v>
      </c>
      <c r="M456" s="5">
        <v>76.22</v>
      </c>
      <c r="N456" s="5" t="s">
        <v>23</v>
      </c>
      <c r="O456" s="5" t="s">
        <v>42</v>
      </c>
      <c r="P456" s="5">
        <v>9</v>
      </c>
      <c r="Q456" s="5">
        <v>8</v>
      </c>
      <c r="R456" s="5" t="b">
        <v>0</v>
      </c>
      <c r="S456" s="5">
        <v>4</v>
      </c>
      <c r="T456" s="5">
        <v>4</v>
      </c>
    </row>
    <row r="457" spans="1:20">
      <c r="A457" s="5" t="s">
        <v>957</v>
      </c>
      <c r="B457" s="5" t="s">
        <v>958</v>
      </c>
      <c r="C457" s="6">
        <v>44970</v>
      </c>
      <c r="D457" s="6" t="str">
        <f t="shared" si="15"/>
        <v>Monday</v>
      </c>
      <c r="E457" s="5">
        <v>48</v>
      </c>
      <c r="F457" s="5" t="str">
        <f t="shared" si="14"/>
        <v>Gen X/Boomers</v>
      </c>
      <c r="G457" s="5" t="s">
        <v>20</v>
      </c>
      <c r="H457" s="5" t="s">
        <v>21</v>
      </c>
      <c r="I457" s="5" t="s">
        <v>54</v>
      </c>
      <c r="J457" s="5">
        <v>127.87</v>
      </c>
      <c r="K457" s="5">
        <v>3</v>
      </c>
      <c r="L457" s="5">
        <v>0</v>
      </c>
      <c r="M457" s="5">
        <v>383.61</v>
      </c>
      <c r="N457" s="5" t="s">
        <v>29</v>
      </c>
      <c r="O457" s="5" t="s">
        <v>55</v>
      </c>
      <c r="P457" s="5">
        <v>21</v>
      </c>
      <c r="Q457" s="5">
        <v>4</v>
      </c>
      <c r="R457" s="5" t="b">
        <v>1</v>
      </c>
      <c r="S457" s="5">
        <v>4</v>
      </c>
      <c r="T457" s="5">
        <v>3</v>
      </c>
    </row>
    <row r="458" spans="1:20">
      <c r="A458" s="5" t="s">
        <v>959</v>
      </c>
      <c r="B458" s="5" t="s">
        <v>960</v>
      </c>
      <c r="C458" s="6">
        <v>44970</v>
      </c>
      <c r="D458" s="6" t="str">
        <f t="shared" si="15"/>
        <v>Monday</v>
      </c>
      <c r="E458" s="5">
        <v>18</v>
      </c>
      <c r="F458" s="5" t="str">
        <f t="shared" si="14"/>
        <v>Gen Z</v>
      </c>
      <c r="G458" s="5" t="s">
        <v>20</v>
      </c>
      <c r="H458" s="5" t="s">
        <v>124</v>
      </c>
      <c r="I458" s="5" t="s">
        <v>54</v>
      </c>
      <c r="J458" s="5">
        <v>70.709999999999994</v>
      </c>
      <c r="K458" s="5">
        <v>2</v>
      </c>
      <c r="L458" s="5">
        <v>12.62</v>
      </c>
      <c r="M458" s="5">
        <v>128.80000000000001</v>
      </c>
      <c r="N458" s="5" t="s">
        <v>49</v>
      </c>
      <c r="O458" s="5" t="s">
        <v>42</v>
      </c>
      <c r="P458" s="5">
        <v>10</v>
      </c>
      <c r="Q458" s="5">
        <v>9</v>
      </c>
      <c r="R458" s="5" t="b">
        <v>1</v>
      </c>
      <c r="S458" s="5">
        <v>6</v>
      </c>
      <c r="T458" s="5">
        <v>4</v>
      </c>
    </row>
    <row r="459" spans="1:20">
      <c r="A459" s="5" t="s">
        <v>961</v>
      </c>
      <c r="B459" s="5" t="s">
        <v>962</v>
      </c>
      <c r="C459" s="6">
        <v>44970</v>
      </c>
      <c r="D459" s="6" t="str">
        <f t="shared" si="15"/>
        <v>Monday</v>
      </c>
      <c r="E459" s="5">
        <v>54</v>
      </c>
      <c r="F459" s="5" t="str">
        <f t="shared" si="14"/>
        <v>Gen X/Boomers</v>
      </c>
      <c r="G459" s="5" t="s">
        <v>27</v>
      </c>
      <c r="H459" s="5" t="s">
        <v>36</v>
      </c>
      <c r="I459" s="5" t="s">
        <v>70</v>
      </c>
      <c r="J459" s="5">
        <v>12.22</v>
      </c>
      <c r="K459" s="5">
        <v>2</v>
      </c>
      <c r="L459" s="5">
        <v>0.86</v>
      </c>
      <c r="M459" s="5">
        <v>23.58</v>
      </c>
      <c r="N459" s="5" t="s">
        <v>29</v>
      </c>
      <c r="O459" s="5" t="s">
        <v>24</v>
      </c>
      <c r="P459" s="5">
        <v>6</v>
      </c>
      <c r="Q459" s="5">
        <v>10</v>
      </c>
      <c r="R459" s="5" t="b">
        <v>1</v>
      </c>
      <c r="S459" s="5">
        <v>14</v>
      </c>
      <c r="T459" s="5">
        <v>5</v>
      </c>
    </row>
    <row r="460" spans="1:20">
      <c r="A460" s="5" t="s">
        <v>963</v>
      </c>
      <c r="B460" s="5" t="s">
        <v>964</v>
      </c>
      <c r="C460" s="6">
        <v>44970</v>
      </c>
      <c r="D460" s="6" t="str">
        <f t="shared" si="15"/>
        <v>Monday</v>
      </c>
      <c r="E460" s="5">
        <v>45</v>
      </c>
      <c r="F460" s="5" t="str">
        <f t="shared" si="14"/>
        <v>Gen X/Boomers</v>
      </c>
      <c r="G460" s="5" t="s">
        <v>20</v>
      </c>
      <c r="H460" s="5" t="s">
        <v>36</v>
      </c>
      <c r="I460" s="5" t="s">
        <v>37</v>
      </c>
      <c r="J460" s="5">
        <v>2059.12</v>
      </c>
      <c r="K460" s="5">
        <v>5</v>
      </c>
      <c r="L460" s="5">
        <v>0</v>
      </c>
      <c r="M460" s="5">
        <v>10295.6</v>
      </c>
      <c r="N460" s="5" t="s">
        <v>23</v>
      </c>
      <c r="O460" s="5" t="s">
        <v>24</v>
      </c>
      <c r="P460" s="5">
        <v>3</v>
      </c>
      <c r="Q460" s="5">
        <v>9</v>
      </c>
      <c r="R460" s="5" t="b">
        <v>0</v>
      </c>
      <c r="S460" s="5">
        <v>5</v>
      </c>
      <c r="T460" s="5">
        <v>4</v>
      </c>
    </row>
    <row r="461" spans="1:20">
      <c r="A461" s="5" t="s">
        <v>965</v>
      </c>
      <c r="B461" s="5" t="s">
        <v>966</v>
      </c>
      <c r="C461" s="6">
        <v>44970</v>
      </c>
      <c r="D461" s="6" t="str">
        <f t="shared" si="15"/>
        <v>Monday</v>
      </c>
      <c r="E461" s="5">
        <v>42</v>
      </c>
      <c r="F461" s="5" t="str">
        <f t="shared" si="14"/>
        <v>Millennials</v>
      </c>
      <c r="G461" s="5" t="s">
        <v>27</v>
      </c>
      <c r="H461" s="5" t="s">
        <v>178</v>
      </c>
      <c r="I461" s="5" t="s">
        <v>67</v>
      </c>
      <c r="J461" s="5">
        <v>655.26</v>
      </c>
      <c r="K461" s="5">
        <v>1</v>
      </c>
      <c r="L461" s="5">
        <v>189.72</v>
      </c>
      <c r="M461" s="5">
        <v>465.54</v>
      </c>
      <c r="N461" s="5" t="s">
        <v>49</v>
      </c>
      <c r="O461" s="5" t="s">
        <v>24</v>
      </c>
      <c r="P461" s="5">
        <v>18</v>
      </c>
      <c r="Q461" s="5">
        <v>11</v>
      </c>
      <c r="R461" s="5" t="b">
        <v>1</v>
      </c>
      <c r="S461" s="5">
        <v>7</v>
      </c>
      <c r="T461" s="5">
        <v>1</v>
      </c>
    </row>
    <row r="462" spans="1:20">
      <c r="A462" s="5" t="s">
        <v>967</v>
      </c>
      <c r="B462" s="5" t="s">
        <v>968</v>
      </c>
      <c r="C462" s="6">
        <v>44970</v>
      </c>
      <c r="D462" s="6" t="str">
        <f t="shared" si="15"/>
        <v>Monday</v>
      </c>
      <c r="E462" s="5">
        <v>33</v>
      </c>
      <c r="F462" s="5" t="str">
        <f t="shared" si="14"/>
        <v>Millennials</v>
      </c>
      <c r="G462" s="5" t="s">
        <v>20</v>
      </c>
      <c r="H462" s="5" t="s">
        <v>36</v>
      </c>
      <c r="I462" s="5" t="s">
        <v>37</v>
      </c>
      <c r="J462" s="5">
        <v>1404.36</v>
      </c>
      <c r="K462" s="5">
        <v>1</v>
      </c>
      <c r="L462" s="5">
        <v>0</v>
      </c>
      <c r="M462" s="5">
        <v>1404.36</v>
      </c>
      <c r="N462" s="5" t="s">
        <v>23</v>
      </c>
      <c r="O462" s="5" t="s">
        <v>24</v>
      </c>
      <c r="P462" s="5">
        <v>12</v>
      </c>
      <c r="Q462" s="5">
        <v>10</v>
      </c>
      <c r="R462" s="5" t="b">
        <v>1</v>
      </c>
      <c r="S462" s="5">
        <v>10</v>
      </c>
      <c r="T462" s="5">
        <v>4</v>
      </c>
    </row>
    <row r="463" spans="1:20">
      <c r="A463" s="5" t="s">
        <v>969</v>
      </c>
      <c r="B463" s="5" t="s">
        <v>970</v>
      </c>
      <c r="C463" s="6">
        <v>44970</v>
      </c>
      <c r="D463" s="6" t="str">
        <f t="shared" si="15"/>
        <v>Monday</v>
      </c>
      <c r="E463" s="5">
        <v>52</v>
      </c>
      <c r="F463" s="5" t="str">
        <f t="shared" si="14"/>
        <v>Gen X/Boomers</v>
      </c>
      <c r="G463" s="5" t="s">
        <v>20</v>
      </c>
      <c r="H463" s="5" t="s">
        <v>36</v>
      </c>
      <c r="I463" s="5" t="s">
        <v>45</v>
      </c>
      <c r="J463" s="5">
        <v>78.430000000000007</v>
      </c>
      <c r="K463" s="5">
        <v>1</v>
      </c>
      <c r="L463" s="5">
        <v>0</v>
      </c>
      <c r="M463" s="5">
        <v>78.430000000000007</v>
      </c>
      <c r="N463" s="5" t="s">
        <v>29</v>
      </c>
      <c r="O463" s="5" t="s">
        <v>42</v>
      </c>
      <c r="P463" s="5">
        <v>10</v>
      </c>
      <c r="Q463" s="5">
        <v>11</v>
      </c>
      <c r="R463" s="5" t="b">
        <v>1</v>
      </c>
      <c r="S463" s="5">
        <v>8</v>
      </c>
      <c r="T463" s="5">
        <v>5</v>
      </c>
    </row>
    <row r="464" spans="1:20">
      <c r="A464" s="5" t="s">
        <v>971</v>
      </c>
      <c r="B464" s="5" t="s">
        <v>972</v>
      </c>
      <c r="C464" s="6">
        <v>44970</v>
      </c>
      <c r="D464" s="6" t="str">
        <f t="shared" si="15"/>
        <v>Monday</v>
      </c>
      <c r="E464" s="5">
        <v>44</v>
      </c>
      <c r="F464" s="5" t="str">
        <f t="shared" si="14"/>
        <v>Millennials</v>
      </c>
      <c r="G464" s="5" t="s">
        <v>27</v>
      </c>
      <c r="H464" s="5" t="s">
        <v>83</v>
      </c>
      <c r="I464" s="5" t="s">
        <v>37</v>
      </c>
      <c r="J464" s="5">
        <v>1513.36</v>
      </c>
      <c r="K464" s="5">
        <v>3</v>
      </c>
      <c r="L464" s="5">
        <v>0</v>
      </c>
      <c r="M464" s="5">
        <v>4540.08</v>
      </c>
      <c r="N464" s="5" t="s">
        <v>23</v>
      </c>
      <c r="O464" s="5" t="s">
        <v>24</v>
      </c>
      <c r="P464" s="5">
        <v>19</v>
      </c>
      <c r="Q464" s="5">
        <v>7</v>
      </c>
      <c r="R464" s="5" t="b">
        <v>0</v>
      </c>
      <c r="S464" s="5">
        <v>8</v>
      </c>
      <c r="T464" s="5">
        <v>3</v>
      </c>
    </row>
    <row r="465" spans="1:20">
      <c r="A465" s="5" t="s">
        <v>973</v>
      </c>
      <c r="B465" s="5" t="s">
        <v>974</v>
      </c>
      <c r="C465" s="6">
        <v>44971</v>
      </c>
      <c r="D465" s="6" t="str">
        <f t="shared" si="15"/>
        <v>Tuesday</v>
      </c>
      <c r="E465" s="5">
        <v>28</v>
      </c>
      <c r="F465" s="5" t="str">
        <f t="shared" si="14"/>
        <v>Millennials</v>
      </c>
      <c r="G465" s="5" t="s">
        <v>27</v>
      </c>
      <c r="H465" s="5" t="s">
        <v>124</v>
      </c>
      <c r="I465" s="5" t="s">
        <v>40</v>
      </c>
      <c r="J465" s="5">
        <v>1142.57</v>
      </c>
      <c r="K465" s="5">
        <v>1</v>
      </c>
      <c r="L465" s="5">
        <v>232.85</v>
      </c>
      <c r="M465" s="5">
        <v>909.72</v>
      </c>
      <c r="N465" s="5" t="s">
        <v>41</v>
      </c>
      <c r="O465" s="5" t="s">
        <v>24</v>
      </c>
      <c r="P465" s="5">
        <v>7</v>
      </c>
      <c r="Q465" s="5">
        <v>11</v>
      </c>
      <c r="R465" s="5" t="b">
        <v>0</v>
      </c>
      <c r="S465" s="5">
        <v>4</v>
      </c>
      <c r="T465" s="5">
        <v>5</v>
      </c>
    </row>
    <row r="466" spans="1:20">
      <c r="A466" s="5" t="s">
        <v>975</v>
      </c>
      <c r="B466" s="5" t="s">
        <v>976</v>
      </c>
      <c r="C466" s="6">
        <v>44971</v>
      </c>
      <c r="D466" s="6" t="str">
        <f t="shared" si="15"/>
        <v>Tuesday</v>
      </c>
      <c r="E466" s="5">
        <v>18</v>
      </c>
      <c r="F466" s="5" t="str">
        <f t="shared" si="14"/>
        <v>Gen Z</v>
      </c>
      <c r="G466" s="5" t="s">
        <v>20</v>
      </c>
      <c r="H466" s="5" t="s">
        <v>48</v>
      </c>
      <c r="I466" s="5" t="s">
        <v>45</v>
      </c>
      <c r="J466" s="5">
        <v>180.24</v>
      </c>
      <c r="K466" s="5">
        <v>2</v>
      </c>
      <c r="L466" s="5">
        <v>0</v>
      </c>
      <c r="M466" s="5">
        <v>360.48</v>
      </c>
      <c r="N466" s="5" t="s">
        <v>29</v>
      </c>
      <c r="O466" s="5" t="s">
        <v>55</v>
      </c>
      <c r="P466" s="5">
        <v>10</v>
      </c>
      <c r="Q466" s="5">
        <v>8</v>
      </c>
      <c r="R466" s="5" t="b">
        <v>0</v>
      </c>
      <c r="S466" s="5">
        <v>9</v>
      </c>
      <c r="T466" s="5">
        <v>5</v>
      </c>
    </row>
    <row r="467" spans="1:20">
      <c r="A467" s="5" t="s">
        <v>977</v>
      </c>
      <c r="B467" s="5" t="s">
        <v>978</v>
      </c>
      <c r="C467" s="6">
        <v>44971</v>
      </c>
      <c r="D467" s="6" t="str">
        <f t="shared" si="15"/>
        <v>Tuesday</v>
      </c>
      <c r="E467" s="5">
        <v>18</v>
      </c>
      <c r="F467" s="5" t="str">
        <f t="shared" si="14"/>
        <v>Gen Z</v>
      </c>
      <c r="G467" s="5" t="s">
        <v>20</v>
      </c>
      <c r="H467" s="5" t="s">
        <v>32</v>
      </c>
      <c r="I467" s="5" t="s">
        <v>67</v>
      </c>
      <c r="J467" s="5">
        <v>988.27</v>
      </c>
      <c r="K467" s="5">
        <v>1</v>
      </c>
      <c r="L467" s="5">
        <v>175.55</v>
      </c>
      <c r="M467" s="5">
        <v>812.72</v>
      </c>
      <c r="N467" s="5" t="s">
        <v>23</v>
      </c>
      <c r="O467" s="5" t="s">
        <v>24</v>
      </c>
      <c r="P467" s="5">
        <v>19</v>
      </c>
      <c r="Q467" s="5">
        <v>15</v>
      </c>
      <c r="R467" s="5" t="b">
        <v>0</v>
      </c>
      <c r="S467" s="5">
        <v>4</v>
      </c>
      <c r="T467" s="5">
        <v>4</v>
      </c>
    </row>
    <row r="468" spans="1:20">
      <c r="A468" s="5" t="s">
        <v>979</v>
      </c>
      <c r="B468" s="5" t="s">
        <v>980</v>
      </c>
      <c r="C468" s="6">
        <v>44971</v>
      </c>
      <c r="D468" s="6" t="str">
        <f t="shared" si="15"/>
        <v>Tuesday</v>
      </c>
      <c r="E468" s="5">
        <v>18</v>
      </c>
      <c r="F468" s="5" t="str">
        <f t="shared" si="14"/>
        <v>Gen Z</v>
      </c>
      <c r="G468" s="5" t="s">
        <v>27</v>
      </c>
      <c r="H468" s="5" t="s">
        <v>36</v>
      </c>
      <c r="I468" s="5" t="s">
        <v>67</v>
      </c>
      <c r="J468" s="5">
        <v>267.27999999999997</v>
      </c>
      <c r="K468" s="5">
        <v>4</v>
      </c>
      <c r="L468" s="5">
        <v>0</v>
      </c>
      <c r="M468" s="5">
        <v>1069.1199999999999</v>
      </c>
      <c r="N468" s="5" t="s">
        <v>29</v>
      </c>
      <c r="O468" s="5" t="s">
        <v>24</v>
      </c>
      <c r="P468" s="5">
        <v>17</v>
      </c>
      <c r="Q468" s="5">
        <v>8</v>
      </c>
      <c r="R468" s="5" t="b">
        <v>1</v>
      </c>
      <c r="S468" s="5">
        <v>9</v>
      </c>
      <c r="T468" s="5">
        <v>3</v>
      </c>
    </row>
    <row r="469" spans="1:20">
      <c r="A469" s="5" t="s">
        <v>981</v>
      </c>
      <c r="B469" s="5" t="s">
        <v>982</v>
      </c>
      <c r="C469" s="6">
        <v>44971</v>
      </c>
      <c r="D469" s="6" t="str">
        <f t="shared" si="15"/>
        <v>Tuesday</v>
      </c>
      <c r="E469" s="5">
        <v>55</v>
      </c>
      <c r="F469" s="5" t="str">
        <f t="shared" si="14"/>
        <v>Gen X/Boomers</v>
      </c>
      <c r="G469" s="5" t="s">
        <v>20</v>
      </c>
      <c r="H469" s="5" t="s">
        <v>178</v>
      </c>
      <c r="I469" s="5" t="s">
        <v>45</v>
      </c>
      <c r="J469" s="5">
        <v>141.27000000000001</v>
      </c>
      <c r="K469" s="5">
        <v>5</v>
      </c>
      <c r="L469" s="5">
        <v>14.39</v>
      </c>
      <c r="M469" s="5">
        <v>691.96</v>
      </c>
      <c r="N469" s="5" t="s">
        <v>29</v>
      </c>
      <c r="O469" s="5" t="s">
        <v>42</v>
      </c>
      <c r="P469" s="5">
        <v>33</v>
      </c>
      <c r="Q469" s="5">
        <v>8</v>
      </c>
      <c r="R469" s="5" t="b">
        <v>0</v>
      </c>
      <c r="S469" s="5">
        <v>25</v>
      </c>
      <c r="T469" s="5">
        <v>5</v>
      </c>
    </row>
    <row r="470" spans="1:20">
      <c r="A470" s="5" t="s">
        <v>983</v>
      </c>
      <c r="B470" s="5" t="s">
        <v>984</v>
      </c>
      <c r="C470" s="6">
        <v>44971</v>
      </c>
      <c r="D470" s="6" t="str">
        <f t="shared" si="15"/>
        <v>Tuesday</v>
      </c>
      <c r="E470" s="5">
        <v>46</v>
      </c>
      <c r="F470" s="5" t="str">
        <f t="shared" si="14"/>
        <v>Gen X/Boomers</v>
      </c>
      <c r="G470" s="5" t="s">
        <v>27</v>
      </c>
      <c r="H470" s="5" t="s">
        <v>36</v>
      </c>
      <c r="I470" s="5" t="s">
        <v>40</v>
      </c>
      <c r="J470" s="5">
        <v>1206.1600000000001</v>
      </c>
      <c r="K470" s="5">
        <v>1</v>
      </c>
      <c r="L470" s="5">
        <v>0</v>
      </c>
      <c r="M470" s="5">
        <v>1206.1600000000001</v>
      </c>
      <c r="N470" s="5" t="s">
        <v>23</v>
      </c>
      <c r="O470" s="5" t="s">
        <v>24</v>
      </c>
      <c r="P470" s="5">
        <v>3</v>
      </c>
      <c r="Q470" s="5">
        <v>5</v>
      </c>
      <c r="R470" s="5" t="b">
        <v>1</v>
      </c>
      <c r="S470" s="5">
        <v>7</v>
      </c>
      <c r="T470" s="5">
        <v>4</v>
      </c>
    </row>
    <row r="471" spans="1:20">
      <c r="A471" s="5" t="s">
        <v>985</v>
      </c>
      <c r="B471" s="5" t="s">
        <v>986</v>
      </c>
      <c r="C471" s="6">
        <v>44971</v>
      </c>
      <c r="D471" s="6" t="str">
        <f t="shared" si="15"/>
        <v>Tuesday</v>
      </c>
      <c r="E471" s="5">
        <v>49</v>
      </c>
      <c r="F471" s="5" t="str">
        <f t="shared" si="14"/>
        <v>Gen X/Boomers</v>
      </c>
      <c r="G471" s="5" t="s">
        <v>27</v>
      </c>
      <c r="H471" s="5" t="s">
        <v>48</v>
      </c>
      <c r="I471" s="5" t="s">
        <v>33</v>
      </c>
      <c r="J471" s="5">
        <v>176.39</v>
      </c>
      <c r="K471" s="5">
        <v>1</v>
      </c>
      <c r="L471" s="5">
        <v>0</v>
      </c>
      <c r="M471" s="5">
        <v>176.39</v>
      </c>
      <c r="N471" s="5" t="s">
        <v>29</v>
      </c>
      <c r="O471" s="5" t="s">
        <v>24</v>
      </c>
      <c r="P471" s="5">
        <v>9</v>
      </c>
      <c r="Q471" s="5">
        <v>10</v>
      </c>
      <c r="R471" s="5" t="b">
        <v>1</v>
      </c>
      <c r="S471" s="5">
        <v>3</v>
      </c>
      <c r="T471" s="5">
        <v>5</v>
      </c>
    </row>
    <row r="472" spans="1:20">
      <c r="A472" s="5" t="s">
        <v>987</v>
      </c>
      <c r="B472" s="5" t="s">
        <v>988</v>
      </c>
      <c r="C472" s="6">
        <v>44971</v>
      </c>
      <c r="D472" s="6" t="str">
        <f t="shared" si="15"/>
        <v>Tuesday</v>
      </c>
      <c r="E472" s="5">
        <v>18</v>
      </c>
      <c r="F472" s="5" t="str">
        <f t="shared" si="14"/>
        <v>Gen Z</v>
      </c>
      <c r="G472" s="5" t="s">
        <v>20</v>
      </c>
      <c r="H472" s="5" t="s">
        <v>28</v>
      </c>
      <c r="I472" s="5" t="s">
        <v>33</v>
      </c>
      <c r="J472" s="5">
        <v>30.18</v>
      </c>
      <c r="K472" s="5">
        <v>1</v>
      </c>
      <c r="L472" s="5">
        <v>0</v>
      </c>
      <c r="M472" s="5">
        <v>30.18</v>
      </c>
      <c r="N472" s="5" t="s">
        <v>29</v>
      </c>
      <c r="O472" s="5" t="s">
        <v>42</v>
      </c>
      <c r="P472" s="5">
        <v>9</v>
      </c>
      <c r="Q472" s="5">
        <v>9</v>
      </c>
      <c r="R472" s="5" t="b">
        <v>1</v>
      </c>
      <c r="S472" s="5">
        <v>14</v>
      </c>
      <c r="T472" s="5">
        <v>3</v>
      </c>
    </row>
    <row r="473" spans="1:20">
      <c r="A473" s="5" t="s">
        <v>989</v>
      </c>
      <c r="B473" s="5" t="s">
        <v>990</v>
      </c>
      <c r="C473" s="6">
        <v>44971</v>
      </c>
      <c r="D473" s="6" t="str">
        <f t="shared" si="15"/>
        <v>Tuesday</v>
      </c>
      <c r="E473" s="5">
        <v>40</v>
      </c>
      <c r="F473" s="5" t="str">
        <f t="shared" si="14"/>
        <v>Millennials</v>
      </c>
      <c r="G473" s="5" t="s">
        <v>20</v>
      </c>
      <c r="H473" s="5" t="s">
        <v>48</v>
      </c>
      <c r="I473" s="5" t="s">
        <v>37</v>
      </c>
      <c r="J473" s="5">
        <v>2205.66</v>
      </c>
      <c r="K473" s="5">
        <v>1</v>
      </c>
      <c r="L473" s="5">
        <v>278.63</v>
      </c>
      <c r="M473" s="5">
        <v>1927.03</v>
      </c>
      <c r="N473" s="5" t="s">
        <v>29</v>
      </c>
      <c r="O473" s="5" t="s">
        <v>24</v>
      </c>
      <c r="P473" s="5">
        <v>5</v>
      </c>
      <c r="Q473" s="5">
        <v>6</v>
      </c>
      <c r="R473" s="5" t="b">
        <v>1</v>
      </c>
      <c r="S473" s="5">
        <v>10</v>
      </c>
      <c r="T473" s="5">
        <v>5</v>
      </c>
    </row>
    <row r="474" spans="1:20">
      <c r="A474" s="5" t="s">
        <v>991</v>
      </c>
      <c r="B474" s="5" t="s">
        <v>992</v>
      </c>
      <c r="C474" s="6">
        <v>44971</v>
      </c>
      <c r="D474" s="6" t="str">
        <f t="shared" si="15"/>
        <v>Tuesday</v>
      </c>
      <c r="E474" s="5">
        <v>51</v>
      </c>
      <c r="F474" s="5" t="str">
        <f t="shared" si="14"/>
        <v>Gen X/Boomers</v>
      </c>
      <c r="G474" s="5" t="s">
        <v>27</v>
      </c>
      <c r="H474" s="5" t="s">
        <v>48</v>
      </c>
      <c r="I474" s="5" t="s">
        <v>33</v>
      </c>
      <c r="J474" s="5">
        <v>48.01</v>
      </c>
      <c r="K474" s="5">
        <v>1</v>
      </c>
      <c r="L474" s="5">
        <v>0</v>
      </c>
      <c r="M474" s="5">
        <v>48.01</v>
      </c>
      <c r="N474" s="5" t="s">
        <v>29</v>
      </c>
      <c r="O474" s="5" t="s">
        <v>42</v>
      </c>
      <c r="P474" s="5">
        <v>8</v>
      </c>
      <c r="Q474" s="5">
        <v>6</v>
      </c>
      <c r="R474" s="5" t="b">
        <v>0</v>
      </c>
      <c r="S474" s="5">
        <v>6</v>
      </c>
      <c r="T474" s="5">
        <v>5</v>
      </c>
    </row>
    <row r="475" spans="1:20">
      <c r="A475" s="5" t="s">
        <v>993</v>
      </c>
      <c r="B475" s="5" t="s">
        <v>994</v>
      </c>
      <c r="C475" s="6">
        <v>44972</v>
      </c>
      <c r="D475" s="6" t="str">
        <f t="shared" si="15"/>
        <v>Wednesday</v>
      </c>
      <c r="E475" s="5">
        <v>23</v>
      </c>
      <c r="F475" s="5" t="str">
        <f t="shared" si="14"/>
        <v>Gen Z</v>
      </c>
      <c r="G475" s="5" t="s">
        <v>20</v>
      </c>
      <c r="H475" s="5" t="s">
        <v>83</v>
      </c>
      <c r="I475" s="5" t="s">
        <v>22</v>
      </c>
      <c r="J475" s="5">
        <v>83.63</v>
      </c>
      <c r="K475" s="5">
        <v>2</v>
      </c>
      <c r="L475" s="5">
        <v>0</v>
      </c>
      <c r="M475" s="5">
        <v>167.26</v>
      </c>
      <c r="N475" s="5" t="s">
        <v>49</v>
      </c>
      <c r="O475" s="5" t="s">
        <v>42</v>
      </c>
      <c r="P475" s="5">
        <v>13</v>
      </c>
      <c r="Q475" s="5">
        <v>6</v>
      </c>
      <c r="R475" s="5" t="b">
        <v>1</v>
      </c>
      <c r="S475" s="5">
        <v>4</v>
      </c>
      <c r="T475" s="5">
        <v>5</v>
      </c>
    </row>
    <row r="476" spans="1:20">
      <c r="A476" s="5" t="s">
        <v>995</v>
      </c>
      <c r="B476" s="5" t="s">
        <v>996</v>
      </c>
      <c r="C476" s="6">
        <v>44972</v>
      </c>
      <c r="D476" s="6" t="str">
        <f t="shared" si="15"/>
        <v>Wednesday</v>
      </c>
      <c r="E476" s="5">
        <v>37</v>
      </c>
      <c r="F476" s="5" t="str">
        <f t="shared" si="14"/>
        <v>Millennials</v>
      </c>
      <c r="G476" s="5" t="s">
        <v>27</v>
      </c>
      <c r="H476" s="5" t="s">
        <v>36</v>
      </c>
      <c r="I476" s="5" t="s">
        <v>22</v>
      </c>
      <c r="J476" s="5">
        <v>136.94</v>
      </c>
      <c r="K476" s="5">
        <v>4</v>
      </c>
      <c r="L476" s="5">
        <v>0</v>
      </c>
      <c r="M476" s="5">
        <v>547.76</v>
      </c>
      <c r="N476" s="5" t="s">
        <v>29</v>
      </c>
      <c r="O476" s="5" t="s">
        <v>24</v>
      </c>
      <c r="P476" s="5">
        <v>17</v>
      </c>
      <c r="Q476" s="5">
        <v>8</v>
      </c>
      <c r="R476" s="5" t="b">
        <v>0</v>
      </c>
      <c r="S476" s="5">
        <v>6</v>
      </c>
      <c r="T476" s="5">
        <v>3</v>
      </c>
    </row>
    <row r="477" spans="1:20">
      <c r="A477" s="5" t="s">
        <v>997</v>
      </c>
      <c r="B477" s="5" t="s">
        <v>998</v>
      </c>
      <c r="C477" s="6">
        <v>44972</v>
      </c>
      <c r="D477" s="6" t="str">
        <f t="shared" si="15"/>
        <v>Wednesday</v>
      </c>
      <c r="E477" s="5">
        <v>41</v>
      </c>
      <c r="F477" s="5" t="str">
        <f t="shared" si="14"/>
        <v>Millennials</v>
      </c>
      <c r="G477" s="5" t="s">
        <v>20</v>
      </c>
      <c r="H477" s="5" t="s">
        <v>36</v>
      </c>
      <c r="I477" s="5" t="s">
        <v>40</v>
      </c>
      <c r="J477" s="5">
        <v>178.13</v>
      </c>
      <c r="K477" s="5">
        <v>1</v>
      </c>
      <c r="L477" s="5">
        <v>9.31</v>
      </c>
      <c r="M477" s="5">
        <v>168.82</v>
      </c>
      <c r="N477" s="5" t="s">
        <v>29</v>
      </c>
      <c r="O477" s="5" t="s">
        <v>42</v>
      </c>
      <c r="P477" s="5">
        <v>16</v>
      </c>
      <c r="Q477" s="5">
        <v>11</v>
      </c>
      <c r="R477" s="5" t="b">
        <v>0</v>
      </c>
      <c r="S477" s="5">
        <v>2</v>
      </c>
      <c r="T477" s="5">
        <v>3</v>
      </c>
    </row>
    <row r="478" spans="1:20">
      <c r="A478" s="5" t="s">
        <v>999</v>
      </c>
      <c r="B478" s="5" t="s">
        <v>1000</v>
      </c>
      <c r="C478" s="6">
        <v>44972</v>
      </c>
      <c r="D478" s="6" t="str">
        <f t="shared" si="15"/>
        <v>Wednesday</v>
      </c>
      <c r="E478" s="5">
        <v>44</v>
      </c>
      <c r="F478" s="5" t="str">
        <f t="shared" si="14"/>
        <v>Millennials</v>
      </c>
      <c r="G478" s="5" t="s">
        <v>20</v>
      </c>
      <c r="H478" s="5" t="s">
        <v>21</v>
      </c>
      <c r="I478" s="5" t="s">
        <v>22</v>
      </c>
      <c r="J478" s="5">
        <v>113.9</v>
      </c>
      <c r="K478" s="5">
        <v>1</v>
      </c>
      <c r="L478" s="5">
        <v>0</v>
      </c>
      <c r="M478" s="5">
        <v>113.9</v>
      </c>
      <c r="N478" s="5" t="s">
        <v>29</v>
      </c>
      <c r="O478" s="5" t="s">
        <v>24</v>
      </c>
      <c r="P478" s="5">
        <v>17</v>
      </c>
      <c r="Q478" s="5">
        <v>8</v>
      </c>
      <c r="R478" s="5" t="b">
        <v>0</v>
      </c>
      <c r="S478" s="5">
        <v>2</v>
      </c>
      <c r="T478" s="5">
        <v>3</v>
      </c>
    </row>
    <row r="479" spans="1:20">
      <c r="A479" s="5" t="s">
        <v>1001</v>
      </c>
      <c r="B479" s="5" t="s">
        <v>1002</v>
      </c>
      <c r="C479" s="6">
        <v>44972</v>
      </c>
      <c r="D479" s="6" t="str">
        <f t="shared" si="15"/>
        <v>Wednesday</v>
      </c>
      <c r="E479" s="5">
        <v>19</v>
      </c>
      <c r="F479" s="5" t="str">
        <f t="shared" si="14"/>
        <v>Gen Z</v>
      </c>
      <c r="G479" s="5" t="s">
        <v>27</v>
      </c>
      <c r="H479" s="5" t="s">
        <v>178</v>
      </c>
      <c r="I479" s="5" t="s">
        <v>22</v>
      </c>
      <c r="J479" s="5">
        <v>386.68</v>
      </c>
      <c r="K479" s="5">
        <v>3</v>
      </c>
      <c r="L479" s="5">
        <v>0</v>
      </c>
      <c r="M479" s="5">
        <v>1160.04</v>
      </c>
      <c r="N479" s="5" t="s">
        <v>49</v>
      </c>
      <c r="O479" s="5" t="s">
        <v>42</v>
      </c>
      <c r="P479" s="5">
        <v>5</v>
      </c>
      <c r="Q479" s="5">
        <v>11</v>
      </c>
      <c r="R479" s="5" t="b">
        <v>1</v>
      </c>
      <c r="S479" s="5">
        <v>11</v>
      </c>
      <c r="T479" s="5">
        <v>4</v>
      </c>
    </row>
    <row r="480" spans="1:20">
      <c r="A480" s="5" t="s">
        <v>1003</v>
      </c>
      <c r="B480" s="5" t="s">
        <v>1004</v>
      </c>
      <c r="C480" s="6">
        <v>44973</v>
      </c>
      <c r="D480" s="6" t="str">
        <f t="shared" si="15"/>
        <v>Thursday</v>
      </c>
      <c r="E480" s="5">
        <v>48</v>
      </c>
      <c r="F480" s="5" t="str">
        <f t="shared" si="14"/>
        <v>Gen X/Boomers</v>
      </c>
      <c r="G480" s="5" t="s">
        <v>27</v>
      </c>
      <c r="H480" s="5" t="s">
        <v>32</v>
      </c>
      <c r="I480" s="5" t="s">
        <v>40</v>
      </c>
      <c r="J480" s="5">
        <v>102.23</v>
      </c>
      <c r="K480" s="5">
        <v>2</v>
      </c>
      <c r="L480" s="5">
        <v>0</v>
      </c>
      <c r="M480" s="5">
        <v>204.46</v>
      </c>
      <c r="N480" s="5" t="s">
        <v>29</v>
      </c>
      <c r="O480" s="5" t="s">
        <v>42</v>
      </c>
      <c r="P480" s="5">
        <v>18</v>
      </c>
      <c r="Q480" s="5">
        <v>9</v>
      </c>
      <c r="R480" s="5" t="b">
        <v>1</v>
      </c>
      <c r="S480" s="5">
        <v>4</v>
      </c>
      <c r="T480" s="5">
        <v>3</v>
      </c>
    </row>
    <row r="481" spans="1:20">
      <c r="A481" s="5" t="s">
        <v>1005</v>
      </c>
      <c r="B481" s="5" t="s">
        <v>1006</v>
      </c>
      <c r="C481" s="6">
        <v>44973</v>
      </c>
      <c r="D481" s="6" t="str">
        <f t="shared" si="15"/>
        <v>Thursday</v>
      </c>
      <c r="E481" s="5">
        <v>18</v>
      </c>
      <c r="F481" s="5" t="str">
        <f t="shared" si="14"/>
        <v>Gen Z</v>
      </c>
      <c r="G481" s="5" t="s">
        <v>20</v>
      </c>
      <c r="H481" s="5" t="s">
        <v>21</v>
      </c>
      <c r="I481" s="5" t="s">
        <v>40</v>
      </c>
      <c r="J481" s="5">
        <v>483.5</v>
      </c>
      <c r="K481" s="5">
        <v>4</v>
      </c>
      <c r="L481" s="5">
        <v>0</v>
      </c>
      <c r="M481" s="5">
        <v>1934</v>
      </c>
      <c r="N481" s="5" t="s">
        <v>41</v>
      </c>
      <c r="O481" s="5" t="s">
        <v>24</v>
      </c>
      <c r="P481" s="5">
        <v>16</v>
      </c>
      <c r="Q481" s="5">
        <v>7</v>
      </c>
      <c r="R481" s="5" t="b">
        <v>0</v>
      </c>
      <c r="S481" s="5">
        <v>6</v>
      </c>
      <c r="T481" s="5">
        <v>3</v>
      </c>
    </row>
    <row r="482" spans="1:20">
      <c r="A482" s="5" t="s">
        <v>1007</v>
      </c>
      <c r="B482" s="5" t="s">
        <v>1008</v>
      </c>
      <c r="C482" s="6">
        <v>44973</v>
      </c>
      <c r="D482" s="6" t="str">
        <f t="shared" si="15"/>
        <v>Thursday</v>
      </c>
      <c r="E482" s="5">
        <v>44</v>
      </c>
      <c r="F482" s="5" t="str">
        <f t="shared" si="14"/>
        <v>Millennials</v>
      </c>
      <c r="G482" s="5" t="s">
        <v>20</v>
      </c>
      <c r="H482" s="5" t="s">
        <v>28</v>
      </c>
      <c r="I482" s="5" t="s">
        <v>37</v>
      </c>
      <c r="J482" s="5">
        <v>2671.07</v>
      </c>
      <c r="K482" s="5">
        <v>4</v>
      </c>
      <c r="L482" s="5">
        <v>192.22</v>
      </c>
      <c r="M482" s="5">
        <v>10492.06</v>
      </c>
      <c r="N482" s="5" t="s">
        <v>99</v>
      </c>
      <c r="O482" s="5" t="s">
        <v>24</v>
      </c>
      <c r="P482" s="5">
        <v>34</v>
      </c>
      <c r="Q482" s="5">
        <v>12</v>
      </c>
      <c r="R482" s="5" t="b">
        <v>0</v>
      </c>
      <c r="S482" s="5">
        <v>3</v>
      </c>
      <c r="T482" s="5">
        <v>4</v>
      </c>
    </row>
    <row r="483" spans="1:20">
      <c r="A483" s="5" t="s">
        <v>1009</v>
      </c>
      <c r="B483" s="5" t="s">
        <v>1010</v>
      </c>
      <c r="C483" s="6">
        <v>44973</v>
      </c>
      <c r="D483" s="6" t="str">
        <f t="shared" si="15"/>
        <v>Thursday</v>
      </c>
      <c r="E483" s="5">
        <v>37</v>
      </c>
      <c r="F483" s="5" t="str">
        <f t="shared" si="14"/>
        <v>Millennials</v>
      </c>
      <c r="G483" s="5" t="s">
        <v>20</v>
      </c>
      <c r="H483" s="5" t="s">
        <v>83</v>
      </c>
      <c r="I483" s="5" t="s">
        <v>22</v>
      </c>
      <c r="J483" s="5">
        <v>19.84</v>
      </c>
      <c r="K483" s="5">
        <v>4</v>
      </c>
      <c r="L483" s="5">
        <v>0</v>
      </c>
      <c r="M483" s="5">
        <v>79.36</v>
      </c>
      <c r="N483" s="5" t="s">
        <v>99</v>
      </c>
      <c r="O483" s="5" t="s">
        <v>24</v>
      </c>
      <c r="P483" s="5">
        <v>27</v>
      </c>
      <c r="Q483" s="5">
        <v>7</v>
      </c>
      <c r="R483" s="5" t="b">
        <v>0</v>
      </c>
      <c r="S483" s="5">
        <v>8</v>
      </c>
      <c r="T483" s="5">
        <v>4</v>
      </c>
    </row>
    <row r="484" spans="1:20">
      <c r="A484" s="5" t="s">
        <v>1011</v>
      </c>
      <c r="B484" s="5" t="s">
        <v>1012</v>
      </c>
      <c r="C484" s="6">
        <v>44973</v>
      </c>
      <c r="D484" s="6" t="str">
        <f t="shared" si="15"/>
        <v>Thursday</v>
      </c>
      <c r="E484" s="5">
        <v>29</v>
      </c>
      <c r="F484" s="5" t="str">
        <f t="shared" si="14"/>
        <v>Millennials</v>
      </c>
      <c r="G484" s="5" t="s">
        <v>20</v>
      </c>
      <c r="H484" s="5" t="s">
        <v>124</v>
      </c>
      <c r="I484" s="5" t="s">
        <v>33</v>
      </c>
      <c r="J484" s="5">
        <v>46.87</v>
      </c>
      <c r="K484" s="5">
        <v>2</v>
      </c>
      <c r="L484" s="5">
        <v>0</v>
      </c>
      <c r="M484" s="5">
        <v>93.74</v>
      </c>
      <c r="N484" s="5" t="s">
        <v>49</v>
      </c>
      <c r="O484" s="5" t="s">
        <v>42</v>
      </c>
      <c r="P484" s="5">
        <v>13</v>
      </c>
      <c r="Q484" s="5">
        <v>8</v>
      </c>
      <c r="R484" s="5" t="b">
        <v>1</v>
      </c>
      <c r="S484" s="5">
        <v>2</v>
      </c>
      <c r="T484" s="5">
        <v>5</v>
      </c>
    </row>
    <row r="485" spans="1:20">
      <c r="A485" s="5" t="s">
        <v>1013</v>
      </c>
      <c r="B485" s="5" t="s">
        <v>1014</v>
      </c>
      <c r="C485" s="6">
        <v>44973</v>
      </c>
      <c r="D485" s="6" t="str">
        <f t="shared" si="15"/>
        <v>Thursday</v>
      </c>
      <c r="E485" s="5">
        <v>18</v>
      </c>
      <c r="F485" s="5" t="str">
        <f t="shared" si="14"/>
        <v>Gen Z</v>
      </c>
      <c r="G485" s="5" t="s">
        <v>20</v>
      </c>
      <c r="H485" s="5" t="s">
        <v>83</v>
      </c>
      <c r="I485" s="5" t="s">
        <v>70</v>
      </c>
      <c r="J485" s="5">
        <v>28.38</v>
      </c>
      <c r="K485" s="5">
        <v>3</v>
      </c>
      <c r="L485" s="5">
        <v>0</v>
      </c>
      <c r="M485" s="5">
        <v>85.14</v>
      </c>
      <c r="N485" s="5" t="s">
        <v>29</v>
      </c>
      <c r="O485" s="5" t="s">
        <v>24</v>
      </c>
      <c r="P485" s="5">
        <v>9</v>
      </c>
      <c r="Q485" s="5">
        <v>9</v>
      </c>
      <c r="R485" s="5" t="b">
        <v>1</v>
      </c>
      <c r="S485" s="5">
        <v>5</v>
      </c>
      <c r="T485" s="5">
        <v>3</v>
      </c>
    </row>
    <row r="486" spans="1:20">
      <c r="A486" s="5" t="s">
        <v>1015</v>
      </c>
      <c r="B486" s="5" t="s">
        <v>1016</v>
      </c>
      <c r="C486" s="6">
        <v>44973</v>
      </c>
      <c r="D486" s="6" t="str">
        <f t="shared" si="15"/>
        <v>Thursday</v>
      </c>
      <c r="E486" s="5">
        <v>53</v>
      </c>
      <c r="F486" s="5" t="str">
        <f t="shared" si="14"/>
        <v>Gen X/Boomers</v>
      </c>
      <c r="G486" s="5" t="s">
        <v>20</v>
      </c>
      <c r="H486" s="5" t="s">
        <v>28</v>
      </c>
      <c r="I486" s="5" t="s">
        <v>54</v>
      </c>
      <c r="J486" s="5">
        <v>479.56</v>
      </c>
      <c r="K486" s="5">
        <v>2</v>
      </c>
      <c r="L486" s="5">
        <v>0</v>
      </c>
      <c r="M486" s="5">
        <v>959.12</v>
      </c>
      <c r="N486" s="5" t="s">
        <v>99</v>
      </c>
      <c r="O486" s="5" t="s">
        <v>42</v>
      </c>
      <c r="P486" s="5">
        <v>7</v>
      </c>
      <c r="Q486" s="5">
        <v>9</v>
      </c>
      <c r="R486" s="5" t="b">
        <v>1</v>
      </c>
      <c r="S486" s="5">
        <v>8</v>
      </c>
      <c r="T486" s="5">
        <v>4</v>
      </c>
    </row>
    <row r="487" spans="1:20">
      <c r="A487" s="5" t="s">
        <v>1017</v>
      </c>
      <c r="B487" s="5" t="s">
        <v>1018</v>
      </c>
      <c r="C487" s="6">
        <v>44973</v>
      </c>
      <c r="D487" s="6" t="str">
        <f t="shared" si="15"/>
        <v>Thursday</v>
      </c>
      <c r="E487" s="5">
        <v>32</v>
      </c>
      <c r="F487" s="5" t="str">
        <f t="shared" si="14"/>
        <v>Millennials</v>
      </c>
      <c r="G487" s="5" t="s">
        <v>27</v>
      </c>
      <c r="H487" s="5" t="s">
        <v>32</v>
      </c>
      <c r="I487" s="5" t="s">
        <v>37</v>
      </c>
      <c r="J487" s="5">
        <v>1153.29</v>
      </c>
      <c r="K487" s="5">
        <v>1</v>
      </c>
      <c r="L487" s="5">
        <v>0</v>
      </c>
      <c r="M487" s="5">
        <v>1153.29</v>
      </c>
      <c r="N487" s="5" t="s">
        <v>99</v>
      </c>
      <c r="O487" s="5" t="s">
        <v>42</v>
      </c>
      <c r="P487" s="5">
        <v>13</v>
      </c>
      <c r="Q487" s="5">
        <v>7</v>
      </c>
      <c r="R487" s="5" t="b">
        <v>1</v>
      </c>
      <c r="S487" s="5">
        <v>7</v>
      </c>
      <c r="T487" s="5">
        <v>2</v>
      </c>
    </row>
    <row r="488" spans="1:20">
      <c r="A488" s="5" t="s">
        <v>1019</v>
      </c>
      <c r="B488" s="5" t="s">
        <v>1020</v>
      </c>
      <c r="C488" s="6">
        <v>44973</v>
      </c>
      <c r="D488" s="6" t="str">
        <f t="shared" si="15"/>
        <v>Thursday</v>
      </c>
      <c r="E488" s="5">
        <v>62</v>
      </c>
      <c r="F488" s="5" t="str">
        <f t="shared" si="14"/>
        <v>Gen X/Boomers</v>
      </c>
      <c r="G488" s="5" t="s">
        <v>20</v>
      </c>
      <c r="H488" s="5" t="s">
        <v>32</v>
      </c>
      <c r="I488" s="5" t="s">
        <v>67</v>
      </c>
      <c r="J488" s="5">
        <v>666.16</v>
      </c>
      <c r="K488" s="5">
        <v>1</v>
      </c>
      <c r="L488" s="5">
        <v>192.62</v>
      </c>
      <c r="M488" s="5">
        <v>473.54</v>
      </c>
      <c r="N488" s="5" t="s">
        <v>99</v>
      </c>
      <c r="O488" s="5" t="s">
        <v>42</v>
      </c>
      <c r="P488" s="5">
        <v>13</v>
      </c>
      <c r="Q488" s="5">
        <v>7</v>
      </c>
      <c r="R488" s="5" t="b">
        <v>1</v>
      </c>
      <c r="S488" s="5">
        <v>7</v>
      </c>
      <c r="T488" s="5">
        <v>4</v>
      </c>
    </row>
    <row r="489" spans="1:20">
      <c r="A489" s="5" t="s">
        <v>1021</v>
      </c>
      <c r="B489" s="5" t="s">
        <v>1022</v>
      </c>
      <c r="C489" s="6">
        <v>44973</v>
      </c>
      <c r="D489" s="6" t="str">
        <f t="shared" si="15"/>
        <v>Thursday</v>
      </c>
      <c r="E489" s="5">
        <v>29</v>
      </c>
      <c r="F489" s="5" t="str">
        <f t="shared" si="14"/>
        <v>Millennials</v>
      </c>
      <c r="G489" s="5" t="s">
        <v>20</v>
      </c>
      <c r="H489" s="5" t="s">
        <v>88</v>
      </c>
      <c r="I489" s="5" t="s">
        <v>33</v>
      </c>
      <c r="J489" s="5">
        <v>58</v>
      </c>
      <c r="K489" s="5">
        <v>3</v>
      </c>
      <c r="L489" s="5">
        <v>0</v>
      </c>
      <c r="M489" s="5">
        <v>174</v>
      </c>
      <c r="N489" s="5" t="s">
        <v>29</v>
      </c>
      <c r="O489" s="5" t="s">
        <v>24</v>
      </c>
      <c r="P489" s="5">
        <v>30</v>
      </c>
      <c r="Q489" s="5">
        <v>13</v>
      </c>
      <c r="R489" s="5" t="b">
        <v>0</v>
      </c>
      <c r="S489" s="5">
        <v>5</v>
      </c>
      <c r="T489" s="5">
        <v>3</v>
      </c>
    </row>
    <row r="490" spans="1:20">
      <c r="A490" s="5" t="s">
        <v>1023</v>
      </c>
      <c r="B490" s="5" t="s">
        <v>1024</v>
      </c>
      <c r="C490" s="6">
        <v>44973</v>
      </c>
      <c r="D490" s="6" t="str">
        <f t="shared" si="15"/>
        <v>Thursday</v>
      </c>
      <c r="E490" s="5">
        <v>34</v>
      </c>
      <c r="F490" s="5" t="str">
        <f t="shared" si="14"/>
        <v>Millennials</v>
      </c>
      <c r="G490" s="5" t="s">
        <v>20</v>
      </c>
      <c r="H490" s="5" t="s">
        <v>66</v>
      </c>
      <c r="I490" s="5" t="s">
        <v>70</v>
      </c>
      <c r="J490" s="5">
        <v>35.369999999999997</v>
      </c>
      <c r="K490" s="5">
        <v>1</v>
      </c>
      <c r="L490" s="5">
        <v>3.49</v>
      </c>
      <c r="M490" s="5">
        <v>31.88</v>
      </c>
      <c r="N490" s="5" t="s">
        <v>49</v>
      </c>
      <c r="O490" s="5" t="s">
        <v>24</v>
      </c>
      <c r="P490" s="5">
        <v>32</v>
      </c>
      <c r="Q490" s="5">
        <v>10</v>
      </c>
      <c r="R490" s="5" t="b">
        <v>0</v>
      </c>
      <c r="S490" s="5">
        <v>5</v>
      </c>
      <c r="T490" s="5">
        <v>4</v>
      </c>
    </row>
    <row r="491" spans="1:20">
      <c r="A491" s="5" t="s">
        <v>1025</v>
      </c>
      <c r="B491" s="5" t="s">
        <v>1026</v>
      </c>
      <c r="C491" s="6">
        <v>44973</v>
      </c>
      <c r="D491" s="6" t="str">
        <f t="shared" si="15"/>
        <v>Thursday</v>
      </c>
      <c r="E491" s="5">
        <v>46</v>
      </c>
      <c r="F491" s="5" t="str">
        <f t="shared" si="14"/>
        <v>Gen X/Boomers</v>
      </c>
      <c r="G491" s="5" t="s">
        <v>20</v>
      </c>
      <c r="H491" s="5" t="s">
        <v>83</v>
      </c>
      <c r="I491" s="5" t="s">
        <v>45</v>
      </c>
      <c r="J491" s="5">
        <v>77.2</v>
      </c>
      <c r="K491" s="5">
        <v>1</v>
      </c>
      <c r="L491" s="5">
        <v>0</v>
      </c>
      <c r="M491" s="5">
        <v>77.2</v>
      </c>
      <c r="N491" s="5" t="s">
        <v>23</v>
      </c>
      <c r="O491" s="5" t="s">
        <v>24</v>
      </c>
      <c r="P491" s="5">
        <v>3</v>
      </c>
      <c r="Q491" s="5">
        <v>12</v>
      </c>
      <c r="R491" s="5" t="b">
        <v>1</v>
      </c>
      <c r="S491" s="5">
        <v>2</v>
      </c>
      <c r="T491" s="5">
        <v>4</v>
      </c>
    </row>
    <row r="492" spans="1:20">
      <c r="A492" s="5" t="s">
        <v>1027</v>
      </c>
      <c r="B492" s="5" t="s">
        <v>1028</v>
      </c>
      <c r="C492" s="6">
        <v>44973</v>
      </c>
      <c r="D492" s="6" t="str">
        <f t="shared" si="15"/>
        <v>Thursday</v>
      </c>
      <c r="E492" s="5">
        <v>23</v>
      </c>
      <c r="F492" s="5" t="str">
        <f t="shared" si="14"/>
        <v>Gen Z</v>
      </c>
      <c r="G492" s="5" t="s">
        <v>27</v>
      </c>
      <c r="H492" s="5" t="s">
        <v>36</v>
      </c>
      <c r="I492" s="5" t="s">
        <v>37</v>
      </c>
      <c r="J492" s="5">
        <v>2365.5</v>
      </c>
      <c r="K492" s="5">
        <v>2</v>
      </c>
      <c r="L492" s="5">
        <v>0</v>
      </c>
      <c r="M492" s="5">
        <v>4731</v>
      </c>
      <c r="N492" s="5" t="s">
        <v>29</v>
      </c>
      <c r="O492" s="5" t="s">
        <v>42</v>
      </c>
      <c r="P492" s="5">
        <v>16</v>
      </c>
      <c r="Q492" s="5">
        <v>8</v>
      </c>
      <c r="R492" s="5" t="b">
        <v>1</v>
      </c>
      <c r="S492" s="5">
        <v>3</v>
      </c>
      <c r="T492" s="5">
        <v>4</v>
      </c>
    </row>
    <row r="493" spans="1:20">
      <c r="A493" s="5" t="s">
        <v>1029</v>
      </c>
      <c r="B493" s="5" t="s">
        <v>1030</v>
      </c>
      <c r="C493" s="6">
        <v>44973</v>
      </c>
      <c r="D493" s="6" t="str">
        <f t="shared" si="15"/>
        <v>Thursday</v>
      </c>
      <c r="E493" s="5">
        <v>34</v>
      </c>
      <c r="F493" s="5" t="str">
        <f t="shared" si="14"/>
        <v>Millennials</v>
      </c>
      <c r="G493" s="5" t="s">
        <v>20</v>
      </c>
      <c r="H493" s="5" t="s">
        <v>48</v>
      </c>
      <c r="I493" s="5" t="s">
        <v>70</v>
      </c>
      <c r="J493" s="5">
        <v>97.75</v>
      </c>
      <c r="K493" s="5">
        <v>1</v>
      </c>
      <c r="L493" s="5">
        <v>0</v>
      </c>
      <c r="M493" s="5">
        <v>97.75</v>
      </c>
      <c r="N493" s="5" t="s">
        <v>23</v>
      </c>
      <c r="O493" s="5" t="s">
        <v>24</v>
      </c>
      <c r="P493" s="5">
        <v>22</v>
      </c>
      <c r="Q493" s="5">
        <v>8</v>
      </c>
      <c r="R493" s="5" t="b">
        <v>0</v>
      </c>
      <c r="S493" s="5">
        <v>6</v>
      </c>
      <c r="T493" s="5">
        <v>4</v>
      </c>
    </row>
    <row r="494" spans="1:20">
      <c r="A494" s="5" t="s">
        <v>1031</v>
      </c>
      <c r="B494" s="5" t="s">
        <v>1032</v>
      </c>
      <c r="C494" s="6">
        <v>44973</v>
      </c>
      <c r="D494" s="6" t="str">
        <f t="shared" si="15"/>
        <v>Thursday</v>
      </c>
      <c r="E494" s="5">
        <v>40</v>
      </c>
      <c r="F494" s="5" t="str">
        <f t="shared" si="14"/>
        <v>Millennials</v>
      </c>
      <c r="G494" s="5" t="s">
        <v>27</v>
      </c>
      <c r="H494" s="5" t="s">
        <v>48</v>
      </c>
      <c r="I494" s="5" t="s">
        <v>45</v>
      </c>
      <c r="J494" s="5">
        <v>37.24</v>
      </c>
      <c r="K494" s="5">
        <v>1</v>
      </c>
      <c r="L494" s="5">
        <v>0</v>
      </c>
      <c r="M494" s="5">
        <v>37.24</v>
      </c>
      <c r="N494" s="5" t="s">
        <v>23</v>
      </c>
      <c r="O494" s="5" t="s">
        <v>42</v>
      </c>
      <c r="P494" s="5">
        <v>6</v>
      </c>
      <c r="Q494" s="5">
        <v>6</v>
      </c>
      <c r="R494" s="5" t="b">
        <v>1</v>
      </c>
      <c r="S494" s="5">
        <v>4</v>
      </c>
      <c r="T494" s="5">
        <v>3</v>
      </c>
    </row>
    <row r="495" spans="1:20">
      <c r="A495" s="5" t="s">
        <v>1033</v>
      </c>
      <c r="B495" s="5" t="s">
        <v>1034</v>
      </c>
      <c r="C495" s="6">
        <v>44973</v>
      </c>
      <c r="D495" s="6" t="str">
        <f t="shared" si="15"/>
        <v>Thursday</v>
      </c>
      <c r="E495" s="5">
        <v>41</v>
      </c>
      <c r="F495" s="5" t="str">
        <f t="shared" si="14"/>
        <v>Millennials</v>
      </c>
      <c r="G495" s="5" t="s">
        <v>27</v>
      </c>
      <c r="H495" s="5" t="s">
        <v>48</v>
      </c>
      <c r="I495" s="5" t="s">
        <v>54</v>
      </c>
      <c r="J495" s="5">
        <v>365.78</v>
      </c>
      <c r="K495" s="5">
        <v>1</v>
      </c>
      <c r="L495" s="5">
        <v>0</v>
      </c>
      <c r="M495" s="5">
        <v>365.78</v>
      </c>
      <c r="N495" s="5" t="s">
        <v>99</v>
      </c>
      <c r="O495" s="5" t="s">
        <v>42</v>
      </c>
      <c r="P495" s="5">
        <v>5</v>
      </c>
      <c r="Q495" s="5">
        <v>6</v>
      </c>
      <c r="R495" s="5" t="b">
        <v>1</v>
      </c>
      <c r="S495" s="5">
        <v>4</v>
      </c>
      <c r="T495" s="5">
        <v>4</v>
      </c>
    </row>
    <row r="496" spans="1:20">
      <c r="A496" s="5" t="s">
        <v>1035</v>
      </c>
      <c r="B496" s="5" t="s">
        <v>1036</v>
      </c>
      <c r="C496" s="6">
        <v>44973</v>
      </c>
      <c r="D496" s="6" t="str">
        <f t="shared" si="15"/>
        <v>Thursday</v>
      </c>
      <c r="E496" s="5">
        <v>38</v>
      </c>
      <c r="F496" s="5" t="str">
        <f t="shared" si="14"/>
        <v>Millennials</v>
      </c>
      <c r="G496" s="5" t="s">
        <v>27</v>
      </c>
      <c r="H496" s="5" t="s">
        <v>36</v>
      </c>
      <c r="I496" s="5" t="s">
        <v>54</v>
      </c>
      <c r="J496" s="5">
        <v>196.67</v>
      </c>
      <c r="K496" s="5">
        <v>1</v>
      </c>
      <c r="L496" s="5">
        <v>0</v>
      </c>
      <c r="M496" s="5">
        <v>196.67</v>
      </c>
      <c r="N496" s="5" t="s">
        <v>99</v>
      </c>
      <c r="O496" s="5" t="s">
        <v>55</v>
      </c>
      <c r="P496" s="5">
        <v>11</v>
      </c>
      <c r="Q496" s="5">
        <v>7</v>
      </c>
      <c r="R496" s="5" t="b">
        <v>1</v>
      </c>
      <c r="S496" s="5">
        <v>7</v>
      </c>
      <c r="T496" s="5">
        <v>5</v>
      </c>
    </row>
    <row r="497" spans="1:20">
      <c r="A497" s="5" t="s">
        <v>1037</v>
      </c>
      <c r="B497" s="5" t="s">
        <v>1038</v>
      </c>
      <c r="C497" s="6">
        <v>44974</v>
      </c>
      <c r="D497" s="6" t="str">
        <f t="shared" si="15"/>
        <v>Friday</v>
      </c>
      <c r="E497" s="5">
        <v>38</v>
      </c>
      <c r="F497" s="5" t="str">
        <f t="shared" si="14"/>
        <v>Millennials</v>
      </c>
      <c r="G497" s="5" t="s">
        <v>20</v>
      </c>
      <c r="H497" s="5" t="s">
        <v>36</v>
      </c>
      <c r="I497" s="5" t="s">
        <v>37</v>
      </c>
      <c r="J497" s="5">
        <v>1222.3699999999999</v>
      </c>
      <c r="K497" s="5">
        <v>1</v>
      </c>
      <c r="L497" s="5">
        <v>0</v>
      </c>
      <c r="M497" s="5">
        <v>1222.3699999999999</v>
      </c>
      <c r="N497" s="5" t="s">
        <v>29</v>
      </c>
      <c r="O497" s="5" t="s">
        <v>24</v>
      </c>
      <c r="P497" s="5">
        <v>10</v>
      </c>
      <c r="Q497" s="5">
        <v>10</v>
      </c>
      <c r="R497" s="5" t="b">
        <v>0</v>
      </c>
      <c r="S497" s="5">
        <v>4</v>
      </c>
      <c r="T497" s="5">
        <v>4</v>
      </c>
    </row>
    <row r="498" spans="1:20">
      <c r="A498" s="5" t="s">
        <v>1039</v>
      </c>
      <c r="B498" s="5" t="s">
        <v>1040</v>
      </c>
      <c r="C498" s="6">
        <v>44974</v>
      </c>
      <c r="D498" s="6" t="str">
        <f t="shared" si="15"/>
        <v>Friday</v>
      </c>
      <c r="E498" s="5">
        <v>24</v>
      </c>
      <c r="F498" s="5" t="str">
        <f t="shared" si="14"/>
        <v>Gen Z</v>
      </c>
      <c r="G498" s="5" t="s">
        <v>27</v>
      </c>
      <c r="H498" s="5" t="s">
        <v>83</v>
      </c>
      <c r="I498" s="5" t="s">
        <v>70</v>
      </c>
      <c r="J498" s="5">
        <v>40.43</v>
      </c>
      <c r="K498" s="5">
        <v>1</v>
      </c>
      <c r="L498" s="5">
        <v>0</v>
      </c>
      <c r="M498" s="5">
        <v>40.43</v>
      </c>
      <c r="N498" s="5" t="s">
        <v>23</v>
      </c>
      <c r="O498" s="5" t="s">
        <v>24</v>
      </c>
      <c r="P498" s="5">
        <v>16</v>
      </c>
      <c r="Q498" s="5">
        <v>7</v>
      </c>
      <c r="R498" s="5" t="b">
        <v>1</v>
      </c>
      <c r="S498" s="5">
        <v>3</v>
      </c>
      <c r="T498" s="5">
        <v>5</v>
      </c>
    </row>
    <row r="499" spans="1:20">
      <c r="A499" s="5" t="s">
        <v>1041</v>
      </c>
      <c r="B499" s="5" t="s">
        <v>1042</v>
      </c>
      <c r="C499" s="6">
        <v>44974</v>
      </c>
      <c r="D499" s="6" t="str">
        <f t="shared" si="15"/>
        <v>Friday</v>
      </c>
      <c r="E499" s="5">
        <v>42</v>
      </c>
      <c r="F499" s="5" t="str">
        <f t="shared" si="14"/>
        <v>Millennials</v>
      </c>
      <c r="G499" s="5" t="s">
        <v>27</v>
      </c>
      <c r="H499" s="5" t="s">
        <v>48</v>
      </c>
      <c r="I499" s="5" t="s">
        <v>45</v>
      </c>
      <c r="J499" s="5">
        <v>100.36</v>
      </c>
      <c r="K499" s="5">
        <v>2</v>
      </c>
      <c r="L499" s="5">
        <v>0</v>
      </c>
      <c r="M499" s="5">
        <v>200.72</v>
      </c>
      <c r="N499" s="5" t="s">
        <v>49</v>
      </c>
      <c r="O499" s="5" t="s">
        <v>24</v>
      </c>
      <c r="P499" s="5">
        <v>3</v>
      </c>
      <c r="Q499" s="5">
        <v>6</v>
      </c>
      <c r="R499" s="5" t="b">
        <v>1</v>
      </c>
      <c r="S499" s="5">
        <v>8</v>
      </c>
      <c r="T499" s="5">
        <v>5</v>
      </c>
    </row>
    <row r="500" spans="1:20">
      <c r="A500" s="5" t="s">
        <v>1043</v>
      </c>
      <c r="B500" s="5" t="s">
        <v>1044</v>
      </c>
      <c r="C500" s="6">
        <v>44974</v>
      </c>
      <c r="D500" s="6" t="str">
        <f t="shared" si="15"/>
        <v>Friday</v>
      </c>
      <c r="E500" s="5">
        <v>57</v>
      </c>
      <c r="F500" s="5" t="str">
        <f t="shared" si="14"/>
        <v>Gen X/Boomers</v>
      </c>
      <c r="G500" s="5" t="s">
        <v>27</v>
      </c>
      <c r="H500" s="5" t="s">
        <v>28</v>
      </c>
      <c r="I500" s="5" t="s">
        <v>40</v>
      </c>
      <c r="J500" s="5">
        <v>589.28</v>
      </c>
      <c r="K500" s="5">
        <v>1</v>
      </c>
      <c r="L500" s="5">
        <v>0</v>
      </c>
      <c r="M500" s="5">
        <v>589.28</v>
      </c>
      <c r="N500" s="5" t="s">
        <v>29</v>
      </c>
      <c r="O500" s="5" t="s">
        <v>42</v>
      </c>
      <c r="P500" s="5">
        <v>10</v>
      </c>
      <c r="Q500" s="5">
        <v>12</v>
      </c>
      <c r="R500" s="5" t="b">
        <v>1</v>
      </c>
      <c r="S500" s="5">
        <v>4</v>
      </c>
      <c r="T500" s="5">
        <v>3</v>
      </c>
    </row>
    <row r="501" spans="1:20">
      <c r="A501" s="5" t="s">
        <v>1045</v>
      </c>
      <c r="B501" s="5" t="s">
        <v>1046</v>
      </c>
      <c r="C501" s="6">
        <v>44974</v>
      </c>
      <c r="D501" s="6" t="str">
        <f t="shared" si="15"/>
        <v>Friday</v>
      </c>
      <c r="E501" s="5">
        <v>30</v>
      </c>
      <c r="F501" s="5" t="str">
        <f t="shared" si="14"/>
        <v>Millennials</v>
      </c>
      <c r="G501" s="5" t="s">
        <v>20</v>
      </c>
      <c r="H501" s="5" t="s">
        <v>178</v>
      </c>
      <c r="I501" s="5" t="s">
        <v>45</v>
      </c>
      <c r="J501" s="5">
        <v>34.21</v>
      </c>
      <c r="K501" s="5">
        <v>2</v>
      </c>
      <c r="L501" s="5">
        <v>0</v>
      </c>
      <c r="M501" s="5">
        <v>68.42</v>
      </c>
      <c r="N501" s="5" t="s">
        <v>23</v>
      </c>
      <c r="O501" s="5" t="s">
        <v>42</v>
      </c>
      <c r="P501" s="5">
        <v>28</v>
      </c>
      <c r="Q501" s="5">
        <v>1</v>
      </c>
      <c r="R501" s="5" t="b">
        <v>0</v>
      </c>
      <c r="S501" s="5">
        <v>5</v>
      </c>
      <c r="T501" s="5">
        <v>1</v>
      </c>
    </row>
    <row r="502" spans="1:20">
      <c r="A502" s="5" t="s">
        <v>1047</v>
      </c>
      <c r="B502" s="5" t="s">
        <v>1048</v>
      </c>
      <c r="C502" s="6">
        <v>44974</v>
      </c>
      <c r="D502" s="6" t="str">
        <f t="shared" si="15"/>
        <v>Friday</v>
      </c>
      <c r="E502" s="5">
        <v>32</v>
      </c>
      <c r="F502" s="5" t="str">
        <f t="shared" si="14"/>
        <v>Millennials</v>
      </c>
      <c r="G502" s="5" t="s">
        <v>27</v>
      </c>
      <c r="H502" s="5" t="s">
        <v>36</v>
      </c>
      <c r="I502" s="5" t="s">
        <v>45</v>
      </c>
      <c r="J502" s="5">
        <v>76.81</v>
      </c>
      <c r="K502" s="5">
        <v>2</v>
      </c>
      <c r="L502" s="5">
        <v>4.53</v>
      </c>
      <c r="M502" s="5">
        <v>149.09</v>
      </c>
      <c r="N502" s="5" t="s">
        <v>29</v>
      </c>
      <c r="O502" s="5" t="s">
        <v>42</v>
      </c>
      <c r="P502" s="5">
        <v>11</v>
      </c>
      <c r="Q502" s="5">
        <v>8</v>
      </c>
      <c r="R502" s="5" t="b">
        <v>1</v>
      </c>
      <c r="S502" s="5">
        <v>9</v>
      </c>
      <c r="T502" s="5">
        <v>2</v>
      </c>
    </row>
    <row r="503" spans="1:20">
      <c r="A503" s="5" t="s">
        <v>1049</v>
      </c>
      <c r="B503" s="5" t="s">
        <v>1050</v>
      </c>
      <c r="C503" s="6">
        <v>44974</v>
      </c>
      <c r="D503" s="6" t="str">
        <f t="shared" si="15"/>
        <v>Friday</v>
      </c>
      <c r="E503" s="5">
        <v>35</v>
      </c>
      <c r="F503" s="5" t="str">
        <f t="shared" si="14"/>
        <v>Millennials</v>
      </c>
      <c r="G503" s="5" t="s">
        <v>27</v>
      </c>
      <c r="H503" s="5" t="s">
        <v>66</v>
      </c>
      <c r="I503" s="5" t="s">
        <v>22</v>
      </c>
      <c r="J503" s="5">
        <v>87.23</v>
      </c>
      <c r="K503" s="5">
        <v>1</v>
      </c>
      <c r="L503" s="5">
        <v>0</v>
      </c>
      <c r="M503" s="5">
        <v>87.23</v>
      </c>
      <c r="N503" s="5" t="s">
        <v>29</v>
      </c>
      <c r="O503" s="5" t="s">
        <v>42</v>
      </c>
      <c r="P503" s="5">
        <v>16</v>
      </c>
      <c r="Q503" s="5">
        <v>9</v>
      </c>
      <c r="R503" s="5" t="b">
        <v>0</v>
      </c>
      <c r="S503" s="5">
        <v>5</v>
      </c>
      <c r="T503" s="5">
        <v>3</v>
      </c>
    </row>
    <row r="504" spans="1:20">
      <c r="A504" s="5" t="s">
        <v>1051</v>
      </c>
      <c r="B504" s="5" t="s">
        <v>1052</v>
      </c>
      <c r="C504" s="6">
        <v>44974</v>
      </c>
      <c r="D504" s="6" t="str">
        <f t="shared" si="15"/>
        <v>Friday</v>
      </c>
      <c r="E504" s="5">
        <v>24</v>
      </c>
      <c r="F504" s="5" t="str">
        <f t="shared" si="14"/>
        <v>Gen Z</v>
      </c>
      <c r="G504" s="5" t="s">
        <v>20</v>
      </c>
      <c r="H504" s="5" t="s">
        <v>124</v>
      </c>
      <c r="I504" s="5" t="s">
        <v>37</v>
      </c>
      <c r="J504" s="5">
        <v>380.59</v>
      </c>
      <c r="K504" s="5">
        <v>1</v>
      </c>
      <c r="L504" s="5">
        <v>59.02</v>
      </c>
      <c r="M504" s="5">
        <v>321.57</v>
      </c>
      <c r="N504" s="5" t="s">
        <v>29</v>
      </c>
      <c r="O504" s="5" t="s">
        <v>42</v>
      </c>
      <c r="P504" s="5">
        <v>8</v>
      </c>
      <c r="Q504" s="5">
        <v>10</v>
      </c>
      <c r="R504" s="5" t="b">
        <v>1</v>
      </c>
      <c r="S504" s="5">
        <v>4</v>
      </c>
      <c r="T504" s="5">
        <v>5</v>
      </c>
    </row>
    <row r="505" spans="1:20">
      <c r="A505" s="5" t="s">
        <v>1053</v>
      </c>
      <c r="B505" s="5" t="s">
        <v>1054</v>
      </c>
      <c r="C505" s="6">
        <v>44974</v>
      </c>
      <c r="D505" s="6" t="str">
        <f t="shared" si="15"/>
        <v>Friday</v>
      </c>
      <c r="E505" s="5">
        <v>39</v>
      </c>
      <c r="F505" s="5" t="str">
        <f t="shared" si="14"/>
        <v>Millennials</v>
      </c>
      <c r="G505" s="5" t="s">
        <v>20</v>
      </c>
      <c r="H505" s="5" t="s">
        <v>48</v>
      </c>
      <c r="I505" s="5" t="s">
        <v>54</v>
      </c>
      <c r="J505" s="5">
        <v>289.95999999999998</v>
      </c>
      <c r="K505" s="5">
        <v>3</v>
      </c>
      <c r="L505" s="5">
        <v>0</v>
      </c>
      <c r="M505" s="5">
        <v>869.88</v>
      </c>
      <c r="N505" s="5" t="s">
        <v>49</v>
      </c>
      <c r="O505" s="5" t="s">
        <v>42</v>
      </c>
      <c r="P505" s="5">
        <v>11</v>
      </c>
      <c r="Q505" s="5">
        <v>13</v>
      </c>
      <c r="R505" s="5" t="b">
        <v>0</v>
      </c>
      <c r="S505" s="5">
        <v>5</v>
      </c>
      <c r="T505" s="5">
        <v>2</v>
      </c>
    </row>
    <row r="506" spans="1:20">
      <c r="A506" s="5" t="s">
        <v>1055</v>
      </c>
      <c r="B506" s="5" t="s">
        <v>1056</v>
      </c>
      <c r="C506" s="6">
        <v>44974</v>
      </c>
      <c r="D506" s="6" t="str">
        <f t="shared" si="15"/>
        <v>Friday</v>
      </c>
      <c r="E506" s="5">
        <v>18</v>
      </c>
      <c r="F506" s="5" t="str">
        <f t="shared" si="14"/>
        <v>Gen Z</v>
      </c>
      <c r="G506" s="5" t="s">
        <v>20</v>
      </c>
      <c r="H506" s="5" t="s">
        <v>32</v>
      </c>
      <c r="I506" s="5" t="s">
        <v>40</v>
      </c>
      <c r="J506" s="5">
        <v>817.5</v>
      </c>
      <c r="K506" s="5">
        <v>1</v>
      </c>
      <c r="L506" s="5">
        <v>104.81</v>
      </c>
      <c r="M506" s="5">
        <v>712.69</v>
      </c>
      <c r="N506" s="5" t="s">
        <v>23</v>
      </c>
      <c r="O506" s="5" t="s">
        <v>24</v>
      </c>
      <c r="P506" s="5">
        <v>13</v>
      </c>
      <c r="Q506" s="5">
        <v>12</v>
      </c>
      <c r="R506" s="5" t="b">
        <v>1</v>
      </c>
      <c r="S506" s="5">
        <v>5</v>
      </c>
      <c r="T506" s="5">
        <v>2</v>
      </c>
    </row>
    <row r="507" spans="1:20">
      <c r="A507" s="5" t="s">
        <v>1057</v>
      </c>
      <c r="B507" s="5" t="s">
        <v>1058</v>
      </c>
      <c r="C507" s="6">
        <v>44974</v>
      </c>
      <c r="D507" s="6" t="str">
        <f t="shared" si="15"/>
        <v>Friday</v>
      </c>
      <c r="E507" s="5">
        <v>22</v>
      </c>
      <c r="F507" s="5" t="str">
        <f t="shared" si="14"/>
        <v>Gen Z</v>
      </c>
      <c r="G507" s="5" t="s">
        <v>27</v>
      </c>
      <c r="H507" s="5" t="s">
        <v>48</v>
      </c>
      <c r="I507" s="5" t="s">
        <v>37</v>
      </c>
      <c r="J507" s="5">
        <v>270.16000000000003</v>
      </c>
      <c r="K507" s="5">
        <v>1</v>
      </c>
      <c r="L507" s="5">
        <v>59.78</v>
      </c>
      <c r="M507" s="5">
        <v>210.38</v>
      </c>
      <c r="N507" s="5" t="s">
        <v>29</v>
      </c>
      <c r="O507" s="5" t="s">
        <v>42</v>
      </c>
      <c r="P507" s="5">
        <v>6</v>
      </c>
      <c r="Q507" s="5">
        <v>8</v>
      </c>
      <c r="R507" s="5" t="b">
        <v>0</v>
      </c>
      <c r="S507" s="5">
        <v>8</v>
      </c>
      <c r="T507" s="5">
        <v>5</v>
      </c>
    </row>
    <row r="508" spans="1:20">
      <c r="A508" s="5" t="s">
        <v>1059</v>
      </c>
      <c r="B508" s="5" t="s">
        <v>1060</v>
      </c>
      <c r="C508" s="6">
        <v>44974</v>
      </c>
      <c r="D508" s="6" t="str">
        <f t="shared" si="15"/>
        <v>Friday</v>
      </c>
      <c r="E508" s="5">
        <v>39</v>
      </c>
      <c r="F508" s="5" t="str">
        <f t="shared" si="14"/>
        <v>Millennials</v>
      </c>
      <c r="G508" s="5" t="s">
        <v>20</v>
      </c>
      <c r="H508" s="5" t="s">
        <v>28</v>
      </c>
      <c r="I508" s="5" t="s">
        <v>22</v>
      </c>
      <c r="J508" s="5">
        <v>236.64</v>
      </c>
      <c r="K508" s="5">
        <v>5</v>
      </c>
      <c r="L508" s="5">
        <v>31.45</v>
      </c>
      <c r="M508" s="5">
        <v>1151.75</v>
      </c>
      <c r="N508" s="5" t="s">
        <v>29</v>
      </c>
      <c r="O508" s="5" t="s">
        <v>24</v>
      </c>
      <c r="P508" s="5">
        <v>11</v>
      </c>
      <c r="Q508" s="5">
        <v>13</v>
      </c>
      <c r="R508" s="5" t="b">
        <v>1</v>
      </c>
      <c r="S508" s="5">
        <v>5</v>
      </c>
      <c r="T508" s="5">
        <v>5</v>
      </c>
    </row>
    <row r="509" spans="1:20">
      <c r="A509" s="5" t="s">
        <v>1061</v>
      </c>
      <c r="B509" s="5" t="s">
        <v>1062</v>
      </c>
      <c r="C509" s="6">
        <v>44974</v>
      </c>
      <c r="D509" s="6" t="str">
        <f t="shared" si="15"/>
        <v>Friday</v>
      </c>
      <c r="E509" s="5">
        <v>50</v>
      </c>
      <c r="F509" s="5" t="str">
        <f t="shared" si="14"/>
        <v>Gen X/Boomers</v>
      </c>
      <c r="G509" s="5" t="s">
        <v>20</v>
      </c>
      <c r="H509" s="5" t="s">
        <v>36</v>
      </c>
      <c r="I509" s="5" t="s">
        <v>37</v>
      </c>
      <c r="J509" s="5">
        <v>1590.55</v>
      </c>
      <c r="K509" s="5">
        <v>1</v>
      </c>
      <c r="L509" s="5">
        <v>0</v>
      </c>
      <c r="M509" s="5">
        <v>1590.55</v>
      </c>
      <c r="N509" s="5" t="s">
        <v>29</v>
      </c>
      <c r="O509" s="5" t="s">
        <v>24</v>
      </c>
      <c r="P509" s="5">
        <v>11</v>
      </c>
      <c r="Q509" s="5">
        <v>10</v>
      </c>
      <c r="R509" s="5" t="b">
        <v>1</v>
      </c>
      <c r="S509" s="5">
        <v>2</v>
      </c>
      <c r="T509" s="5">
        <v>5</v>
      </c>
    </row>
    <row r="510" spans="1:20">
      <c r="A510" s="5" t="s">
        <v>1063</v>
      </c>
      <c r="B510" s="5" t="s">
        <v>1064</v>
      </c>
      <c r="C510" s="6">
        <v>44974</v>
      </c>
      <c r="D510" s="6" t="str">
        <f t="shared" si="15"/>
        <v>Friday</v>
      </c>
      <c r="E510" s="5">
        <v>18</v>
      </c>
      <c r="F510" s="5" t="str">
        <f t="shared" si="14"/>
        <v>Gen Z</v>
      </c>
      <c r="G510" s="5" t="s">
        <v>20</v>
      </c>
      <c r="H510" s="5" t="s">
        <v>36</v>
      </c>
      <c r="I510" s="5" t="s">
        <v>22</v>
      </c>
      <c r="J510" s="5">
        <v>106.78</v>
      </c>
      <c r="K510" s="5">
        <v>1</v>
      </c>
      <c r="L510" s="5">
        <v>0</v>
      </c>
      <c r="M510" s="5">
        <v>106.78</v>
      </c>
      <c r="N510" s="5" t="s">
        <v>23</v>
      </c>
      <c r="O510" s="5" t="s">
        <v>24</v>
      </c>
      <c r="P510" s="5">
        <v>7</v>
      </c>
      <c r="Q510" s="5">
        <v>7</v>
      </c>
      <c r="R510" s="5" t="b">
        <v>0</v>
      </c>
      <c r="S510" s="5">
        <v>9</v>
      </c>
      <c r="T510" s="5">
        <v>2</v>
      </c>
    </row>
    <row r="511" spans="1:20">
      <c r="A511" s="5" t="s">
        <v>1065</v>
      </c>
      <c r="B511" s="5" t="s">
        <v>1066</v>
      </c>
      <c r="C511" s="6">
        <v>44974</v>
      </c>
      <c r="D511" s="6" t="str">
        <f t="shared" si="15"/>
        <v>Friday</v>
      </c>
      <c r="E511" s="5">
        <v>25</v>
      </c>
      <c r="F511" s="5" t="str">
        <f t="shared" si="14"/>
        <v>Millennials</v>
      </c>
      <c r="G511" s="5" t="s">
        <v>20</v>
      </c>
      <c r="H511" s="5" t="s">
        <v>32</v>
      </c>
      <c r="I511" s="5" t="s">
        <v>22</v>
      </c>
      <c r="J511" s="5">
        <v>70.12</v>
      </c>
      <c r="K511" s="5">
        <v>2</v>
      </c>
      <c r="L511" s="5">
        <v>0</v>
      </c>
      <c r="M511" s="5">
        <v>140.24</v>
      </c>
      <c r="N511" s="5" t="s">
        <v>23</v>
      </c>
      <c r="O511" s="5" t="s">
        <v>55</v>
      </c>
      <c r="P511" s="5">
        <v>13</v>
      </c>
      <c r="Q511" s="5">
        <v>7</v>
      </c>
      <c r="R511" s="5" t="b">
        <v>1</v>
      </c>
      <c r="S511" s="5">
        <v>8</v>
      </c>
      <c r="T511" s="5">
        <v>4</v>
      </c>
    </row>
    <row r="512" spans="1:20">
      <c r="A512" s="5" t="s">
        <v>1067</v>
      </c>
      <c r="B512" s="5" t="s">
        <v>1068</v>
      </c>
      <c r="C512" s="6">
        <v>44974</v>
      </c>
      <c r="D512" s="6" t="str">
        <f t="shared" si="15"/>
        <v>Friday</v>
      </c>
      <c r="E512" s="5">
        <v>35</v>
      </c>
      <c r="F512" s="5" t="str">
        <f t="shared" si="14"/>
        <v>Millennials</v>
      </c>
      <c r="G512" s="5" t="s">
        <v>129</v>
      </c>
      <c r="H512" s="5" t="s">
        <v>32</v>
      </c>
      <c r="I512" s="5" t="s">
        <v>22</v>
      </c>
      <c r="J512" s="5">
        <v>86.11</v>
      </c>
      <c r="K512" s="5">
        <v>4</v>
      </c>
      <c r="L512" s="5">
        <v>20.11</v>
      </c>
      <c r="M512" s="5">
        <v>324.33</v>
      </c>
      <c r="N512" s="5" t="s">
        <v>41</v>
      </c>
      <c r="O512" s="5" t="s">
        <v>42</v>
      </c>
      <c r="P512" s="5">
        <v>10</v>
      </c>
      <c r="Q512" s="5">
        <v>9</v>
      </c>
      <c r="R512" s="5" t="b">
        <v>1</v>
      </c>
      <c r="S512" s="5">
        <v>8</v>
      </c>
      <c r="T512" s="5">
        <v>5</v>
      </c>
    </row>
    <row r="513" spans="1:20">
      <c r="A513" s="5" t="s">
        <v>1069</v>
      </c>
      <c r="B513" s="5" t="s">
        <v>1070</v>
      </c>
      <c r="C513" s="6">
        <v>44974</v>
      </c>
      <c r="D513" s="6" t="str">
        <f t="shared" si="15"/>
        <v>Friday</v>
      </c>
      <c r="E513" s="5">
        <v>58</v>
      </c>
      <c r="F513" s="5" t="str">
        <f t="shared" si="14"/>
        <v>Gen X/Boomers</v>
      </c>
      <c r="G513" s="5" t="s">
        <v>27</v>
      </c>
      <c r="H513" s="5" t="s">
        <v>88</v>
      </c>
      <c r="I513" s="5" t="s">
        <v>70</v>
      </c>
      <c r="J513" s="5">
        <v>134.19</v>
      </c>
      <c r="K513" s="5">
        <v>1</v>
      </c>
      <c r="L513" s="5">
        <v>0</v>
      </c>
      <c r="M513" s="5">
        <v>134.19</v>
      </c>
      <c r="N513" s="5" t="s">
        <v>23</v>
      </c>
      <c r="O513" s="5" t="s">
        <v>42</v>
      </c>
      <c r="P513" s="5">
        <v>21</v>
      </c>
      <c r="Q513" s="5">
        <v>9</v>
      </c>
      <c r="R513" s="5" t="b">
        <v>0</v>
      </c>
      <c r="S513" s="5">
        <v>3</v>
      </c>
      <c r="T513" s="5">
        <v>4</v>
      </c>
    </row>
    <row r="514" spans="1:20">
      <c r="A514" s="5" t="s">
        <v>1071</v>
      </c>
      <c r="B514" s="5" t="s">
        <v>1072</v>
      </c>
      <c r="C514" s="6">
        <v>44975</v>
      </c>
      <c r="D514" s="6" t="str">
        <f t="shared" si="15"/>
        <v>Saturday</v>
      </c>
      <c r="E514" s="5">
        <v>19</v>
      </c>
      <c r="F514" s="5" t="str">
        <f t="shared" ref="F514:F566" si="16">IFERROR(IF(E514&lt;25, "Gen Z", IF(E514&lt;45, "Millennials", "Gen X/Boomers")),"Not Valide Age")</f>
        <v>Gen Z</v>
      </c>
      <c r="G514" s="5" t="s">
        <v>20</v>
      </c>
      <c r="H514" s="5" t="s">
        <v>178</v>
      </c>
      <c r="I514" s="5" t="s">
        <v>45</v>
      </c>
      <c r="J514" s="5">
        <v>39.31</v>
      </c>
      <c r="K514" s="5">
        <v>1</v>
      </c>
      <c r="L514" s="5">
        <v>2.0499999999999998</v>
      </c>
      <c r="M514" s="5">
        <v>37.26</v>
      </c>
      <c r="N514" s="5" t="s">
        <v>49</v>
      </c>
      <c r="O514" s="5" t="s">
        <v>42</v>
      </c>
      <c r="P514" s="5">
        <v>8</v>
      </c>
      <c r="Q514" s="5">
        <v>6</v>
      </c>
      <c r="R514" s="5" t="b">
        <v>0</v>
      </c>
      <c r="S514" s="5">
        <v>2</v>
      </c>
      <c r="T514" s="5">
        <v>2</v>
      </c>
    </row>
    <row r="515" spans="1:20">
      <c r="A515" s="5" t="s">
        <v>1073</v>
      </c>
      <c r="B515" s="5" t="s">
        <v>1074</v>
      </c>
      <c r="C515" s="6">
        <v>44975</v>
      </c>
      <c r="D515" s="6" t="str">
        <f t="shared" ref="D515:D566" si="17">TEXT(C515, "dddd")</f>
        <v>Saturday</v>
      </c>
      <c r="E515" s="5">
        <v>30</v>
      </c>
      <c r="F515" s="5" t="str">
        <f t="shared" si="16"/>
        <v>Millennials</v>
      </c>
      <c r="G515" s="5" t="s">
        <v>20</v>
      </c>
      <c r="H515" s="5" t="s">
        <v>83</v>
      </c>
      <c r="I515" s="5" t="s">
        <v>54</v>
      </c>
      <c r="J515" s="5">
        <v>221.56</v>
      </c>
      <c r="K515" s="5">
        <v>2</v>
      </c>
      <c r="L515" s="5">
        <v>32.89</v>
      </c>
      <c r="M515" s="5">
        <v>410.23</v>
      </c>
      <c r="N515" s="5" t="s">
        <v>49</v>
      </c>
      <c r="O515" s="5" t="s">
        <v>42</v>
      </c>
      <c r="P515" s="5">
        <v>19</v>
      </c>
      <c r="Q515" s="5">
        <v>9</v>
      </c>
      <c r="R515" s="5" t="b">
        <v>1</v>
      </c>
      <c r="S515" s="5">
        <v>8</v>
      </c>
      <c r="T515" s="5">
        <v>1</v>
      </c>
    </row>
    <row r="516" spans="1:20">
      <c r="A516" s="5" t="s">
        <v>1075</v>
      </c>
      <c r="B516" s="5" t="s">
        <v>1076</v>
      </c>
      <c r="C516" s="6">
        <v>44975</v>
      </c>
      <c r="D516" s="6" t="str">
        <f t="shared" si="17"/>
        <v>Saturday</v>
      </c>
      <c r="E516" s="5">
        <v>32</v>
      </c>
      <c r="F516" s="5" t="str">
        <f t="shared" si="16"/>
        <v>Millennials</v>
      </c>
      <c r="G516" s="5" t="s">
        <v>20</v>
      </c>
      <c r="H516" s="5" t="s">
        <v>48</v>
      </c>
      <c r="I516" s="5" t="s">
        <v>70</v>
      </c>
      <c r="J516" s="5">
        <v>21.5</v>
      </c>
      <c r="K516" s="5">
        <v>4</v>
      </c>
      <c r="L516" s="5">
        <v>0</v>
      </c>
      <c r="M516" s="5">
        <v>86</v>
      </c>
      <c r="N516" s="5" t="s">
        <v>29</v>
      </c>
      <c r="O516" s="5" t="s">
        <v>42</v>
      </c>
      <c r="P516" s="5">
        <v>12</v>
      </c>
      <c r="Q516" s="5">
        <v>9</v>
      </c>
      <c r="R516" s="5" t="b">
        <v>1</v>
      </c>
      <c r="S516" s="5">
        <v>4</v>
      </c>
      <c r="T516" s="5">
        <v>5</v>
      </c>
    </row>
    <row r="517" spans="1:20">
      <c r="A517" s="5" t="s">
        <v>1077</v>
      </c>
      <c r="B517" s="5" t="s">
        <v>1078</v>
      </c>
      <c r="C517" s="6">
        <v>44975</v>
      </c>
      <c r="D517" s="6" t="str">
        <f t="shared" si="17"/>
        <v>Saturday</v>
      </c>
      <c r="E517" s="5">
        <v>35</v>
      </c>
      <c r="F517" s="5" t="str">
        <f t="shared" si="16"/>
        <v>Millennials</v>
      </c>
      <c r="G517" s="5" t="s">
        <v>20</v>
      </c>
      <c r="H517" s="5" t="s">
        <v>48</v>
      </c>
      <c r="I517" s="5" t="s">
        <v>33</v>
      </c>
      <c r="J517" s="5">
        <v>96.9</v>
      </c>
      <c r="K517" s="5">
        <v>5</v>
      </c>
      <c r="L517" s="5">
        <v>0</v>
      </c>
      <c r="M517" s="5">
        <v>484.5</v>
      </c>
      <c r="N517" s="5" t="s">
        <v>29</v>
      </c>
      <c r="O517" s="5" t="s">
        <v>24</v>
      </c>
      <c r="P517" s="5">
        <v>16</v>
      </c>
      <c r="Q517" s="5">
        <v>8</v>
      </c>
      <c r="R517" s="5" t="b">
        <v>1</v>
      </c>
      <c r="S517" s="5">
        <v>6</v>
      </c>
      <c r="T517" s="5">
        <v>2</v>
      </c>
    </row>
    <row r="518" spans="1:20">
      <c r="A518" s="5" t="s">
        <v>1079</v>
      </c>
      <c r="B518" s="5" t="s">
        <v>1080</v>
      </c>
      <c r="C518" s="6">
        <v>44975</v>
      </c>
      <c r="D518" s="6" t="str">
        <f t="shared" si="17"/>
        <v>Saturday</v>
      </c>
      <c r="E518" s="5">
        <v>19</v>
      </c>
      <c r="F518" s="5" t="str">
        <f t="shared" si="16"/>
        <v>Gen Z</v>
      </c>
      <c r="G518" s="5" t="s">
        <v>20</v>
      </c>
      <c r="H518" s="5" t="s">
        <v>32</v>
      </c>
      <c r="I518" s="5" t="s">
        <v>70</v>
      </c>
      <c r="J518" s="5">
        <v>83.97</v>
      </c>
      <c r="K518" s="5">
        <v>2</v>
      </c>
      <c r="L518" s="5">
        <v>9.6199999999999992</v>
      </c>
      <c r="M518" s="5">
        <v>158.32</v>
      </c>
      <c r="N518" s="5" t="s">
        <v>49</v>
      </c>
      <c r="O518" s="5" t="s">
        <v>24</v>
      </c>
      <c r="P518" s="5">
        <v>7</v>
      </c>
      <c r="Q518" s="5">
        <v>10</v>
      </c>
      <c r="R518" s="5" t="b">
        <v>1</v>
      </c>
      <c r="S518" s="5">
        <v>8</v>
      </c>
      <c r="T518" s="5">
        <v>4</v>
      </c>
    </row>
    <row r="519" spans="1:20">
      <c r="A519" s="5" t="s">
        <v>1081</v>
      </c>
      <c r="B519" s="5" t="s">
        <v>1082</v>
      </c>
      <c r="C519" s="6">
        <v>44975</v>
      </c>
      <c r="D519" s="6" t="str">
        <f t="shared" si="17"/>
        <v>Saturday</v>
      </c>
      <c r="E519" s="5">
        <v>44</v>
      </c>
      <c r="F519" s="5" t="str">
        <f t="shared" si="16"/>
        <v>Millennials</v>
      </c>
      <c r="G519" s="5" t="s">
        <v>20</v>
      </c>
      <c r="H519" s="5" t="s">
        <v>124</v>
      </c>
      <c r="I519" s="5" t="s">
        <v>33</v>
      </c>
      <c r="J519" s="5">
        <v>35.85</v>
      </c>
      <c r="K519" s="5">
        <v>4</v>
      </c>
      <c r="L519" s="5">
        <v>0</v>
      </c>
      <c r="M519" s="5">
        <v>143.4</v>
      </c>
      <c r="N519" s="5" t="s">
        <v>29</v>
      </c>
      <c r="O519" s="5" t="s">
        <v>24</v>
      </c>
      <c r="P519" s="5">
        <v>5</v>
      </c>
      <c r="Q519" s="5">
        <v>7</v>
      </c>
      <c r="R519" s="5" t="b">
        <v>0</v>
      </c>
      <c r="S519" s="5">
        <v>2</v>
      </c>
      <c r="T519" s="5">
        <v>2</v>
      </c>
    </row>
    <row r="520" spans="1:20">
      <c r="A520" s="5" t="s">
        <v>1083</v>
      </c>
      <c r="B520" s="5" t="s">
        <v>1084</v>
      </c>
      <c r="C520" s="6">
        <v>44975</v>
      </c>
      <c r="D520" s="6" t="str">
        <f t="shared" si="17"/>
        <v>Saturday</v>
      </c>
      <c r="E520" s="5">
        <v>28</v>
      </c>
      <c r="F520" s="5" t="str">
        <f t="shared" si="16"/>
        <v>Millennials</v>
      </c>
      <c r="G520" s="5" t="s">
        <v>20</v>
      </c>
      <c r="H520" s="5" t="s">
        <v>48</v>
      </c>
      <c r="I520" s="5" t="s">
        <v>40</v>
      </c>
      <c r="J520" s="5">
        <v>440.35</v>
      </c>
      <c r="K520" s="5">
        <v>2</v>
      </c>
      <c r="L520" s="5">
        <v>0</v>
      </c>
      <c r="M520" s="5">
        <v>880.7</v>
      </c>
      <c r="N520" s="5" t="s">
        <v>29</v>
      </c>
      <c r="O520" s="5" t="s">
        <v>42</v>
      </c>
      <c r="P520" s="5">
        <v>13</v>
      </c>
      <c r="Q520" s="5">
        <v>11</v>
      </c>
      <c r="R520" s="5" t="b">
        <v>1</v>
      </c>
      <c r="S520" s="5">
        <v>3</v>
      </c>
      <c r="T520" s="5">
        <v>4</v>
      </c>
    </row>
    <row r="521" spans="1:20">
      <c r="A521" s="5" t="s">
        <v>1085</v>
      </c>
      <c r="B521" s="5" t="s">
        <v>1086</v>
      </c>
      <c r="C521" s="6">
        <v>44975</v>
      </c>
      <c r="D521" s="6" t="str">
        <f t="shared" si="17"/>
        <v>Saturday</v>
      </c>
      <c r="E521" s="5">
        <v>20</v>
      </c>
      <c r="F521" s="5" t="str">
        <f t="shared" si="16"/>
        <v>Gen Z</v>
      </c>
      <c r="G521" s="5" t="s">
        <v>27</v>
      </c>
      <c r="H521" s="5" t="s">
        <v>28</v>
      </c>
      <c r="I521" s="5" t="s">
        <v>37</v>
      </c>
      <c r="J521" s="5">
        <v>528.28</v>
      </c>
      <c r="K521" s="5">
        <v>1</v>
      </c>
      <c r="L521" s="5">
        <v>0</v>
      </c>
      <c r="M521" s="5">
        <v>528.28</v>
      </c>
      <c r="N521" s="5" t="s">
        <v>29</v>
      </c>
      <c r="O521" s="5" t="s">
        <v>24</v>
      </c>
      <c r="P521" s="5">
        <v>9</v>
      </c>
      <c r="Q521" s="5">
        <v>9</v>
      </c>
      <c r="R521" s="5" t="b">
        <v>1</v>
      </c>
      <c r="S521" s="5">
        <v>3</v>
      </c>
      <c r="T521" s="5">
        <v>2</v>
      </c>
    </row>
    <row r="522" spans="1:20">
      <c r="A522" s="5" t="s">
        <v>1087</v>
      </c>
      <c r="B522" s="5" t="s">
        <v>1088</v>
      </c>
      <c r="C522" s="6">
        <v>44976</v>
      </c>
      <c r="D522" s="6" t="str">
        <f t="shared" si="17"/>
        <v>Sunday</v>
      </c>
      <c r="E522" s="5">
        <v>44</v>
      </c>
      <c r="F522" s="5" t="str">
        <f t="shared" si="16"/>
        <v>Millennials</v>
      </c>
      <c r="G522" s="5" t="s">
        <v>27</v>
      </c>
      <c r="H522" s="5" t="s">
        <v>36</v>
      </c>
      <c r="I522" s="5" t="s">
        <v>22</v>
      </c>
      <c r="J522" s="5">
        <v>241.61</v>
      </c>
      <c r="K522" s="5">
        <v>4</v>
      </c>
      <c r="L522" s="5">
        <v>0</v>
      </c>
      <c r="M522" s="5">
        <v>966.44</v>
      </c>
      <c r="N522" s="5" t="s">
        <v>49</v>
      </c>
      <c r="O522" s="5" t="s">
        <v>24</v>
      </c>
      <c r="P522" s="5">
        <v>23</v>
      </c>
      <c r="Q522" s="5">
        <v>10</v>
      </c>
      <c r="R522" s="5" t="b">
        <v>0</v>
      </c>
      <c r="S522" s="5">
        <v>9</v>
      </c>
      <c r="T522" s="5">
        <v>4</v>
      </c>
    </row>
    <row r="523" spans="1:20">
      <c r="A523" s="5" t="s">
        <v>1089</v>
      </c>
      <c r="B523" s="5" t="s">
        <v>1090</v>
      </c>
      <c r="C523" s="6">
        <v>44976</v>
      </c>
      <c r="D523" s="6" t="str">
        <f t="shared" si="17"/>
        <v>Sunday</v>
      </c>
      <c r="E523" s="5">
        <v>26</v>
      </c>
      <c r="F523" s="5" t="str">
        <f t="shared" si="16"/>
        <v>Millennials</v>
      </c>
      <c r="G523" s="5" t="s">
        <v>27</v>
      </c>
      <c r="H523" s="5" t="s">
        <v>66</v>
      </c>
      <c r="I523" s="5" t="s">
        <v>40</v>
      </c>
      <c r="J523" s="5">
        <v>675.54</v>
      </c>
      <c r="K523" s="5">
        <v>2</v>
      </c>
      <c r="L523" s="5">
        <v>0</v>
      </c>
      <c r="M523" s="5">
        <v>1351.08</v>
      </c>
      <c r="N523" s="5" t="s">
        <v>29</v>
      </c>
      <c r="O523" s="5" t="s">
        <v>24</v>
      </c>
      <c r="P523" s="5">
        <v>16</v>
      </c>
      <c r="Q523" s="5">
        <v>8</v>
      </c>
      <c r="R523" s="5" t="b">
        <v>1</v>
      </c>
      <c r="S523" s="5">
        <v>11</v>
      </c>
      <c r="T523" s="5">
        <v>1</v>
      </c>
    </row>
    <row r="524" spans="1:20">
      <c r="A524" s="5" t="s">
        <v>1091</v>
      </c>
      <c r="B524" s="5" t="s">
        <v>1092</v>
      </c>
      <c r="C524" s="6">
        <v>44976</v>
      </c>
      <c r="D524" s="6" t="str">
        <f t="shared" si="17"/>
        <v>Sunday</v>
      </c>
      <c r="E524" s="5">
        <v>32</v>
      </c>
      <c r="F524" s="5" t="str">
        <f t="shared" si="16"/>
        <v>Millennials</v>
      </c>
      <c r="G524" s="5" t="s">
        <v>20</v>
      </c>
      <c r="H524" s="5" t="s">
        <v>21</v>
      </c>
      <c r="I524" s="5" t="s">
        <v>40</v>
      </c>
      <c r="J524" s="5">
        <v>477.43</v>
      </c>
      <c r="K524" s="5">
        <v>4</v>
      </c>
      <c r="L524" s="5">
        <v>44.24</v>
      </c>
      <c r="M524" s="5">
        <v>1865.48</v>
      </c>
      <c r="N524" s="5" t="s">
        <v>29</v>
      </c>
      <c r="O524" s="5" t="s">
        <v>24</v>
      </c>
      <c r="P524" s="5">
        <v>8</v>
      </c>
      <c r="Q524" s="5">
        <v>4</v>
      </c>
      <c r="R524" s="5" t="b">
        <v>1</v>
      </c>
      <c r="S524" s="5">
        <v>2</v>
      </c>
      <c r="T524" s="5">
        <v>5</v>
      </c>
    </row>
    <row r="525" spans="1:20">
      <c r="A525" s="5" t="s">
        <v>1093</v>
      </c>
      <c r="B525" s="5" t="s">
        <v>1094</v>
      </c>
      <c r="C525" s="6">
        <v>44976</v>
      </c>
      <c r="D525" s="6" t="str">
        <f t="shared" si="17"/>
        <v>Sunday</v>
      </c>
      <c r="E525" s="5">
        <v>39</v>
      </c>
      <c r="F525" s="5" t="str">
        <f t="shared" si="16"/>
        <v>Millennials</v>
      </c>
      <c r="G525" s="5" t="s">
        <v>27</v>
      </c>
      <c r="H525" s="5" t="s">
        <v>178</v>
      </c>
      <c r="I525" s="5" t="s">
        <v>45</v>
      </c>
      <c r="J525" s="5">
        <v>42.23</v>
      </c>
      <c r="K525" s="5">
        <v>1</v>
      </c>
      <c r="L525" s="5">
        <v>8.26</v>
      </c>
      <c r="M525" s="5">
        <v>33.97</v>
      </c>
      <c r="N525" s="5" t="s">
        <v>49</v>
      </c>
      <c r="O525" s="5" t="s">
        <v>24</v>
      </c>
      <c r="P525" s="5">
        <v>5</v>
      </c>
      <c r="Q525" s="5">
        <v>10</v>
      </c>
      <c r="R525" s="5" t="b">
        <v>0</v>
      </c>
      <c r="S525" s="5">
        <v>4</v>
      </c>
      <c r="T525" s="5">
        <v>4</v>
      </c>
    </row>
    <row r="526" spans="1:20">
      <c r="A526" s="5" t="s">
        <v>1095</v>
      </c>
      <c r="B526" s="5" t="s">
        <v>1096</v>
      </c>
      <c r="C526" s="6">
        <v>44976</v>
      </c>
      <c r="D526" s="6" t="str">
        <f t="shared" si="17"/>
        <v>Sunday</v>
      </c>
      <c r="E526" s="5">
        <v>40</v>
      </c>
      <c r="F526" s="5" t="str">
        <f t="shared" si="16"/>
        <v>Millennials</v>
      </c>
      <c r="G526" s="5" t="s">
        <v>27</v>
      </c>
      <c r="H526" s="5" t="s">
        <v>178</v>
      </c>
      <c r="I526" s="5" t="s">
        <v>40</v>
      </c>
      <c r="J526" s="5">
        <v>332.41</v>
      </c>
      <c r="K526" s="5">
        <v>2</v>
      </c>
      <c r="L526" s="5">
        <v>0</v>
      </c>
      <c r="M526" s="5">
        <v>664.82</v>
      </c>
      <c r="N526" s="5" t="s">
        <v>23</v>
      </c>
      <c r="O526" s="5" t="s">
        <v>24</v>
      </c>
      <c r="P526" s="5">
        <v>2</v>
      </c>
      <c r="Q526" s="5">
        <v>9</v>
      </c>
      <c r="R526" s="5" t="b">
        <v>1</v>
      </c>
      <c r="S526" s="5">
        <v>5</v>
      </c>
      <c r="T526" s="5">
        <v>5</v>
      </c>
    </row>
    <row r="527" spans="1:20">
      <c r="A527" s="5" t="s">
        <v>1097</v>
      </c>
      <c r="B527" s="5" t="s">
        <v>1098</v>
      </c>
      <c r="C527" s="6">
        <v>44976</v>
      </c>
      <c r="D527" s="6" t="str">
        <f t="shared" si="17"/>
        <v>Sunday</v>
      </c>
      <c r="E527" s="5">
        <v>32</v>
      </c>
      <c r="F527" s="5" t="str">
        <f t="shared" si="16"/>
        <v>Millennials</v>
      </c>
      <c r="G527" s="5" t="s">
        <v>27</v>
      </c>
      <c r="H527" s="5" t="s">
        <v>36</v>
      </c>
      <c r="I527" s="5" t="s">
        <v>40</v>
      </c>
      <c r="J527" s="5">
        <v>93.08</v>
      </c>
      <c r="K527" s="5">
        <v>1</v>
      </c>
      <c r="L527" s="5">
        <v>0</v>
      </c>
      <c r="M527" s="5">
        <v>93.08</v>
      </c>
      <c r="N527" s="5" t="s">
        <v>29</v>
      </c>
      <c r="O527" s="5" t="s">
        <v>24</v>
      </c>
      <c r="P527" s="5">
        <v>13</v>
      </c>
      <c r="Q527" s="5">
        <v>8</v>
      </c>
      <c r="R527" s="5" t="b">
        <v>1</v>
      </c>
      <c r="S527" s="5">
        <v>4</v>
      </c>
      <c r="T527" s="5">
        <v>4</v>
      </c>
    </row>
    <row r="528" spans="1:20">
      <c r="A528" s="5" t="s">
        <v>1099</v>
      </c>
      <c r="B528" s="5" t="s">
        <v>1100</v>
      </c>
      <c r="C528" s="6">
        <v>44976</v>
      </c>
      <c r="D528" s="6" t="str">
        <f t="shared" si="17"/>
        <v>Sunday</v>
      </c>
      <c r="E528" s="5">
        <v>63</v>
      </c>
      <c r="F528" s="5" t="str">
        <f t="shared" si="16"/>
        <v>Gen X/Boomers</v>
      </c>
      <c r="G528" s="5" t="s">
        <v>20</v>
      </c>
      <c r="H528" s="5" t="s">
        <v>28</v>
      </c>
      <c r="I528" s="5" t="s">
        <v>22</v>
      </c>
      <c r="J528" s="5">
        <v>194.79</v>
      </c>
      <c r="K528" s="5">
        <v>1</v>
      </c>
      <c r="L528" s="5">
        <v>0</v>
      </c>
      <c r="M528" s="5">
        <v>194.79</v>
      </c>
      <c r="N528" s="5" t="s">
        <v>23</v>
      </c>
      <c r="O528" s="5" t="s">
        <v>24</v>
      </c>
      <c r="P528" s="5">
        <v>24</v>
      </c>
      <c r="Q528" s="5">
        <v>9</v>
      </c>
      <c r="R528" s="5" t="b">
        <v>1</v>
      </c>
      <c r="S528" s="5">
        <v>3</v>
      </c>
      <c r="T528" s="5">
        <v>5</v>
      </c>
    </row>
    <row r="529" spans="1:20">
      <c r="A529" s="5" t="s">
        <v>1101</v>
      </c>
      <c r="B529" s="5" t="s">
        <v>1102</v>
      </c>
      <c r="C529" s="6">
        <v>44976</v>
      </c>
      <c r="D529" s="6" t="str">
        <f t="shared" si="17"/>
        <v>Sunday</v>
      </c>
      <c r="E529" s="5">
        <v>50</v>
      </c>
      <c r="F529" s="5" t="str">
        <f t="shared" si="16"/>
        <v>Gen X/Boomers</v>
      </c>
      <c r="G529" s="5" t="s">
        <v>27</v>
      </c>
      <c r="H529" s="5" t="s">
        <v>32</v>
      </c>
      <c r="I529" s="5" t="s">
        <v>22</v>
      </c>
      <c r="J529" s="5">
        <v>157.02000000000001</v>
      </c>
      <c r="K529" s="5">
        <v>3</v>
      </c>
      <c r="L529" s="5">
        <v>0</v>
      </c>
      <c r="M529" s="5">
        <v>471.06</v>
      </c>
      <c r="N529" s="5" t="s">
        <v>29</v>
      </c>
      <c r="O529" s="5" t="s">
        <v>24</v>
      </c>
      <c r="P529" s="5">
        <v>5</v>
      </c>
      <c r="Q529" s="5">
        <v>8</v>
      </c>
      <c r="R529" s="5" t="b">
        <v>1</v>
      </c>
      <c r="S529" s="5">
        <v>5</v>
      </c>
      <c r="T529" s="5">
        <v>5</v>
      </c>
    </row>
    <row r="530" spans="1:20">
      <c r="A530" s="5" t="s">
        <v>1103</v>
      </c>
      <c r="B530" s="5" t="s">
        <v>1104</v>
      </c>
      <c r="C530" s="6">
        <v>44976</v>
      </c>
      <c r="D530" s="6" t="str">
        <f t="shared" si="17"/>
        <v>Sunday</v>
      </c>
      <c r="E530" s="5">
        <v>47</v>
      </c>
      <c r="F530" s="5" t="str">
        <f t="shared" si="16"/>
        <v>Gen X/Boomers</v>
      </c>
      <c r="G530" s="5" t="s">
        <v>20</v>
      </c>
      <c r="H530" s="5" t="s">
        <v>36</v>
      </c>
      <c r="I530" s="5" t="s">
        <v>67</v>
      </c>
      <c r="J530" s="5">
        <v>1237.18</v>
      </c>
      <c r="K530" s="5">
        <v>5</v>
      </c>
      <c r="L530" s="5">
        <v>0</v>
      </c>
      <c r="M530" s="5">
        <v>6185.9</v>
      </c>
      <c r="N530" s="5" t="s">
        <v>29</v>
      </c>
      <c r="O530" s="5" t="s">
        <v>24</v>
      </c>
      <c r="P530" s="5">
        <v>13</v>
      </c>
      <c r="Q530" s="5">
        <v>12</v>
      </c>
      <c r="R530" s="5" t="b">
        <v>1</v>
      </c>
      <c r="S530" s="5">
        <v>8</v>
      </c>
      <c r="T530" s="5">
        <v>3</v>
      </c>
    </row>
    <row r="531" spans="1:20">
      <c r="A531" s="5" t="s">
        <v>1105</v>
      </c>
      <c r="B531" s="5" t="s">
        <v>1106</v>
      </c>
      <c r="C531" s="6">
        <v>44977</v>
      </c>
      <c r="D531" s="6" t="str">
        <f t="shared" si="17"/>
        <v>Monday</v>
      </c>
      <c r="E531" s="5">
        <v>34</v>
      </c>
      <c r="F531" s="5" t="str">
        <f t="shared" si="16"/>
        <v>Millennials</v>
      </c>
      <c r="G531" s="5" t="s">
        <v>27</v>
      </c>
      <c r="H531" s="5" t="s">
        <v>36</v>
      </c>
      <c r="I531" s="5" t="s">
        <v>54</v>
      </c>
      <c r="J531" s="5">
        <v>327.67</v>
      </c>
      <c r="K531" s="5">
        <v>4</v>
      </c>
      <c r="L531" s="5">
        <v>83.59</v>
      </c>
      <c r="M531" s="5">
        <v>1227.0899999999999</v>
      </c>
      <c r="N531" s="5" t="s">
        <v>29</v>
      </c>
      <c r="O531" s="5" t="s">
        <v>55</v>
      </c>
      <c r="P531" s="5">
        <v>3</v>
      </c>
      <c r="Q531" s="5">
        <v>8</v>
      </c>
      <c r="R531" s="5" t="b">
        <v>0</v>
      </c>
      <c r="S531" s="5">
        <v>8</v>
      </c>
      <c r="T531" s="5">
        <v>4</v>
      </c>
    </row>
    <row r="532" spans="1:20">
      <c r="A532" s="5" t="s">
        <v>1107</v>
      </c>
      <c r="B532" s="5" t="s">
        <v>1108</v>
      </c>
      <c r="C532" s="6">
        <v>44977</v>
      </c>
      <c r="D532" s="6" t="str">
        <f t="shared" si="17"/>
        <v>Monday</v>
      </c>
      <c r="E532" s="5">
        <v>22</v>
      </c>
      <c r="F532" s="5" t="str">
        <f t="shared" si="16"/>
        <v>Gen Z</v>
      </c>
      <c r="G532" s="5" t="s">
        <v>20</v>
      </c>
      <c r="H532" s="5" t="s">
        <v>32</v>
      </c>
      <c r="I532" s="5" t="s">
        <v>22</v>
      </c>
      <c r="J532" s="5">
        <v>19.61</v>
      </c>
      <c r="K532" s="5">
        <v>1</v>
      </c>
      <c r="L532" s="5">
        <v>0</v>
      </c>
      <c r="M532" s="5">
        <v>19.61</v>
      </c>
      <c r="N532" s="5" t="s">
        <v>99</v>
      </c>
      <c r="O532" s="5" t="s">
        <v>24</v>
      </c>
      <c r="P532" s="5">
        <v>16</v>
      </c>
      <c r="Q532" s="5">
        <v>3</v>
      </c>
      <c r="R532" s="5" t="b">
        <v>0</v>
      </c>
      <c r="S532" s="5">
        <v>4</v>
      </c>
      <c r="T532" s="5">
        <v>4</v>
      </c>
    </row>
    <row r="533" spans="1:20">
      <c r="A533" s="5" t="s">
        <v>1109</v>
      </c>
      <c r="B533" s="5" t="s">
        <v>1110</v>
      </c>
      <c r="C533" s="6">
        <v>44977</v>
      </c>
      <c r="D533" s="6" t="str">
        <f t="shared" si="17"/>
        <v>Monday</v>
      </c>
      <c r="E533" s="5">
        <v>38</v>
      </c>
      <c r="F533" s="5" t="str">
        <f t="shared" si="16"/>
        <v>Millennials</v>
      </c>
      <c r="G533" s="5" t="s">
        <v>20</v>
      </c>
      <c r="H533" s="5" t="s">
        <v>36</v>
      </c>
      <c r="I533" s="5" t="s">
        <v>45</v>
      </c>
      <c r="J533" s="5">
        <v>75.73</v>
      </c>
      <c r="K533" s="5">
        <v>1</v>
      </c>
      <c r="L533" s="5">
        <v>0</v>
      </c>
      <c r="M533" s="5">
        <v>75.73</v>
      </c>
      <c r="N533" s="5" t="s">
        <v>23</v>
      </c>
      <c r="O533" s="5" t="s">
        <v>55</v>
      </c>
      <c r="P533" s="5">
        <v>11</v>
      </c>
      <c r="Q533" s="5">
        <v>8</v>
      </c>
      <c r="R533" s="5" t="b">
        <v>0</v>
      </c>
      <c r="S533" s="5">
        <v>5</v>
      </c>
      <c r="T533" s="5">
        <v>5</v>
      </c>
    </row>
    <row r="534" spans="1:20">
      <c r="A534" s="5" t="s">
        <v>1111</v>
      </c>
      <c r="B534" s="5" t="s">
        <v>1112</v>
      </c>
      <c r="C534" s="6">
        <v>44977</v>
      </c>
      <c r="D534" s="6" t="str">
        <f t="shared" si="17"/>
        <v>Monday</v>
      </c>
      <c r="E534" s="5">
        <v>37</v>
      </c>
      <c r="F534" s="5" t="str">
        <f t="shared" si="16"/>
        <v>Millennials</v>
      </c>
      <c r="G534" s="5" t="s">
        <v>20</v>
      </c>
      <c r="H534" s="5" t="s">
        <v>36</v>
      </c>
      <c r="I534" s="5" t="s">
        <v>70</v>
      </c>
      <c r="J534" s="5">
        <v>26.17</v>
      </c>
      <c r="K534" s="5">
        <v>4</v>
      </c>
      <c r="L534" s="5">
        <v>0</v>
      </c>
      <c r="M534" s="5">
        <v>104.68</v>
      </c>
      <c r="N534" s="5" t="s">
        <v>49</v>
      </c>
      <c r="O534" s="5" t="s">
        <v>55</v>
      </c>
      <c r="P534" s="5">
        <v>8</v>
      </c>
      <c r="Q534" s="5">
        <v>4</v>
      </c>
      <c r="R534" s="5" t="b">
        <v>0</v>
      </c>
      <c r="S534" s="5">
        <v>3</v>
      </c>
      <c r="T534" s="5">
        <v>5</v>
      </c>
    </row>
    <row r="535" spans="1:20">
      <c r="A535" s="5" t="s">
        <v>1113</v>
      </c>
      <c r="B535" s="5" t="s">
        <v>1114</v>
      </c>
      <c r="C535" s="6">
        <v>44977</v>
      </c>
      <c r="D535" s="6" t="str">
        <f t="shared" si="17"/>
        <v>Monday</v>
      </c>
      <c r="E535" s="5">
        <v>29</v>
      </c>
      <c r="F535" s="5" t="str">
        <f t="shared" si="16"/>
        <v>Millennials</v>
      </c>
      <c r="G535" s="5" t="s">
        <v>20</v>
      </c>
      <c r="H535" s="5" t="s">
        <v>36</v>
      </c>
      <c r="I535" s="5" t="s">
        <v>40</v>
      </c>
      <c r="J535" s="5">
        <v>84.99</v>
      </c>
      <c r="K535" s="5">
        <v>5</v>
      </c>
      <c r="L535" s="5">
        <v>0</v>
      </c>
      <c r="M535" s="5">
        <v>424.95</v>
      </c>
      <c r="N535" s="5" t="s">
        <v>41</v>
      </c>
      <c r="O535" s="5" t="s">
        <v>55</v>
      </c>
      <c r="P535" s="5">
        <v>3</v>
      </c>
      <c r="Q535" s="5">
        <v>7</v>
      </c>
      <c r="R535" s="5" t="b">
        <v>1</v>
      </c>
      <c r="S535" s="5">
        <v>7</v>
      </c>
      <c r="T535" s="5">
        <v>4</v>
      </c>
    </row>
    <row r="536" spans="1:20">
      <c r="A536" s="5" t="s">
        <v>1115</v>
      </c>
      <c r="B536" s="5" t="s">
        <v>1116</v>
      </c>
      <c r="C536" s="6">
        <v>44977</v>
      </c>
      <c r="D536" s="6" t="str">
        <f t="shared" si="17"/>
        <v>Monday</v>
      </c>
      <c r="E536" s="5">
        <v>44</v>
      </c>
      <c r="F536" s="5" t="str">
        <f t="shared" si="16"/>
        <v>Millennials</v>
      </c>
      <c r="G536" s="5" t="s">
        <v>20</v>
      </c>
      <c r="H536" s="5" t="s">
        <v>124</v>
      </c>
      <c r="I536" s="5" t="s">
        <v>33</v>
      </c>
      <c r="J536" s="5">
        <v>16.71</v>
      </c>
      <c r="K536" s="5">
        <v>2</v>
      </c>
      <c r="L536" s="5">
        <v>0</v>
      </c>
      <c r="M536" s="5">
        <v>33.42</v>
      </c>
      <c r="N536" s="5" t="s">
        <v>49</v>
      </c>
      <c r="O536" s="5" t="s">
        <v>42</v>
      </c>
      <c r="P536" s="5">
        <v>21</v>
      </c>
      <c r="Q536" s="5">
        <v>9</v>
      </c>
      <c r="R536" s="5" t="b">
        <v>0</v>
      </c>
      <c r="S536" s="5">
        <v>7</v>
      </c>
      <c r="T536" s="5">
        <v>3</v>
      </c>
    </row>
    <row r="537" spans="1:20">
      <c r="A537" s="5" t="s">
        <v>1117</v>
      </c>
      <c r="B537" s="5" t="s">
        <v>1118</v>
      </c>
      <c r="C537" s="6">
        <v>44977</v>
      </c>
      <c r="D537" s="6" t="str">
        <f t="shared" si="17"/>
        <v>Monday</v>
      </c>
      <c r="E537" s="5">
        <v>18</v>
      </c>
      <c r="F537" s="5" t="str">
        <f t="shared" si="16"/>
        <v>Gen Z</v>
      </c>
      <c r="G537" s="5" t="s">
        <v>129</v>
      </c>
      <c r="H537" s="5" t="s">
        <v>32</v>
      </c>
      <c r="I537" s="5" t="s">
        <v>33</v>
      </c>
      <c r="J537" s="5">
        <v>19.670000000000002</v>
      </c>
      <c r="K537" s="5">
        <v>1</v>
      </c>
      <c r="L537" s="5">
        <v>0</v>
      </c>
      <c r="M537" s="5">
        <v>19.670000000000002</v>
      </c>
      <c r="N537" s="5" t="s">
        <v>29</v>
      </c>
      <c r="O537" s="5" t="s">
        <v>24</v>
      </c>
      <c r="P537" s="5">
        <v>18</v>
      </c>
      <c r="Q537" s="5">
        <v>13</v>
      </c>
      <c r="R537" s="5" t="b">
        <v>0</v>
      </c>
      <c r="S537" s="5">
        <v>3</v>
      </c>
      <c r="T537" s="5">
        <v>3</v>
      </c>
    </row>
    <row r="538" spans="1:20">
      <c r="A538" s="5" t="s">
        <v>1119</v>
      </c>
      <c r="B538" s="5" t="s">
        <v>1120</v>
      </c>
      <c r="C538" s="6">
        <v>44977</v>
      </c>
      <c r="D538" s="6" t="str">
        <f t="shared" si="17"/>
        <v>Monday</v>
      </c>
      <c r="E538" s="5">
        <v>36</v>
      </c>
      <c r="F538" s="5" t="str">
        <f t="shared" si="16"/>
        <v>Millennials</v>
      </c>
      <c r="G538" s="5" t="s">
        <v>27</v>
      </c>
      <c r="H538" s="5" t="s">
        <v>48</v>
      </c>
      <c r="I538" s="5" t="s">
        <v>70</v>
      </c>
      <c r="J538" s="5">
        <v>67.75</v>
      </c>
      <c r="K538" s="5">
        <v>3</v>
      </c>
      <c r="L538" s="5">
        <v>0</v>
      </c>
      <c r="M538" s="5">
        <v>203.25</v>
      </c>
      <c r="N538" s="5" t="s">
        <v>99</v>
      </c>
      <c r="O538" s="5" t="s">
        <v>24</v>
      </c>
      <c r="P538" s="5">
        <v>28</v>
      </c>
      <c r="Q538" s="5">
        <v>12</v>
      </c>
      <c r="R538" s="5" t="b">
        <v>0</v>
      </c>
      <c r="S538" s="5">
        <v>7</v>
      </c>
      <c r="T538" s="5">
        <v>5</v>
      </c>
    </row>
    <row r="539" spans="1:20">
      <c r="A539" s="5" t="s">
        <v>1121</v>
      </c>
      <c r="B539" s="5" t="s">
        <v>1122</v>
      </c>
      <c r="C539" s="6">
        <v>44977</v>
      </c>
      <c r="D539" s="6" t="str">
        <f t="shared" si="17"/>
        <v>Monday</v>
      </c>
      <c r="E539" s="5">
        <v>33</v>
      </c>
      <c r="F539" s="5" t="str">
        <f t="shared" si="16"/>
        <v>Millennials</v>
      </c>
      <c r="G539" s="5" t="s">
        <v>27</v>
      </c>
      <c r="H539" s="5" t="s">
        <v>83</v>
      </c>
      <c r="I539" s="5" t="s">
        <v>22</v>
      </c>
      <c r="J539" s="5">
        <v>281.58</v>
      </c>
      <c r="K539" s="5">
        <v>1</v>
      </c>
      <c r="L539" s="5">
        <v>0</v>
      </c>
      <c r="M539" s="5">
        <v>281.58</v>
      </c>
      <c r="N539" s="5" t="s">
        <v>29</v>
      </c>
      <c r="O539" s="5" t="s">
        <v>55</v>
      </c>
      <c r="P539" s="5">
        <v>6</v>
      </c>
      <c r="Q539" s="5">
        <v>11</v>
      </c>
      <c r="R539" s="5" t="b">
        <v>1</v>
      </c>
      <c r="S539" s="5">
        <v>3</v>
      </c>
      <c r="T539" s="5">
        <v>5</v>
      </c>
    </row>
    <row r="540" spans="1:20">
      <c r="A540" s="5" t="s">
        <v>1123</v>
      </c>
      <c r="B540" s="5" t="s">
        <v>1124</v>
      </c>
      <c r="C540" s="6">
        <v>44977</v>
      </c>
      <c r="D540" s="6" t="str">
        <f t="shared" si="17"/>
        <v>Monday</v>
      </c>
      <c r="E540" s="5">
        <v>18</v>
      </c>
      <c r="F540" s="5" t="str">
        <f t="shared" si="16"/>
        <v>Gen Z</v>
      </c>
      <c r="G540" s="5" t="s">
        <v>20</v>
      </c>
      <c r="H540" s="5" t="s">
        <v>48</v>
      </c>
      <c r="I540" s="5" t="s">
        <v>45</v>
      </c>
      <c r="J540" s="5">
        <v>169.89</v>
      </c>
      <c r="K540" s="5">
        <v>1</v>
      </c>
      <c r="L540" s="5">
        <v>38.15</v>
      </c>
      <c r="M540" s="5">
        <v>131.74</v>
      </c>
      <c r="N540" s="5" t="s">
        <v>29</v>
      </c>
      <c r="O540" s="5" t="s">
        <v>24</v>
      </c>
      <c r="P540" s="5">
        <v>12</v>
      </c>
      <c r="Q540" s="5">
        <v>11</v>
      </c>
      <c r="R540" s="5" t="b">
        <v>1</v>
      </c>
      <c r="S540" s="5">
        <v>12</v>
      </c>
      <c r="T540" s="5">
        <v>5</v>
      </c>
    </row>
    <row r="541" spans="1:20">
      <c r="A541" s="5" t="s">
        <v>1125</v>
      </c>
      <c r="B541" s="5" t="s">
        <v>1126</v>
      </c>
      <c r="C541" s="6">
        <v>44977</v>
      </c>
      <c r="D541" s="6" t="str">
        <f t="shared" si="17"/>
        <v>Monday</v>
      </c>
      <c r="E541" s="5">
        <v>55</v>
      </c>
      <c r="F541" s="5" t="str">
        <f t="shared" si="16"/>
        <v>Gen X/Boomers</v>
      </c>
      <c r="G541" s="5" t="s">
        <v>27</v>
      </c>
      <c r="H541" s="5" t="s">
        <v>32</v>
      </c>
      <c r="I541" s="5" t="s">
        <v>40</v>
      </c>
      <c r="J541" s="5">
        <v>853.04</v>
      </c>
      <c r="K541" s="5">
        <v>1</v>
      </c>
      <c r="L541" s="5">
        <v>0</v>
      </c>
      <c r="M541" s="5">
        <v>853.04</v>
      </c>
      <c r="N541" s="5" t="s">
        <v>23</v>
      </c>
      <c r="O541" s="5" t="s">
        <v>24</v>
      </c>
      <c r="P541" s="5">
        <v>29</v>
      </c>
      <c r="Q541" s="5">
        <v>9</v>
      </c>
      <c r="R541" s="5" t="b">
        <v>1</v>
      </c>
      <c r="S541" s="5">
        <v>6</v>
      </c>
      <c r="T541" s="5">
        <v>5</v>
      </c>
    </row>
    <row r="542" spans="1:20">
      <c r="A542" s="5" t="s">
        <v>1127</v>
      </c>
      <c r="B542" s="5" t="s">
        <v>1128</v>
      </c>
      <c r="C542" s="6">
        <v>44977</v>
      </c>
      <c r="D542" s="6" t="str">
        <f t="shared" si="17"/>
        <v>Monday</v>
      </c>
      <c r="E542" s="5">
        <v>41</v>
      </c>
      <c r="F542" s="5" t="str">
        <f t="shared" si="16"/>
        <v>Millennials</v>
      </c>
      <c r="G542" s="5" t="s">
        <v>27</v>
      </c>
      <c r="H542" s="5" t="s">
        <v>178</v>
      </c>
      <c r="I542" s="5" t="s">
        <v>70</v>
      </c>
      <c r="J542" s="5">
        <v>35.450000000000003</v>
      </c>
      <c r="K542" s="5">
        <v>1</v>
      </c>
      <c r="L542" s="5">
        <v>0</v>
      </c>
      <c r="M542" s="5">
        <v>35.450000000000003</v>
      </c>
      <c r="N542" s="5" t="s">
        <v>29</v>
      </c>
      <c r="O542" s="5" t="s">
        <v>42</v>
      </c>
      <c r="P542" s="5">
        <v>19</v>
      </c>
      <c r="Q542" s="5">
        <v>12</v>
      </c>
      <c r="R542" s="5" t="b">
        <v>1</v>
      </c>
      <c r="S542" s="5">
        <v>13</v>
      </c>
      <c r="T542" s="5">
        <v>5</v>
      </c>
    </row>
    <row r="543" spans="1:20">
      <c r="A543" s="5" t="s">
        <v>1129</v>
      </c>
      <c r="B543" s="5" t="s">
        <v>1130</v>
      </c>
      <c r="C543" s="6">
        <v>44978</v>
      </c>
      <c r="D543" s="6" t="str">
        <f t="shared" si="17"/>
        <v>Tuesday</v>
      </c>
      <c r="E543" s="5">
        <v>41</v>
      </c>
      <c r="F543" s="5" t="str">
        <f t="shared" si="16"/>
        <v>Millennials</v>
      </c>
      <c r="G543" s="5" t="s">
        <v>20</v>
      </c>
      <c r="H543" s="5" t="s">
        <v>83</v>
      </c>
      <c r="I543" s="5" t="s">
        <v>54</v>
      </c>
      <c r="J543" s="5">
        <v>214.36</v>
      </c>
      <c r="K543" s="5">
        <v>1</v>
      </c>
      <c r="L543" s="5">
        <v>0</v>
      </c>
      <c r="M543" s="5">
        <v>214.36</v>
      </c>
      <c r="N543" s="5" t="s">
        <v>29</v>
      </c>
      <c r="O543" s="5" t="s">
        <v>24</v>
      </c>
      <c r="P543" s="5">
        <v>8</v>
      </c>
      <c r="Q543" s="5">
        <v>7</v>
      </c>
      <c r="R543" s="5" t="b">
        <v>0</v>
      </c>
      <c r="S543" s="5">
        <v>8</v>
      </c>
      <c r="T543" s="5">
        <v>5</v>
      </c>
    </row>
    <row r="544" spans="1:20">
      <c r="A544" s="5" t="s">
        <v>1131</v>
      </c>
      <c r="B544" s="5" t="s">
        <v>1132</v>
      </c>
      <c r="C544" s="6">
        <v>44978</v>
      </c>
      <c r="D544" s="6" t="str">
        <f t="shared" si="17"/>
        <v>Tuesday</v>
      </c>
      <c r="E544" s="5">
        <v>54</v>
      </c>
      <c r="F544" s="5" t="str">
        <f t="shared" si="16"/>
        <v>Gen X/Boomers</v>
      </c>
      <c r="G544" s="5" t="s">
        <v>27</v>
      </c>
      <c r="H544" s="5" t="s">
        <v>32</v>
      </c>
      <c r="I544" s="5" t="s">
        <v>54</v>
      </c>
      <c r="J544" s="5">
        <v>101.23</v>
      </c>
      <c r="K544" s="5">
        <v>5</v>
      </c>
      <c r="L544" s="5">
        <v>0</v>
      </c>
      <c r="M544" s="5">
        <v>506.15</v>
      </c>
      <c r="N544" s="5" t="s">
        <v>49</v>
      </c>
      <c r="O544" s="5" t="s">
        <v>42</v>
      </c>
      <c r="P544" s="5">
        <v>30</v>
      </c>
      <c r="Q544" s="5">
        <v>9</v>
      </c>
      <c r="R544" s="5" t="b">
        <v>0</v>
      </c>
      <c r="S544" s="5">
        <v>16</v>
      </c>
      <c r="T544" s="5">
        <v>4</v>
      </c>
    </row>
    <row r="545" spans="1:20">
      <c r="A545" s="5" t="s">
        <v>1133</v>
      </c>
      <c r="B545" s="5" t="s">
        <v>1134</v>
      </c>
      <c r="C545" s="6">
        <v>44978</v>
      </c>
      <c r="D545" s="6" t="str">
        <f t="shared" si="17"/>
        <v>Tuesday</v>
      </c>
      <c r="E545" s="5">
        <v>41</v>
      </c>
      <c r="F545" s="5" t="str">
        <f t="shared" si="16"/>
        <v>Millennials</v>
      </c>
      <c r="G545" s="5" t="s">
        <v>20</v>
      </c>
      <c r="H545" s="5" t="s">
        <v>36</v>
      </c>
      <c r="I545" s="5" t="s">
        <v>22</v>
      </c>
      <c r="J545" s="5">
        <v>198.81</v>
      </c>
      <c r="K545" s="5">
        <v>5</v>
      </c>
      <c r="L545" s="5">
        <v>0</v>
      </c>
      <c r="M545" s="5">
        <v>994.05</v>
      </c>
      <c r="N545" s="5" t="s">
        <v>29</v>
      </c>
      <c r="O545" s="5" t="s">
        <v>24</v>
      </c>
      <c r="P545" s="5">
        <v>24</v>
      </c>
      <c r="Q545" s="5">
        <v>4</v>
      </c>
      <c r="R545" s="5" t="b">
        <v>0</v>
      </c>
      <c r="S545" s="5">
        <v>5</v>
      </c>
      <c r="T545" s="5">
        <v>5</v>
      </c>
    </row>
    <row r="546" spans="1:20">
      <c r="A546" s="5" t="s">
        <v>1135</v>
      </c>
      <c r="B546" s="5" t="s">
        <v>1136</v>
      </c>
      <c r="C546" s="6">
        <v>44978</v>
      </c>
      <c r="D546" s="6" t="str">
        <f t="shared" si="17"/>
        <v>Tuesday</v>
      </c>
      <c r="E546" s="5">
        <v>40</v>
      </c>
      <c r="F546" s="5" t="str">
        <f t="shared" si="16"/>
        <v>Millennials</v>
      </c>
      <c r="G546" s="5" t="s">
        <v>27</v>
      </c>
      <c r="H546" s="5" t="s">
        <v>36</v>
      </c>
      <c r="I546" s="5" t="s">
        <v>33</v>
      </c>
      <c r="J546" s="5">
        <v>58.67</v>
      </c>
      <c r="K546" s="5">
        <v>5</v>
      </c>
      <c r="L546" s="5">
        <v>0</v>
      </c>
      <c r="M546" s="5">
        <v>293.35000000000002</v>
      </c>
      <c r="N546" s="5" t="s">
        <v>29</v>
      </c>
      <c r="O546" s="5" t="s">
        <v>55</v>
      </c>
      <c r="P546" s="5">
        <v>4</v>
      </c>
      <c r="Q546" s="5">
        <v>10</v>
      </c>
      <c r="R546" s="5" t="b">
        <v>0</v>
      </c>
      <c r="S546" s="5">
        <v>11</v>
      </c>
      <c r="T546" s="5">
        <v>4</v>
      </c>
    </row>
    <row r="547" spans="1:20">
      <c r="A547" s="5" t="s">
        <v>1137</v>
      </c>
      <c r="B547" s="5" t="s">
        <v>1138</v>
      </c>
      <c r="C547" s="6">
        <v>44978</v>
      </c>
      <c r="D547" s="6" t="str">
        <f t="shared" si="17"/>
        <v>Tuesday</v>
      </c>
      <c r="E547" s="5">
        <v>40</v>
      </c>
      <c r="F547" s="5" t="str">
        <f t="shared" si="16"/>
        <v>Millennials</v>
      </c>
      <c r="G547" s="5" t="s">
        <v>27</v>
      </c>
      <c r="H547" s="5" t="s">
        <v>124</v>
      </c>
      <c r="I547" s="5" t="s">
        <v>67</v>
      </c>
      <c r="J547" s="5">
        <v>1328.74</v>
      </c>
      <c r="K547" s="5">
        <v>1</v>
      </c>
      <c r="L547" s="5">
        <v>287.01</v>
      </c>
      <c r="M547" s="5">
        <v>1041.73</v>
      </c>
      <c r="N547" s="5" t="s">
        <v>29</v>
      </c>
      <c r="O547" s="5" t="s">
        <v>24</v>
      </c>
      <c r="P547" s="5">
        <v>8</v>
      </c>
      <c r="Q547" s="5">
        <v>6</v>
      </c>
      <c r="R547" s="5" t="b">
        <v>1</v>
      </c>
      <c r="S547" s="5">
        <v>3</v>
      </c>
      <c r="T547" s="5">
        <v>4</v>
      </c>
    </row>
    <row r="548" spans="1:20">
      <c r="A548" s="5" t="s">
        <v>1139</v>
      </c>
      <c r="B548" s="5" t="s">
        <v>1140</v>
      </c>
      <c r="C548" s="6">
        <v>44978</v>
      </c>
      <c r="D548" s="6" t="str">
        <f t="shared" si="17"/>
        <v>Tuesday</v>
      </c>
      <c r="E548" s="5">
        <v>45</v>
      </c>
      <c r="F548" s="5" t="str">
        <f t="shared" si="16"/>
        <v>Gen X/Boomers</v>
      </c>
      <c r="G548" s="5" t="s">
        <v>27</v>
      </c>
      <c r="H548" s="5" t="s">
        <v>88</v>
      </c>
      <c r="I548" s="5" t="s">
        <v>70</v>
      </c>
      <c r="J548" s="5">
        <v>22.1</v>
      </c>
      <c r="K548" s="5">
        <v>2</v>
      </c>
      <c r="L548" s="5">
        <v>4.92</v>
      </c>
      <c r="M548" s="5">
        <v>39.28</v>
      </c>
      <c r="N548" s="5" t="s">
        <v>49</v>
      </c>
      <c r="O548" s="5" t="s">
        <v>42</v>
      </c>
      <c r="P548" s="5">
        <v>9</v>
      </c>
      <c r="Q548" s="5">
        <v>7</v>
      </c>
      <c r="R548" s="5" t="b">
        <v>0</v>
      </c>
      <c r="S548" s="5">
        <v>2</v>
      </c>
      <c r="T548" s="5">
        <v>5</v>
      </c>
    </row>
    <row r="549" spans="1:20">
      <c r="A549" s="5" t="s">
        <v>1141</v>
      </c>
      <c r="B549" s="5" t="s">
        <v>1142</v>
      </c>
      <c r="C549" s="6">
        <v>44978</v>
      </c>
      <c r="D549" s="6" t="str">
        <f t="shared" si="17"/>
        <v>Tuesday</v>
      </c>
      <c r="E549" s="5">
        <v>18</v>
      </c>
      <c r="F549" s="5" t="str">
        <f t="shared" si="16"/>
        <v>Gen Z</v>
      </c>
      <c r="G549" s="5" t="s">
        <v>27</v>
      </c>
      <c r="H549" s="5" t="s">
        <v>21</v>
      </c>
      <c r="I549" s="5" t="s">
        <v>67</v>
      </c>
      <c r="J549" s="5">
        <v>851.04</v>
      </c>
      <c r="K549" s="5">
        <v>1</v>
      </c>
      <c r="L549" s="5">
        <v>104.28</v>
      </c>
      <c r="M549" s="5">
        <v>746.76</v>
      </c>
      <c r="N549" s="5" t="s">
        <v>49</v>
      </c>
      <c r="O549" s="5" t="s">
        <v>24</v>
      </c>
      <c r="P549" s="5">
        <v>4</v>
      </c>
      <c r="Q549" s="5">
        <v>6</v>
      </c>
      <c r="R549" s="5" t="b">
        <v>0</v>
      </c>
      <c r="S549" s="5">
        <v>6</v>
      </c>
      <c r="T549" s="5">
        <v>4</v>
      </c>
    </row>
    <row r="550" spans="1:20">
      <c r="A550" s="5" t="s">
        <v>1143</v>
      </c>
      <c r="B550" s="5" t="s">
        <v>1144</v>
      </c>
      <c r="C550" s="6">
        <v>44978</v>
      </c>
      <c r="D550" s="6" t="str">
        <f t="shared" si="17"/>
        <v>Tuesday</v>
      </c>
      <c r="E550" s="5">
        <v>37</v>
      </c>
      <c r="F550" s="5" t="str">
        <f t="shared" si="16"/>
        <v>Millennials</v>
      </c>
      <c r="G550" s="5" t="s">
        <v>20</v>
      </c>
      <c r="H550" s="5" t="s">
        <v>32</v>
      </c>
      <c r="I550" s="5" t="s">
        <v>67</v>
      </c>
      <c r="J550" s="5">
        <v>736.92</v>
      </c>
      <c r="K550" s="5">
        <v>1</v>
      </c>
      <c r="L550" s="5">
        <v>38.200000000000003</v>
      </c>
      <c r="M550" s="5">
        <v>698.72</v>
      </c>
      <c r="N550" s="5" t="s">
        <v>23</v>
      </c>
      <c r="O550" s="5" t="s">
        <v>24</v>
      </c>
      <c r="P550" s="5">
        <v>42</v>
      </c>
      <c r="Q550" s="5">
        <v>8</v>
      </c>
      <c r="R550" s="5" t="b">
        <v>0</v>
      </c>
      <c r="S550" s="5">
        <v>6</v>
      </c>
      <c r="T550" s="5">
        <v>4</v>
      </c>
    </row>
    <row r="551" spans="1:20">
      <c r="A551" s="5" t="s">
        <v>1145</v>
      </c>
      <c r="B551" s="5" t="s">
        <v>1146</v>
      </c>
      <c r="C551" s="6">
        <v>44978</v>
      </c>
      <c r="D551" s="6" t="str">
        <f t="shared" si="17"/>
        <v>Tuesday</v>
      </c>
      <c r="E551" s="5">
        <v>23</v>
      </c>
      <c r="F551" s="5" t="str">
        <f t="shared" si="16"/>
        <v>Gen Z</v>
      </c>
      <c r="G551" s="5" t="s">
        <v>27</v>
      </c>
      <c r="H551" s="5" t="s">
        <v>36</v>
      </c>
      <c r="I551" s="5" t="s">
        <v>67</v>
      </c>
      <c r="J551" s="5">
        <v>511.01</v>
      </c>
      <c r="K551" s="5">
        <v>1</v>
      </c>
      <c r="L551" s="5">
        <v>0</v>
      </c>
      <c r="M551" s="5">
        <v>511.01</v>
      </c>
      <c r="N551" s="5" t="s">
        <v>29</v>
      </c>
      <c r="O551" s="5" t="s">
        <v>24</v>
      </c>
      <c r="P551" s="5">
        <v>11</v>
      </c>
      <c r="Q551" s="5">
        <v>8</v>
      </c>
      <c r="R551" s="5" t="b">
        <v>1</v>
      </c>
      <c r="S551" s="5">
        <v>5</v>
      </c>
      <c r="T551" s="5">
        <v>3</v>
      </c>
    </row>
    <row r="552" spans="1:20">
      <c r="A552" s="5" t="s">
        <v>1147</v>
      </c>
      <c r="B552" s="5" t="s">
        <v>1148</v>
      </c>
      <c r="C552" s="6">
        <v>44978</v>
      </c>
      <c r="D552" s="6" t="str">
        <f t="shared" si="17"/>
        <v>Tuesday</v>
      </c>
      <c r="E552" s="5">
        <v>35</v>
      </c>
      <c r="F552" s="5" t="str">
        <f t="shared" si="16"/>
        <v>Millennials</v>
      </c>
      <c r="G552" s="5" t="s">
        <v>27</v>
      </c>
      <c r="H552" s="5" t="s">
        <v>21</v>
      </c>
      <c r="I552" s="5" t="s">
        <v>45</v>
      </c>
      <c r="J552" s="5">
        <v>266.75</v>
      </c>
      <c r="K552" s="5">
        <v>1</v>
      </c>
      <c r="L552" s="5">
        <v>0</v>
      </c>
      <c r="M552" s="5">
        <v>266.75</v>
      </c>
      <c r="N552" s="5" t="s">
        <v>23</v>
      </c>
      <c r="O552" s="5" t="s">
        <v>24</v>
      </c>
      <c r="P552" s="5">
        <v>36</v>
      </c>
      <c r="Q552" s="5">
        <v>8</v>
      </c>
      <c r="R552" s="5" t="b">
        <v>1</v>
      </c>
      <c r="S552" s="5">
        <v>6</v>
      </c>
      <c r="T552" s="5">
        <v>5</v>
      </c>
    </row>
    <row r="553" spans="1:20">
      <c r="A553" s="5" t="s">
        <v>1149</v>
      </c>
      <c r="B553" s="5" t="s">
        <v>1150</v>
      </c>
      <c r="C553" s="6">
        <v>44978</v>
      </c>
      <c r="D553" s="6" t="str">
        <f t="shared" si="17"/>
        <v>Tuesday</v>
      </c>
      <c r="E553" s="5">
        <v>41</v>
      </c>
      <c r="F553" s="5" t="str">
        <f t="shared" si="16"/>
        <v>Millennials</v>
      </c>
      <c r="G553" s="5" t="s">
        <v>27</v>
      </c>
      <c r="H553" s="5" t="s">
        <v>48</v>
      </c>
      <c r="I553" s="5" t="s">
        <v>45</v>
      </c>
      <c r="J553" s="5">
        <v>113.22</v>
      </c>
      <c r="K553" s="5">
        <v>1</v>
      </c>
      <c r="L553" s="5">
        <v>0</v>
      </c>
      <c r="M553" s="5">
        <v>113.22</v>
      </c>
      <c r="N553" s="5" t="s">
        <v>23</v>
      </c>
      <c r="O553" s="5" t="s">
        <v>24</v>
      </c>
      <c r="P553" s="5">
        <v>5</v>
      </c>
      <c r="Q553" s="5">
        <v>8</v>
      </c>
      <c r="R553" s="5" t="b">
        <v>0</v>
      </c>
      <c r="S553" s="5">
        <v>15</v>
      </c>
      <c r="T553" s="5">
        <v>4</v>
      </c>
    </row>
    <row r="554" spans="1:20">
      <c r="A554" s="5" t="s">
        <v>1151</v>
      </c>
      <c r="B554" s="5" t="s">
        <v>1152</v>
      </c>
      <c r="C554" s="6">
        <v>44979</v>
      </c>
      <c r="D554" s="6" t="str">
        <f t="shared" si="17"/>
        <v>Wednesday</v>
      </c>
      <c r="E554" s="5">
        <v>43</v>
      </c>
      <c r="F554" s="5" t="str">
        <f t="shared" si="16"/>
        <v>Millennials</v>
      </c>
      <c r="G554" s="5" t="s">
        <v>27</v>
      </c>
      <c r="H554" s="5" t="s">
        <v>124</v>
      </c>
      <c r="I554" s="5" t="s">
        <v>37</v>
      </c>
      <c r="J554" s="5">
        <v>2102</v>
      </c>
      <c r="K554" s="5">
        <v>3</v>
      </c>
      <c r="L554" s="5">
        <v>576.92999999999995</v>
      </c>
      <c r="M554" s="5">
        <v>5729.07</v>
      </c>
      <c r="N554" s="5" t="s">
        <v>23</v>
      </c>
      <c r="O554" s="5" t="s">
        <v>42</v>
      </c>
      <c r="P554" s="5">
        <v>4</v>
      </c>
      <c r="Q554" s="5">
        <v>12</v>
      </c>
      <c r="R554" s="5" t="b">
        <v>1</v>
      </c>
      <c r="S554" s="5">
        <v>7</v>
      </c>
      <c r="T554" s="5">
        <v>5</v>
      </c>
    </row>
    <row r="555" spans="1:20">
      <c r="A555" s="5" t="s">
        <v>1153</v>
      </c>
      <c r="B555" s="5" t="s">
        <v>1154</v>
      </c>
      <c r="C555" s="6">
        <v>44979</v>
      </c>
      <c r="D555" s="6" t="str">
        <f t="shared" si="17"/>
        <v>Wednesday</v>
      </c>
      <c r="E555" s="5">
        <v>34</v>
      </c>
      <c r="F555" s="5" t="str">
        <f t="shared" si="16"/>
        <v>Millennials</v>
      </c>
      <c r="G555" s="5" t="s">
        <v>27</v>
      </c>
      <c r="H555" s="5" t="s">
        <v>88</v>
      </c>
      <c r="I555" s="5" t="s">
        <v>45</v>
      </c>
      <c r="J555" s="5">
        <v>303.54000000000002</v>
      </c>
      <c r="K555" s="5">
        <v>1</v>
      </c>
      <c r="L555" s="5">
        <v>0</v>
      </c>
      <c r="M555" s="5">
        <v>303.54000000000002</v>
      </c>
      <c r="N555" s="5" t="s">
        <v>99</v>
      </c>
      <c r="O555" s="5" t="s">
        <v>24</v>
      </c>
      <c r="P555" s="5">
        <v>23</v>
      </c>
      <c r="Q555" s="5">
        <v>9</v>
      </c>
      <c r="R555" s="5" t="b">
        <v>0</v>
      </c>
      <c r="S555" s="5">
        <v>3</v>
      </c>
      <c r="T555" s="5">
        <v>2</v>
      </c>
    </row>
    <row r="556" spans="1:20">
      <c r="A556" s="5" t="s">
        <v>1155</v>
      </c>
      <c r="B556" s="5" t="s">
        <v>1156</v>
      </c>
      <c r="C556" s="6">
        <v>44979</v>
      </c>
      <c r="D556" s="6" t="str">
        <f t="shared" si="17"/>
        <v>Wednesday</v>
      </c>
      <c r="E556" s="5">
        <v>18</v>
      </c>
      <c r="F556" s="5" t="str">
        <f t="shared" si="16"/>
        <v>Gen Z</v>
      </c>
      <c r="G556" s="5" t="s">
        <v>20</v>
      </c>
      <c r="H556" s="5" t="s">
        <v>48</v>
      </c>
      <c r="I556" s="5" t="s">
        <v>40</v>
      </c>
      <c r="J556" s="5">
        <v>466.79</v>
      </c>
      <c r="K556" s="5">
        <v>2</v>
      </c>
      <c r="L556" s="5">
        <v>0</v>
      </c>
      <c r="M556" s="5">
        <v>933.58</v>
      </c>
      <c r="N556" s="5" t="s">
        <v>49</v>
      </c>
      <c r="O556" s="5" t="s">
        <v>24</v>
      </c>
      <c r="P556" s="5">
        <v>13</v>
      </c>
      <c r="Q556" s="5">
        <v>10</v>
      </c>
      <c r="R556" s="5" t="b">
        <v>1</v>
      </c>
      <c r="S556" s="5">
        <v>9</v>
      </c>
      <c r="T556" s="5">
        <v>5</v>
      </c>
    </row>
    <row r="557" spans="1:20">
      <c r="A557" s="5" t="s">
        <v>1157</v>
      </c>
      <c r="B557" s="5" t="s">
        <v>1158</v>
      </c>
      <c r="C557" s="6">
        <v>44979</v>
      </c>
      <c r="D557" s="6" t="str">
        <f t="shared" si="17"/>
        <v>Wednesday</v>
      </c>
      <c r="E557" s="5">
        <v>18</v>
      </c>
      <c r="F557" s="5" t="str">
        <f t="shared" si="16"/>
        <v>Gen Z</v>
      </c>
      <c r="G557" s="5" t="s">
        <v>27</v>
      </c>
      <c r="H557" s="5" t="s">
        <v>48</v>
      </c>
      <c r="I557" s="5" t="s">
        <v>22</v>
      </c>
      <c r="J557" s="5">
        <v>150.91</v>
      </c>
      <c r="K557" s="5">
        <v>2</v>
      </c>
      <c r="L557" s="5">
        <v>0</v>
      </c>
      <c r="M557" s="5">
        <v>301.82</v>
      </c>
      <c r="N557" s="5" t="s">
        <v>49</v>
      </c>
      <c r="O557" s="5" t="s">
        <v>24</v>
      </c>
      <c r="P557" s="5">
        <v>8</v>
      </c>
      <c r="Q557" s="5">
        <v>11</v>
      </c>
      <c r="R557" s="5" t="b">
        <v>1</v>
      </c>
      <c r="S557" s="5">
        <v>3</v>
      </c>
      <c r="T557" s="5">
        <v>4</v>
      </c>
    </row>
    <row r="558" spans="1:20">
      <c r="A558" s="5" t="s">
        <v>1159</v>
      </c>
      <c r="B558" s="5" t="s">
        <v>1160</v>
      </c>
      <c r="C558" s="6">
        <v>44979</v>
      </c>
      <c r="D558" s="6" t="str">
        <f t="shared" si="17"/>
        <v>Wednesday</v>
      </c>
      <c r="E558" s="5">
        <v>45</v>
      </c>
      <c r="F558" s="5" t="str">
        <f t="shared" si="16"/>
        <v>Gen X/Boomers</v>
      </c>
      <c r="G558" s="5" t="s">
        <v>20</v>
      </c>
      <c r="H558" s="5" t="s">
        <v>32</v>
      </c>
      <c r="I558" s="5" t="s">
        <v>33</v>
      </c>
      <c r="J558" s="5">
        <v>80.8</v>
      </c>
      <c r="K558" s="5">
        <v>1</v>
      </c>
      <c r="L558" s="5">
        <v>14.64</v>
      </c>
      <c r="M558" s="5">
        <v>66.16</v>
      </c>
      <c r="N558" s="5" t="s">
        <v>29</v>
      </c>
      <c r="O558" s="5" t="s">
        <v>24</v>
      </c>
      <c r="P558" s="5">
        <v>22</v>
      </c>
      <c r="Q558" s="5">
        <v>6</v>
      </c>
      <c r="R558" s="5" t="b">
        <v>1</v>
      </c>
      <c r="S558" s="5">
        <v>9</v>
      </c>
      <c r="T558" s="5">
        <v>4</v>
      </c>
    </row>
    <row r="559" spans="1:20">
      <c r="A559" s="5" t="s">
        <v>1161</v>
      </c>
      <c r="B559" s="5" t="s">
        <v>1162</v>
      </c>
      <c r="C559" s="6">
        <v>44979</v>
      </c>
      <c r="D559" s="6" t="str">
        <f t="shared" si="17"/>
        <v>Wednesday</v>
      </c>
      <c r="E559" s="5">
        <v>29</v>
      </c>
      <c r="F559" s="5" t="str">
        <f t="shared" si="16"/>
        <v>Millennials</v>
      </c>
      <c r="G559" s="5" t="s">
        <v>20</v>
      </c>
      <c r="H559" s="5" t="s">
        <v>178</v>
      </c>
      <c r="I559" s="5" t="s">
        <v>70</v>
      </c>
      <c r="J559" s="5">
        <v>144.72999999999999</v>
      </c>
      <c r="K559" s="5">
        <v>5</v>
      </c>
      <c r="L559" s="5">
        <v>0</v>
      </c>
      <c r="M559" s="5">
        <v>723.65</v>
      </c>
      <c r="N559" s="5" t="s">
        <v>23</v>
      </c>
      <c r="O559" s="5" t="s">
        <v>42</v>
      </c>
      <c r="P559" s="5">
        <v>25</v>
      </c>
      <c r="Q559" s="5">
        <v>8</v>
      </c>
      <c r="R559" s="5" t="b">
        <v>0</v>
      </c>
      <c r="S559" s="5">
        <v>10</v>
      </c>
      <c r="T559" s="5">
        <v>5</v>
      </c>
    </row>
    <row r="560" spans="1:20">
      <c r="A560" s="5" t="s">
        <v>1163</v>
      </c>
      <c r="B560" s="5" t="s">
        <v>1164</v>
      </c>
      <c r="C560" s="6">
        <v>44979</v>
      </c>
      <c r="D560" s="6" t="str">
        <f t="shared" si="17"/>
        <v>Wednesday</v>
      </c>
      <c r="E560" s="5">
        <v>28</v>
      </c>
      <c r="F560" s="5" t="str">
        <f t="shared" si="16"/>
        <v>Millennials</v>
      </c>
      <c r="G560" s="5" t="s">
        <v>27</v>
      </c>
      <c r="H560" s="5" t="s">
        <v>124</v>
      </c>
      <c r="I560" s="5" t="s">
        <v>70</v>
      </c>
      <c r="J560" s="5">
        <v>73.849999999999994</v>
      </c>
      <c r="K560" s="5">
        <v>1</v>
      </c>
      <c r="L560" s="5">
        <v>0</v>
      </c>
      <c r="M560" s="5">
        <v>73.849999999999994</v>
      </c>
      <c r="N560" s="5" t="s">
        <v>29</v>
      </c>
      <c r="O560" s="5" t="s">
        <v>42</v>
      </c>
      <c r="P560" s="5">
        <v>26</v>
      </c>
      <c r="Q560" s="5">
        <v>14</v>
      </c>
      <c r="R560" s="5" t="b">
        <v>0</v>
      </c>
      <c r="S560" s="5">
        <v>9</v>
      </c>
      <c r="T560" s="5">
        <v>3</v>
      </c>
    </row>
    <row r="561" spans="1:20">
      <c r="A561" s="5" t="s">
        <v>1165</v>
      </c>
      <c r="B561" s="5" t="s">
        <v>1166</v>
      </c>
      <c r="C561" s="6">
        <v>44979</v>
      </c>
      <c r="D561" s="6" t="str">
        <f t="shared" si="17"/>
        <v>Wednesday</v>
      </c>
      <c r="E561" s="5">
        <v>21</v>
      </c>
      <c r="F561" s="5" t="str">
        <f t="shared" si="16"/>
        <v>Gen Z</v>
      </c>
      <c r="G561" s="5" t="s">
        <v>129</v>
      </c>
      <c r="H561" s="5" t="s">
        <v>88</v>
      </c>
      <c r="I561" s="5" t="s">
        <v>33</v>
      </c>
      <c r="J561" s="5">
        <v>74.7</v>
      </c>
      <c r="K561" s="5">
        <v>2</v>
      </c>
      <c r="L561" s="5">
        <v>0</v>
      </c>
      <c r="M561" s="5">
        <v>149.4</v>
      </c>
      <c r="N561" s="5" t="s">
        <v>99</v>
      </c>
      <c r="O561" s="5" t="s">
        <v>42</v>
      </c>
      <c r="P561" s="5">
        <v>15</v>
      </c>
      <c r="Q561" s="5">
        <v>8</v>
      </c>
      <c r="R561" s="5" t="b">
        <v>1</v>
      </c>
      <c r="S561" s="5">
        <v>3</v>
      </c>
      <c r="T561" s="5">
        <v>4</v>
      </c>
    </row>
    <row r="562" spans="1:20">
      <c r="A562" s="5" t="s">
        <v>1167</v>
      </c>
      <c r="B562" s="5" t="s">
        <v>1168</v>
      </c>
      <c r="C562" s="6">
        <v>44979</v>
      </c>
      <c r="D562" s="6" t="str">
        <f t="shared" si="17"/>
        <v>Wednesday</v>
      </c>
      <c r="E562" s="5">
        <v>30</v>
      </c>
      <c r="F562" s="5" t="str">
        <f t="shared" si="16"/>
        <v>Millennials</v>
      </c>
      <c r="G562" s="5" t="s">
        <v>20</v>
      </c>
      <c r="H562" s="5" t="s">
        <v>124</v>
      </c>
      <c r="I562" s="5" t="s">
        <v>33</v>
      </c>
      <c r="J562" s="5">
        <v>180.36</v>
      </c>
      <c r="K562" s="5">
        <v>2</v>
      </c>
      <c r="L562" s="5">
        <v>23.14</v>
      </c>
      <c r="M562" s="5">
        <v>337.58</v>
      </c>
      <c r="N562" s="5" t="s">
        <v>29</v>
      </c>
      <c r="O562" s="5" t="s">
        <v>24</v>
      </c>
      <c r="P562" s="5">
        <v>36</v>
      </c>
      <c r="Q562" s="5">
        <v>12</v>
      </c>
      <c r="R562" s="5" t="b">
        <v>1</v>
      </c>
      <c r="S562" s="5">
        <v>5</v>
      </c>
      <c r="T562" s="5">
        <v>5</v>
      </c>
    </row>
    <row r="563" spans="1:20">
      <c r="A563" s="5" t="s">
        <v>1169</v>
      </c>
      <c r="B563" s="5" t="s">
        <v>1170</v>
      </c>
      <c r="C563" s="6">
        <v>44979</v>
      </c>
      <c r="D563" s="6" t="str">
        <f t="shared" si="17"/>
        <v>Wednesday</v>
      </c>
      <c r="E563" s="5">
        <v>35</v>
      </c>
      <c r="F563" s="5" t="str">
        <f t="shared" si="16"/>
        <v>Millennials</v>
      </c>
      <c r="G563" s="5" t="s">
        <v>27</v>
      </c>
      <c r="H563" s="5" t="s">
        <v>48</v>
      </c>
      <c r="I563" s="5" t="s">
        <v>40</v>
      </c>
      <c r="J563" s="5">
        <v>345.7</v>
      </c>
      <c r="K563" s="5">
        <v>2</v>
      </c>
      <c r="L563" s="5">
        <v>55.04</v>
      </c>
      <c r="M563" s="5">
        <v>636.36</v>
      </c>
      <c r="N563" s="5" t="s">
        <v>29</v>
      </c>
      <c r="O563" s="5" t="s">
        <v>24</v>
      </c>
      <c r="P563" s="5">
        <v>23</v>
      </c>
      <c r="Q563" s="5">
        <v>6</v>
      </c>
      <c r="R563" s="5" t="b">
        <v>1</v>
      </c>
      <c r="S563" s="5">
        <v>9</v>
      </c>
      <c r="T563" s="5">
        <v>4</v>
      </c>
    </row>
    <row r="564" spans="1:20">
      <c r="A564" s="5" t="s">
        <v>1171</v>
      </c>
      <c r="B564" s="5" t="s">
        <v>1172</v>
      </c>
      <c r="C564" s="6">
        <v>44979</v>
      </c>
      <c r="D564" s="6" t="str">
        <f t="shared" si="17"/>
        <v>Wednesday</v>
      </c>
      <c r="E564" s="5">
        <v>53</v>
      </c>
      <c r="F564" s="5" t="str">
        <f t="shared" si="16"/>
        <v>Gen X/Boomers</v>
      </c>
      <c r="G564" s="5" t="s">
        <v>27</v>
      </c>
      <c r="H564" s="5" t="s">
        <v>83</v>
      </c>
      <c r="I564" s="5" t="s">
        <v>33</v>
      </c>
      <c r="J564" s="5">
        <v>104.37</v>
      </c>
      <c r="K564" s="5">
        <v>4</v>
      </c>
      <c r="L564" s="5">
        <v>0</v>
      </c>
      <c r="M564" s="5">
        <v>417.48</v>
      </c>
      <c r="N564" s="5" t="s">
        <v>29</v>
      </c>
      <c r="O564" s="5" t="s">
        <v>42</v>
      </c>
      <c r="P564" s="5">
        <v>7</v>
      </c>
      <c r="Q564" s="5">
        <v>8</v>
      </c>
      <c r="R564" s="5" t="b">
        <v>0</v>
      </c>
      <c r="S564" s="5">
        <v>9</v>
      </c>
      <c r="T564" s="5">
        <v>5</v>
      </c>
    </row>
    <row r="565" spans="1:20">
      <c r="A565" s="5" t="s">
        <v>1173</v>
      </c>
      <c r="B565" s="5" t="s">
        <v>1174</v>
      </c>
      <c r="C565" s="6">
        <v>44979</v>
      </c>
      <c r="D565" s="6" t="str">
        <f t="shared" si="17"/>
        <v>Wednesday</v>
      </c>
      <c r="E565" s="5">
        <v>20</v>
      </c>
      <c r="F565" s="5" t="str">
        <f t="shared" si="16"/>
        <v>Gen Z</v>
      </c>
      <c r="G565" s="5" t="s">
        <v>20</v>
      </c>
      <c r="H565" s="5" t="s">
        <v>36</v>
      </c>
      <c r="I565" s="5" t="s">
        <v>54</v>
      </c>
      <c r="J565" s="5">
        <v>68.62</v>
      </c>
      <c r="K565" s="5">
        <v>1</v>
      </c>
      <c r="L565" s="5">
        <v>0</v>
      </c>
      <c r="M565" s="5">
        <v>68.62</v>
      </c>
      <c r="N565" s="5" t="s">
        <v>23</v>
      </c>
      <c r="O565" s="5" t="s">
        <v>24</v>
      </c>
      <c r="P565" s="5">
        <v>5</v>
      </c>
      <c r="Q565" s="5">
        <v>12</v>
      </c>
      <c r="R565" s="5" t="b">
        <v>1</v>
      </c>
      <c r="S565" s="5">
        <v>6</v>
      </c>
      <c r="T565" s="5">
        <v>2</v>
      </c>
    </row>
    <row r="566" spans="1:20">
      <c r="A566" s="5" t="s">
        <v>1175</v>
      </c>
      <c r="B566" s="5" t="s">
        <v>1176</v>
      </c>
      <c r="C566" s="6">
        <v>44979</v>
      </c>
      <c r="D566" s="6" t="str">
        <f t="shared" si="17"/>
        <v>Wednesday</v>
      </c>
      <c r="E566" s="5">
        <v>33</v>
      </c>
      <c r="F566" s="5" t="str">
        <f t="shared" si="16"/>
        <v>Millennials</v>
      </c>
      <c r="G566" s="5" t="s">
        <v>27</v>
      </c>
      <c r="H566" s="5" t="s">
        <v>32</v>
      </c>
      <c r="I566" s="5" t="s">
        <v>37</v>
      </c>
      <c r="J566" s="5">
        <v>2717.55</v>
      </c>
      <c r="K566" s="5">
        <v>4</v>
      </c>
      <c r="L566" s="5">
        <v>0</v>
      </c>
      <c r="M566" s="5">
        <v>10870.2</v>
      </c>
      <c r="N566" s="5" t="s">
        <v>49</v>
      </c>
      <c r="O566" s="5" t="s">
        <v>24</v>
      </c>
      <c r="P566" s="5">
        <v>8</v>
      </c>
      <c r="Q566" s="5">
        <v>7</v>
      </c>
      <c r="R566" s="5" t="b">
        <v>1</v>
      </c>
      <c r="S566" s="5">
        <v>7</v>
      </c>
      <c r="T566" s="5">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E9008-8756-4063-9BC2-5D7E9F818B39}">
  <dimension ref="A1:L91"/>
  <sheetViews>
    <sheetView showGridLines="0" zoomScale="62" workbookViewId="0">
      <selection activeCell="O14" sqref="O14"/>
    </sheetView>
  </sheetViews>
  <sheetFormatPr defaultRowHeight="14.5"/>
  <cols>
    <col min="1" max="1" width="14.6328125" bestFit="1" customWidth="1"/>
    <col min="2" max="3" width="20.1796875" bestFit="1" customWidth="1"/>
    <col min="4" max="4" width="10.90625" bestFit="1" customWidth="1"/>
    <col min="5" max="5" width="14.6328125" bestFit="1" customWidth="1"/>
  </cols>
  <sheetData>
    <row r="1" spans="1:12" ht="14.5" customHeight="1">
      <c r="A1" s="31" t="s">
        <v>1188</v>
      </c>
      <c r="B1" s="32"/>
      <c r="C1" s="32"/>
      <c r="D1" s="32"/>
      <c r="E1" s="32"/>
      <c r="F1" s="32"/>
      <c r="G1" s="32"/>
      <c r="H1" s="32"/>
      <c r="I1" s="32"/>
      <c r="J1" s="32"/>
      <c r="K1" s="32"/>
      <c r="L1" s="33"/>
    </row>
    <row r="2" spans="1:12" ht="15" customHeight="1">
      <c r="A2" s="39"/>
      <c r="B2" s="40"/>
      <c r="C2" s="40"/>
      <c r="D2" s="40"/>
      <c r="E2" s="40"/>
      <c r="F2" s="40"/>
      <c r="G2" s="40"/>
      <c r="H2" s="40"/>
      <c r="I2" s="40"/>
      <c r="J2" s="40"/>
      <c r="K2" s="40"/>
      <c r="L2" s="41"/>
    </row>
    <row r="3" spans="1:12">
      <c r="A3" s="23"/>
      <c r="L3" s="22"/>
    </row>
    <row r="4" spans="1:12">
      <c r="A4" s="23" t="s">
        <v>1187</v>
      </c>
      <c r="B4" t="s">
        <v>1186</v>
      </c>
      <c r="C4" t="s">
        <v>1181</v>
      </c>
      <c r="L4" s="22"/>
    </row>
    <row r="5" spans="1:12">
      <c r="A5" s="23">
        <v>263</v>
      </c>
      <c r="B5">
        <v>3.9467680608365021</v>
      </c>
      <c r="C5">
        <v>258480.26999999996</v>
      </c>
      <c r="L5" s="22"/>
    </row>
    <row r="6" spans="1:12">
      <c r="A6" s="23"/>
      <c r="L6" s="22"/>
    </row>
    <row r="7" spans="1:12">
      <c r="A7" s="23"/>
      <c r="L7" s="22"/>
    </row>
    <row r="8" spans="1:12" ht="14.5" customHeight="1">
      <c r="A8" s="39" t="s">
        <v>1189</v>
      </c>
      <c r="B8" s="40"/>
      <c r="C8" s="40"/>
      <c r="D8" s="40"/>
      <c r="E8" s="40"/>
      <c r="F8" s="40"/>
      <c r="G8" s="40"/>
      <c r="H8" s="40"/>
      <c r="I8" s="40"/>
      <c r="J8" s="40"/>
      <c r="K8" s="40"/>
      <c r="L8" s="41"/>
    </row>
    <row r="9" spans="1:12" ht="15" customHeight="1">
      <c r="A9" s="39"/>
      <c r="B9" s="40"/>
      <c r="C9" s="40"/>
      <c r="D9" s="40"/>
      <c r="E9" s="40"/>
      <c r="F9" s="40"/>
      <c r="G9" s="40"/>
      <c r="H9" s="40"/>
      <c r="I9" s="40"/>
      <c r="J9" s="40"/>
      <c r="K9" s="40"/>
      <c r="L9" s="41"/>
    </row>
    <row r="10" spans="1:12">
      <c r="A10" s="23"/>
      <c r="L10" s="22"/>
    </row>
    <row r="11" spans="1:12">
      <c r="A11" s="23"/>
      <c r="L11" s="22"/>
    </row>
    <row r="12" spans="1:12">
      <c r="A12" s="24" t="s">
        <v>1179</v>
      </c>
      <c r="B12" t="s">
        <v>1185</v>
      </c>
      <c r="C12" t="s">
        <v>1181</v>
      </c>
      <c r="L12" s="22"/>
    </row>
    <row r="13" spans="1:12">
      <c r="A13" s="25" t="s">
        <v>1182</v>
      </c>
      <c r="B13">
        <v>12.296296296296296</v>
      </c>
      <c r="C13">
        <v>67035.900000000023</v>
      </c>
      <c r="L13" s="22"/>
    </row>
    <row r="14" spans="1:12">
      <c r="A14" s="25" t="s">
        <v>1183</v>
      </c>
      <c r="B14">
        <v>16.632653061224488</v>
      </c>
      <c r="C14">
        <v>43405.099999999991</v>
      </c>
      <c r="L14" s="22"/>
    </row>
    <row r="15" spans="1:12">
      <c r="A15" s="25" t="s">
        <v>1184</v>
      </c>
      <c r="B15">
        <v>14.324999999999999</v>
      </c>
      <c r="C15">
        <v>148039.27000000008</v>
      </c>
      <c r="L15" s="22"/>
    </row>
    <row r="16" spans="1:12">
      <c r="A16" s="25" t="s">
        <v>1180</v>
      </c>
      <c r="B16">
        <v>14.338403041825096</v>
      </c>
      <c r="C16">
        <v>258480.27000000008</v>
      </c>
      <c r="L16" s="22"/>
    </row>
    <row r="17" spans="1:12">
      <c r="A17" s="23"/>
      <c r="L17" s="22"/>
    </row>
    <row r="18" spans="1:12">
      <c r="A18" s="23"/>
      <c r="L18" s="22"/>
    </row>
    <row r="19" spans="1:12">
      <c r="A19" s="23"/>
      <c r="L19" s="22"/>
    </row>
    <row r="20" spans="1:12">
      <c r="A20" s="23"/>
      <c r="L20" s="22"/>
    </row>
    <row r="21" spans="1:12">
      <c r="A21" s="23"/>
      <c r="L21" s="22"/>
    </row>
    <row r="22" spans="1:12">
      <c r="A22" s="23"/>
      <c r="L22" s="22"/>
    </row>
    <row r="23" spans="1:12" ht="14.5" customHeight="1">
      <c r="A23" s="9"/>
      <c r="B23" s="8"/>
      <c r="C23" s="8"/>
      <c r="D23" s="8"/>
      <c r="E23" s="8"/>
      <c r="F23" s="8"/>
      <c r="G23" s="8"/>
      <c r="H23" s="8"/>
      <c r="L23" s="22"/>
    </row>
    <row r="24" spans="1:12">
      <c r="A24" s="26"/>
      <c r="B24" s="8"/>
      <c r="C24" s="8"/>
      <c r="D24" s="8"/>
      <c r="E24" s="8"/>
      <c r="F24" s="8"/>
      <c r="G24" s="8"/>
      <c r="H24" s="8"/>
      <c r="L24" s="22"/>
    </row>
    <row r="25" spans="1:12">
      <c r="A25" s="23"/>
      <c r="L25" s="22"/>
    </row>
    <row r="26" spans="1:12">
      <c r="A26" s="23"/>
      <c r="L26" s="22"/>
    </row>
    <row r="27" spans="1:12">
      <c r="A27" s="23"/>
      <c r="L27" s="22"/>
    </row>
    <row r="28" spans="1:12" ht="14.5" customHeight="1">
      <c r="A28" s="39" t="s">
        <v>1190</v>
      </c>
      <c r="B28" s="40"/>
      <c r="C28" s="40"/>
      <c r="D28" s="40"/>
      <c r="E28" s="40"/>
      <c r="F28" s="40"/>
      <c r="G28" s="40"/>
      <c r="H28" s="40"/>
      <c r="I28" s="40"/>
      <c r="J28" s="40"/>
      <c r="K28" s="40"/>
      <c r="L28" s="41"/>
    </row>
    <row r="29" spans="1:12" ht="15" customHeight="1">
      <c r="A29" s="39"/>
      <c r="B29" s="40"/>
      <c r="C29" s="40"/>
      <c r="D29" s="40"/>
      <c r="E29" s="40"/>
      <c r="F29" s="40"/>
      <c r="G29" s="40"/>
      <c r="H29" s="40"/>
      <c r="I29" s="40"/>
      <c r="J29" s="40"/>
      <c r="K29" s="40"/>
      <c r="L29" s="41"/>
    </row>
    <row r="30" spans="1:12">
      <c r="A30" s="23"/>
      <c r="L30" s="22"/>
    </row>
    <row r="31" spans="1:12">
      <c r="A31" s="24" t="s">
        <v>1179</v>
      </c>
      <c r="B31" t="s">
        <v>1181</v>
      </c>
      <c r="L31" s="22"/>
    </row>
    <row r="32" spans="1:12">
      <c r="A32" s="25" t="s">
        <v>178</v>
      </c>
      <c r="B32">
        <v>9002.9699999999993</v>
      </c>
      <c r="D32" s="27" t="s">
        <v>1191</v>
      </c>
      <c r="E32" t="s">
        <v>1192</v>
      </c>
      <c r="L32" s="22"/>
    </row>
    <row r="33" spans="1:12">
      <c r="A33" s="25" t="s">
        <v>32</v>
      </c>
      <c r="B33">
        <v>32274.91</v>
      </c>
      <c r="D33" s="27" t="s">
        <v>178</v>
      </c>
      <c r="E33">
        <v>22418.360000000008</v>
      </c>
      <c r="L33" s="22"/>
    </row>
    <row r="34" spans="1:12">
      <c r="A34" s="25" t="s">
        <v>83</v>
      </c>
      <c r="B34">
        <v>23303.61</v>
      </c>
      <c r="D34" s="27" t="s">
        <v>32</v>
      </c>
      <c r="E34">
        <v>71945.13</v>
      </c>
      <c r="L34" s="22"/>
    </row>
    <row r="35" spans="1:12">
      <c r="A35" s="25" t="s">
        <v>21</v>
      </c>
      <c r="B35">
        <v>27658.25</v>
      </c>
      <c r="D35" s="27" t="s">
        <v>83</v>
      </c>
      <c r="E35">
        <v>34913.380000000012</v>
      </c>
      <c r="L35" s="22"/>
    </row>
    <row r="36" spans="1:12">
      <c r="A36" s="25" t="s">
        <v>66</v>
      </c>
      <c r="B36">
        <v>14863.73</v>
      </c>
      <c r="D36" s="27" t="s">
        <v>21</v>
      </c>
      <c r="E36">
        <v>46677.759999999995</v>
      </c>
      <c r="L36" s="22"/>
    </row>
    <row r="37" spans="1:12">
      <c r="A37" s="25" t="s">
        <v>124</v>
      </c>
      <c r="B37">
        <v>18674.98</v>
      </c>
      <c r="D37" s="27" t="s">
        <v>66</v>
      </c>
      <c r="E37">
        <v>18062.72</v>
      </c>
      <c r="L37" s="22"/>
    </row>
    <row r="38" spans="1:12">
      <c r="A38" s="25" t="s">
        <v>36</v>
      </c>
      <c r="B38">
        <v>71179.850000000006</v>
      </c>
      <c r="D38" s="27" t="s">
        <v>124</v>
      </c>
      <c r="E38">
        <v>49473.520000000004</v>
      </c>
      <c r="L38" s="22"/>
    </row>
    <row r="39" spans="1:12">
      <c r="A39" s="25" t="s">
        <v>48</v>
      </c>
      <c r="B39">
        <v>24375.859999999997</v>
      </c>
      <c r="D39" s="27" t="s">
        <v>36</v>
      </c>
      <c r="E39">
        <v>167389.56999999989</v>
      </c>
      <c r="L39" s="22"/>
    </row>
    <row r="40" spans="1:12">
      <c r="A40" s="25" t="s">
        <v>88</v>
      </c>
      <c r="B40">
        <v>10427.480000000001</v>
      </c>
      <c r="D40" s="27" t="s">
        <v>48</v>
      </c>
      <c r="E40">
        <v>72597.070000000036</v>
      </c>
      <c r="L40" s="22"/>
    </row>
    <row r="41" spans="1:12">
      <c r="A41" s="25" t="s">
        <v>28</v>
      </c>
      <c r="B41">
        <v>26718.629999999997</v>
      </c>
      <c r="D41" s="27" t="s">
        <v>88</v>
      </c>
      <c r="E41">
        <v>31742.190000000002</v>
      </c>
      <c r="L41" s="22"/>
    </row>
    <row r="42" spans="1:12">
      <c r="A42" s="25" t="s">
        <v>1180</v>
      </c>
      <c r="B42">
        <v>258480.27</v>
      </c>
      <c r="D42" s="27" t="s">
        <v>28</v>
      </c>
      <c r="E42">
        <v>45165.979999999996</v>
      </c>
      <c r="L42" s="22"/>
    </row>
    <row r="43" spans="1:12">
      <c r="A43" s="23"/>
      <c r="D43" s="10" t="s">
        <v>1180</v>
      </c>
      <c r="E43" s="11">
        <v>560385.67999999993</v>
      </c>
      <c r="L43" s="22"/>
    </row>
    <row r="44" spans="1:12" ht="18.5">
      <c r="A44" s="23"/>
      <c r="D44" s="7"/>
      <c r="E44" s="7"/>
      <c r="L44" s="22"/>
    </row>
    <row r="45" spans="1:12">
      <c r="A45" s="23"/>
      <c r="L45" s="22"/>
    </row>
    <row r="46" spans="1:12">
      <c r="A46" s="23"/>
      <c r="L46" s="22"/>
    </row>
    <row r="47" spans="1:12">
      <c r="A47" s="23"/>
      <c r="L47" s="22"/>
    </row>
    <row r="48" spans="1:12">
      <c r="A48" s="23"/>
      <c r="L48" s="22"/>
    </row>
    <row r="49" spans="1:12">
      <c r="A49" s="23"/>
      <c r="L49" s="22"/>
    </row>
    <row r="50" spans="1:12">
      <c r="A50" s="23"/>
      <c r="L50" s="22"/>
    </row>
    <row r="51" spans="1:12">
      <c r="A51" s="23"/>
      <c r="L51" s="22"/>
    </row>
    <row r="52" spans="1:12">
      <c r="A52" s="23"/>
      <c r="L52" s="22"/>
    </row>
    <row r="53" spans="1:12" ht="14.5" customHeight="1">
      <c r="A53" s="39" t="s">
        <v>1193</v>
      </c>
      <c r="B53" s="40"/>
      <c r="C53" s="40"/>
      <c r="D53" s="40"/>
      <c r="E53" s="40"/>
      <c r="F53" s="40"/>
      <c r="G53" s="40"/>
      <c r="H53" s="40"/>
      <c r="I53" s="40"/>
      <c r="J53" s="40"/>
      <c r="K53" s="40"/>
      <c r="L53" s="41"/>
    </row>
    <row r="54" spans="1:12" ht="15" customHeight="1">
      <c r="A54" s="39"/>
      <c r="B54" s="40"/>
      <c r="C54" s="40"/>
      <c r="D54" s="40"/>
      <c r="E54" s="40"/>
      <c r="F54" s="40"/>
      <c r="G54" s="40"/>
      <c r="H54" s="40"/>
      <c r="I54" s="40"/>
      <c r="J54" s="40"/>
      <c r="K54" s="40"/>
      <c r="L54" s="41"/>
    </row>
    <row r="55" spans="1:12">
      <c r="A55" s="23"/>
      <c r="L55" s="22"/>
    </row>
    <row r="56" spans="1:12">
      <c r="A56" s="23"/>
      <c r="L56" s="22"/>
    </row>
    <row r="57" spans="1:12">
      <c r="A57" s="24" t="s">
        <v>1179</v>
      </c>
      <c r="B57" t="s">
        <v>1187</v>
      </c>
      <c r="L57" s="22"/>
    </row>
    <row r="58" spans="1:12">
      <c r="A58" s="25" t="s">
        <v>99</v>
      </c>
      <c r="B58">
        <v>28</v>
      </c>
      <c r="L58" s="22"/>
    </row>
    <row r="59" spans="1:12">
      <c r="A59" s="25" t="s">
        <v>41</v>
      </c>
      <c r="B59">
        <v>15</v>
      </c>
      <c r="L59" s="22"/>
    </row>
    <row r="60" spans="1:12">
      <c r="A60" s="25" t="s">
        <v>29</v>
      </c>
      <c r="B60">
        <v>109</v>
      </c>
      <c r="L60" s="22"/>
    </row>
    <row r="61" spans="1:12">
      <c r="A61" s="25" t="s">
        <v>23</v>
      </c>
      <c r="B61">
        <v>59</v>
      </c>
      <c r="L61" s="22"/>
    </row>
    <row r="62" spans="1:12">
      <c r="A62" s="25" t="s">
        <v>49</v>
      </c>
      <c r="B62">
        <v>52</v>
      </c>
      <c r="L62" s="22"/>
    </row>
    <row r="63" spans="1:12">
      <c r="A63" s="25" t="s">
        <v>1180</v>
      </c>
      <c r="B63">
        <v>263</v>
      </c>
      <c r="L63" s="22"/>
    </row>
    <row r="64" spans="1:12">
      <c r="A64" s="23"/>
      <c r="L64" s="22"/>
    </row>
    <row r="65" spans="1:12">
      <c r="A65" s="23"/>
      <c r="L65" s="22"/>
    </row>
    <row r="66" spans="1:12">
      <c r="A66" s="23"/>
      <c r="L66" s="22"/>
    </row>
    <row r="67" spans="1:12">
      <c r="A67" s="23"/>
      <c r="L67" s="22"/>
    </row>
    <row r="68" spans="1:12" ht="15" thickBot="1">
      <c r="A68" s="23"/>
      <c r="L68" s="22"/>
    </row>
    <row r="69" spans="1:12">
      <c r="A69" s="31" t="s">
        <v>1202</v>
      </c>
      <c r="B69" s="34"/>
      <c r="C69" s="34"/>
      <c r="D69" s="34"/>
      <c r="E69" s="34"/>
      <c r="F69" s="34"/>
      <c r="G69" s="34"/>
      <c r="H69" s="34"/>
      <c r="I69" s="34"/>
      <c r="J69" s="34"/>
      <c r="K69" s="34"/>
      <c r="L69" s="35"/>
    </row>
    <row r="70" spans="1:12" ht="15" thickBot="1">
      <c r="A70" s="36"/>
      <c r="B70" s="37"/>
      <c r="C70" s="37"/>
      <c r="D70" s="37"/>
      <c r="E70" s="37"/>
      <c r="F70" s="37"/>
      <c r="G70" s="37"/>
      <c r="H70" s="37"/>
      <c r="I70" s="37"/>
      <c r="J70" s="37"/>
      <c r="K70" s="37"/>
      <c r="L70" s="38"/>
    </row>
    <row r="71" spans="1:12">
      <c r="A71" s="23"/>
      <c r="L71" s="22"/>
    </row>
    <row r="72" spans="1:12">
      <c r="A72" s="24" t="s">
        <v>1179</v>
      </c>
      <c r="B72" t="s">
        <v>1181</v>
      </c>
      <c r="L72" s="22"/>
    </row>
    <row r="73" spans="1:12">
      <c r="A73" s="25" t="s">
        <v>45</v>
      </c>
      <c r="B73">
        <v>6104.03</v>
      </c>
      <c r="L73" s="22"/>
    </row>
    <row r="74" spans="1:12">
      <c r="A74" s="25" t="s">
        <v>70</v>
      </c>
      <c r="B74">
        <v>3007.4499999999994</v>
      </c>
      <c r="L74" s="22"/>
    </row>
    <row r="75" spans="1:12">
      <c r="A75" s="25" t="s">
        <v>37</v>
      </c>
      <c r="B75">
        <v>125871.37000000001</v>
      </c>
      <c r="L75" s="22"/>
    </row>
    <row r="76" spans="1:12">
      <c r="A76" s="25" t="s">
        <v>54</v>
      </c>
      <c r="B76">
        <v>14785.910000000002</v>
      </c>
      <c r="L76" s="22"/>
    </row>
    <row r="77" spans="1:12">
      <c r="A77" s="25" t="s">
        <v>33</v>
      </c>
      <c r="B77">
        <v>5478.16</v>
      </c>
      <c r="L77" s="22"/>
    </row>
    <row r="78" spans="1:12">
      <c r="A78" s="25" t="s">
        <v>67</v>
      </c>
      <c r="B78">
        <v>44427.409999999996</v>
      </c>
      <c r="L78" s="22"/>
    </row>
    <row r="79" spans="1:12">
      <c r="A79" s="25" t="s">
        <v>40</v>
      </c>
      <c r="B79">
        <v>48987.439999999995</v>
      </c>
      <c r="L79" s="22"/>
    </row>
    <row r="80" spans="1:12">
      <c r="A80" s="25" t="s">
        <v>22</v>
      </c>
      <c r="B80">
        <v>9818.5</v>
      </c>
      <c r="L80" s="22"/>
    </row>
    <row r="81" spans="1:12">
      <c r="A81" s="25" t="s">
        <v>1180</v>
      </c>
      <c r="B81">
        <v>258480.27000000002</v>
      </c>
      <c r="L81" s="22"/>
    </row>
    <row r="82" spans="1:12">
      <c r="A82" s="23"/>
      <c r="L82" s="22"/>
    </row>
    <row r="83" spans="1:12">
      <c r="A83" s="23"/>
      <c r="L83" s="22"/>
    </row>
    <row r="84" spans="1:12">
      <c r="A84" s="23"/>
      <c r="L84" s="22"/>
    </row>
    <row r="85" spans="1:12">
      <c r="A85" s="23"/>
      <c r="L85" s="22"/>
    </row>
    <row r="86" spans="1:12">
      <c r="A86" s="23"/>
      <c r="L86" s="22"/>
    </row>
    <row r="87" spans="1:12">
      <c r="A87" s="23"/>
      <c r="L87" s="22"/>
    </row>
    <row r="88" spans="1:12">
      <c r="A88" s="23"/>
      <c r="L88" s="22"/>
    </row>
    <row r="89" spans="1:12">
      <c r="A89" s="23"/>
      <c r="L89" s="22"/>
    </row>
    <row r="90" spans="1:12">
      <c r="A90" s="23"/>
      <c r="L90" s="22"/>
    </row>
    <row r="91" spans="1:12" ht="15" thickBot="1">
      <c r="A91" s="28"/>
      <c r="B91" s="29"/>
      <c r="C91" s="29"/>
      <c r="D91" s="29"/>
      <c r="E91" s="29"/>
      <c r="F91" s="29"/>
      <c r="G91" s="29"/>
      <c r="H91" s="29"/>
      <c r="I91" s="29"/>
      <c r="J91" s="29"/>
      <c r="K91" s="29"/>
      <c r="L91" s="30"/>
    </row>
  </sheetData>
  <mergeCells count="5">
    <mergeCell ref="A69:L70"/>
    <mergeCell ref="A53:L54"/>
    <mergeCell ref="A28:L29"/>
    <mergeCell ref="A8:L9"/>
    <mergeCell ref="A1:L2"/>
  </mergeCells>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 xmlns:x15="http://schemas.microsoft.com/office/spreadsheetml/2010/11/main" uri="{3A4CF648-6AED-40f4-86FF-DC5316D8AED3}">
      <x14:slicerList xmlns:x14="http://schemas.microsoft.com/office/spreadsheetml/2009/9/main">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1"/>
  <sheetViews>
    <sheetView tabSelected="1" workbookViewId="0">
      <selection activeCell="H18" sqref="H18"/>
    </sheetView>
  </sheetViews>
  <sheetFormatPr defaultColWidth="9.81640625" defaultRowHeight="14.5"/>
  <cols>
    <col min="1" max="1" width="11.54296875" bestFit="1" customWidth="1"/>
    <col min="2" max="2" width="11.7265625" bestFit="1" customWidth="1"/>
    <col min="3" max="3" width="10.08984375" bestFit="1" customWidth="1"/>
    <col min="4" max="4" width="5.90625" customWidth="1"/>
    <col min="5" max="5" width="7" bestFit="1" customWidth="1"/>
    <col min="6" max="6" width="9.1796875" bestFit="1" customWidth="1"/>
    <col min="7" max="7" width="15.7265625" bestFit="1" customWidth="1"/>
    <col min="8" max="8" width="9.26953125" bestFit="1" customWidth="1"/>
    <col min="9" max="9" width="8" bestFit="1" customWidth="1"/>
    <col min="10" max="10" width="15.90625" bestFit="1" customWidth="1"/>
    <col min="11" max="11" width="12.7265625" bestFit="1" customWidth="1"/>
    <col min="12" max="12" width="15.81640625" bestFit="1" customWidth="1"/>
    <col min="13" max="13" width="11.26953125" bestFit="1" customWidth="1"/>
    <col min="14" max="14" width="23.453125" bestFit="1" customWidth="1"/>
    <col min="15" max="15" width="12.6328125" bestFit="1" customWidth="1"/>
    <col min="16" max="16" width="20.54296875" bestFit="1" customWidth="1"/>
    <col min="17" max="17" width="17.81640625" bestFit="1" customWidth="1"/>
    <col min="18" max="18" width="15.1796875"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s="1">
        <v>44927</v>
      </c>
      <c r="D2">
        <v>27</v>
      </c>
      <c r="E2" t="s">
        <v>20</v>
      </c>
      <c r="F2" t="s">
        <v>21</v>
      </c>
      <c r="G2" t="s">
        <v>22</v>
      </c>
      <c r="H2">
        <v>54.28</v>
      </c>
      <c r="I2">
        <v>1</v>
      </c>
      <c r="J2">
        <v>0</v>
      </c>
      <c r="K2">
        <v>54.28</v>
      </c>
      <c r="L2" t="s">
        <v>23</v>
      </c>
      <c r="M2" t="s">
        <v>24</v>
      </c>
      <c r="N2">
        <v>4</v>
      </c>
      <c r="O2">
        <v>14</v>
      </c>
      <c r="P2" t="b">
        <v>1</v>
      </c>
      <c r="Q2">
        <v>8</v>
      </c>
      <c r="R2">
        <v>5</v>
      </c>
    </row>
    <row r="3" spans="1:18">
      <c r="A3" t="s">
        <v>25</v>
      </c>
      <c r="B3" t="s">
        <v>26</v>
      </c>
      <c r="C3" s="1">
        <v>44927</v>
      </c>
      <c r="D3">
        <v>42</v>
      </c>
      <c r="E3" t="s">
        <v>27</v>
      </c>
      <c r="F3" t="s">
        <v>28</v>
      </c>
      <c r="G3" t="s">
        <v>22</v>
      </c>
      <c r="H3">
        <v>244.9</v>
      </c>
      <c r="I3">
        <v>1</v>
      </c>
      <c r="J3">
        <v>0</v>
      </c>
      <c r="K3">
        <v>244.9</v>
      </c>
      <c r="L3" t="s">
        <v>29</v>
      </c>
      <c r="M3" t="s">
        <v>24</v>
      </c>
      <c r="N3">
        <v>11</v>
      </c>
      <c r="O3">
        <v>3</v>
      </c>
      <c r="P3" t="b">
        <v>1</v>
      </c>
      <c r="Q3">
        <v>3</v>
      </c>
      <c r="R3">
        <v>3</v>
      </c>
    </row>
    <row r="4" spans="1:18">
      <c r="A4" t="s">
        <v>30</v>
      </c>
      <c r="B4" t="s">
        <v>31</v>
      </c>
      <c r="C4" s="1">
        <v>44927</v>
      </c>
      <c r="D4">
        <v>43</v>
      </c>
      <c r="E4" t="s">
        <v>20</v>
      </c>
      <c r="F4" t="s">
        <v>32</v>
      </c>
      <c r="G4" t="s">
        <v>33</v>
      </c>
      <c r="H4">
        <v>48.15</v>
      </c>
      <c r="I4">
        <v>5</v>
      </c>
      <c r="J4">
        <v>0</v>
      </c>
      <c r="K4">
        <v>240.75</v>
      </c>
      <c r="L4" t="s">
        <v>29</v>
      </c>
      <c r="M4" t="s">
        <v>24</v>
      </c>
      <c r="N4">
        <v>7</v>
      </c>
      <c r="O4">
        <v>8</v>
      </c>
      <c r="P4" t="b">
        <v>1</v>
      </c>
      <c r="Q4">
        <v>5</v>
      </c>
      <c r="R4">
        <v>2</v>
      </c>
    </row>
    <row r="5" spans="1:18">
      <c r="A5" t="s">
        <v>34</v>
      </c>
      <c r="B5" t="s">
        <v>35</v>
      </c>
      <c r="C5" s="1">
        <v>44927</v>
      </c>
      <c r="D5">
        <v>32</v>
      </c>
      <c r="E5" t="s">
        <v>27</v>
      </c>
      <c r="F5" t="s">
        <v>36</v>
      </c>
      <c r="G5" t="s">
        <v>37</v>
      </c>
      <c r="H5">
        <v>804.06</v>
      </c>
      <c r="I5">
        <v>1</v>
      </c>
      <c r="J5">
        <v>229.28</v>
      </c>
      <c r="K5">
        <v>574.78</v>
      </c>
      <c r="L5" t="s">
        <v>29</v>
      </c>
      <c r="M5" t="s">
        <v>24</v>
      </c>
      <c r="N5">
        <v>8</v>
      </c>
      <c r="O5">
        <v>10</v>
      </c>
      <c r="P5" t="b">
        <v>0</v>
      </c>
      <c r="Q5">
        <v>1</v>
      </c>
      <c r="R5">
        <v>4</v>
      </c>
    </row>
    <row r="6" spans="1:18">
      <c r="A6" t="s">
        <v>38</v>
      </c>
      <c r="B6" t="s">
        <v>39</v>
      </c>
      <c r="C6" s="1">
        <v>44927</v>
      </c>
      <c r="D6">
        <v>40</v>
      </c>
      <c r="E6" t="s">
        <v>20</v>
      </c>
      <c r="F6" t="s">
        <v>36</v>
      </c>
      <c r="G6" t="s">
        <v>40</v>
      </c>
      <c r="H6">
        <v>755.61</v>
      </c>
      <c r="I6">
        <v>5</v>
      </c>
      <c r="J6">
        <v>0</v>
      </c>
      <c r="K6">
        <v>3778.05</v>
      </c>
      <c r="L6" t="s">
        <v>41</v>
      </c>
      <c r="M6" t="s">
        <v>42</v>
      </c>
      <c r="N6">
        <v>21</v>
      </c>
      <c r="O6">
        <v>10</v>
      </c>
      <c r="P6" t="b">
        <v>1</v>
      </c>
      <c r="Q6">
        <v>7</v>
      </c>
      <c r="R6">
        <v>4</v>
      </c>
    </row>
    <row r="7" spans="1:18">
      <c r="A7" t="s">
        <v>43</v>
      </c>
      <c r="B7" t="s">
        <v>44</v>
      </c>
      <c r="C7" s="1">
        <v>44927</v>
      </c>
      <c r="D7">
        <v>43</v>
      </c>
      <c r="E7" t="s">
        <v>20</v>
      </c>
      <c r="F7" t="s">
        <v>36</v>
      </c>
      <c r="G7" t="s">
        <v>45</v>
      </c>
      <c r="H7">
        <v>122.46</v>
      </c>
      <c r="I7">
        <v>1</v>
      </c>
      <c r="J7">
        <v>0</v>
      </c>
      <c r="K7">
        <v>122.46</v>
      </c>
      <c r="L7" t="s">
        <v>29</v>
      </c>
      <c r="M7" t="s">
        <v>24</v>
      </c>
      <c r="N7">
        <v>14</v>
      </c>
      <c r="O7">
        <v>9</v>
      </c>
      <c r="P7" t="b">
        <v>1</v>
      </c>
      <c r="Q7">
        <v>9</v>
      </c>
      <c r="R7">
        <v>5</v>
      </c>
    </row>
    <row r="8" spans="1:18">
      <c r="A8" t="s">
        <v>46</v>
      </c>
      <c r="B8" t="s">
        <v>47</v>
      </c>
      <c r="C8" s="1">
        <v>44927</v>
      </c>
      <c r="D8">
        <v>25</v>
      </c>
      <c r="E8" t="s">
        <v>20</v>
      </c>
      <c r="F8" t="s">
        <v>48</v>
      </c>
      <c r="G8" t="s">
        <v>37</v>
      </c>
      <c r="H8">
        <v>2107.37</v>
      </c>
      <c r="I8">
        <v>2</v>
      </c>
      <c r="J8">
        <v>0</v>
      </c>
      <c r="K8">
        <v>4214.74</v>
      </c>
      <c r="L8" t="s">
        <v>49</v>
      </c>
      <c r="M8" t="s">
        <v>42</v>
      </c>
      <c r="N8">
        <v>10</v>
      </c>
      <c r="O8">
        <v>5</v>
      </c>
      <c r="P8" t="b">
        <v>0</v>
      </c>
      <c r="Q8">
        <v>6</v>
      </c>
      <c r="R8">
        <v>5</v>
      </c>
    </row>
    <row r="9" spans="1:18">
      <c r="A9" t="s">
        <v>50</v>
      </c>
      <c r="B9" t="s">
        <v>51</v>
      </c>
      <c r="C9" s="1">
        <v>44927</v>
      </c>
      <c r="D9">
        <v>44</v>
      </c>
      <c r="E9" t="s">
        <v>27</v>
      </c>
      <c r="F9" t="s">
        <v>28</v>
      </c>
      <c r="G9" t="s">
        <v>33</v>
      </c>
      <c r="H9">
        <v>213.64</v>
      </c>
      <c r="I9">
        <v>2</v>
      </c>
      <c r="J9">
        <v>0</v>
      </c>
      <c r="K9">
        <v>427.28</v>
      </c>
      <c r="L9" t="s">
        <v>29</v>
      </c>
      <c r="M9" t="s">
        <v>24</v>
      </c>
      <c r="N9">
        <v>10</v>
      </c>
      <c r="O9">
        <v>16</v>
      </c>
      <c r="P9" t="b">
        <v>0</v>
      </c>
      <c r="Q9">
        <v>3</v>
      </c>
      <c r="R9">
        <v>5</v>
      </c>
    </row>
    <row r="10" spans="1:18">
      <c r="A10" t="s">
        <v>52</v>
      </c>
      <c r="B10" t="s">
        <v>53</v>
      </c>
      <c r="C10" s="1">
        <v>44928</v>
      </c>
      <c r="D10">
        <v>41</v>
      </c>
      <c r="E10" t="s">
        <v>27</v>
      </c>
      <c r="F10" t="s">
        <v>36</v>
      </c>
      <c r="G10" t="s">
        <v>54</v>
      </c>
      <c r="H10">
        <v>257.62</v>
      </c>
      <c r="I10">
        <v>5</v>
      </c>
      <c r="J10">
        <v>62.15</v>
      </c>
      <c r="K10">
        <v>1225.95</v>
      </c>
      <c r="L10" t="s">
        <v>29</v>
      </c>
      <c r="M10" t="s">
        <v>55</v>
      </c>
      <c r="N10">
        <v>24</v>
      </c>
      <c r="O10">
        <v>7</v>
      </c>
      <c r="P10" t="b">
        <v>0</v>
      </c>
      <c r="Q10">
        <v>2</v>
      </c>
      <c r="R10">
        <v>4</v>
      </c>
    </row>
    <row r="11" spans="1:18">
      <c r="A11" t="s">
        <v>56</v>
      </c>
      <c r="B11" t="s">
        <v>57</v>
      </c>
      <c r="C11" s="1">
        <v>44928</v>
      </c>
      <c r="D11">
        <v>58</v>
      </c>
      <c r="E11" t="s">
        <v>27</v>
      </c>
      <c r="F11" t="s">
        <v>36</v>
      </c>
      <c r="G11" t="s">
        <v>40</v>
      </c>
      <c r="H11">
        <v>1784.75</v>
      </c>
      <c r="I11">
        <v>4</v>
      </c>
      <c r="J11">
        <v>490.25</v>
      </c>
      <c r="K11">
        <v>6648.75</v>
      </c>
      <c r="L11" t="s">
        <v>23</v>
      </c>
      <c r="M11" t="s">
        <v>42</v>
      </c>
      <c r="N11">
        <v>8</v>
      </c>
      <c r="O11">
        <v>5</v>
      </c>
      <c r="P11" t="b">
        <v>1</v>
      </c>
      <c r="Q11">
        <v>5</v>
      </c>
      <c r="R11">
        <v>4</v>
      </c>
    </row>
    <row r="12" spans="1:18">
      <c r="A12" t="s">
        <v>58</v>
      </c>
      <c r="B12" t="s">
        <v>59</v>
      </c>
      <c r="C12" s="1">
        <v>44928</v>
      </c>
      <c r="D12">
        <v>21</v>
      </c>
      <c r="E12" t="s">
        <v>20</v>
      </c>
      <c r="F12" t="s">
        <v>36</v>
      </c>
      <c r="G12" t="s">
        <v>37</v>
      </c>
      <c r="H12">
        <v>1091.1099999999999</v>
      </c>
      <c r="I12">
        <v>1</v>
      </c>
      <c r="J12">
        <v>0</v>
      </c>
      <c r="K12">
        <v>1091.1099999999999</v>
      </c>
      <c r="L12" t="s">
        <v>41</v>
      </c>
      <c r="M12" t="s">
        <v>24</v>
      </c>
      <c r="N12">
        <v>9</v>
      </c>
      <c r="O12">
        <v>6</v>
      </c>
      <c r="P12" t="b">
        <v>1</v>
      </c>
      <c r="Q12">
        <v>3</v>
      </c>
      <c r="R12">
        <v>4</v>
      </c>
    </row>
    <row r="13" spans="1:18">
      <c r="A13" t="s">
        <v>60</v>
      </c>
      <c r="B13" t="s">
        <v>61</v>
      </c>
      <c r="C13" s="1">
        <v>44928</v>
      </c>
      <c r="D13">
        <v>40</v>
      </c>
      <c r="E13" t="s">
        <v>27</v>
      </c>
      <c r="F13" t="s">
        <v>28</v>
      </c>
      <c r="G13" t="s">
        <v>45</v>
      </c>
      <c r="H13">
        <v>77.06</v>
      </c>
      <c r="I13">
        <v>2</v>
      </c>
      <c r="J13">
        <v>15.22</v>
      </c>
      <c r="K13">
        <v>138.9</v>
      </c>
      <c r="L13" t="s">
        <v>29</v>
      </c>
      <c r="M13" t="s">
        <v>24</v>
      </c>
      <c r="N13">
        <v>5</v>
      </c>
      <c r="O13">
        <v>6</v>
      </c>
      <c r="P13" t="b">
        <v>0</v>
      </c>
      <c r="Q13">
        <v>4</v>
      </c>
      <c r="R13">
        <v>3</v>
      </c>
    </row>
    <row r="14" spans="1:18">
      <c r="A14" t="s">
        <v>62</v>
      </c>
      <c r="B14" t="s">
        <v>63</v>
      </c>
      <c r="C14" s="1">
        <v>44928</v>
      </c>
      <c r="D14">
        <v>20</v>
      </c>
      <c r="E14" t="s">
        <v>20</v>
      </c>
      <c r="F14" t="s">
        <v>21</v>
      </c>
      <c r="G14" t="s">
        <v>40</v>
      </c>
      <c r="H14">
        <v>197.88</v>
      </c>
      <c r="I14">
        <v>3</v>
      </c>
      <c r="J14">
        <v>0</v>
      </c>
      <c r="K14">
        <v>593.64</v>
      </c>
      <c r="L14" t="s">
        <v>29</v>
      </c>
      <c r="M14" t="s">
        <v>24</v>
      </c>
      <c r="N14">
        <v>9</v>
      </c>
      <c r="O14">
        <v>9</v>
      </c>
      <c r="P14" t="b">
        <v>1</v>
      </c>
      <c r="Q14">
        <v>3</v>
      </c>
      <c r="R14">
        <v>5</v>
      </c>
    </row>
    <row r="15" spans="1:18">
      <c r="A15" t="s">
        <v>64</v>
      </c>
      <c r="B15" t="s">
        <v>65</v>
      </c>
      <c r="C15" s="1">
        <v>44928</v>
      </c>
      <c r="D15">
        <v>24</v>
      </c>
      <c r="E15" t="s">
        <v>27</v>
      </c>
      <c r="F15" t="s">
        <v>66</v>
      </c>
      <c r="G15" t="s">
        <v>67</v>
      </c>
      <c r="H15">
        <v>897.02</v>
      </c>
      <c r="I15">
        <v>5</v>
      </c>
      <c r="J15">
        <v>0</v>
      </c>
      <c r="K15">
        <v>4485.1000000000004</v>
      </c>
      <c r="L15" t="s">
        <v>49</v>
      </c>
      <c r="M15" t="s">
        <v>42</v>
      </c>
      <c r="N15">
        <v>17</v>
      </c>
      <c r="O15">
        <v>7</v>
      </c>
      <c r="P15" t="b">
        <v>1</v>
      </c>
      <c r="Q15">
        <v>8</v>
      </c>
      <c r="R15">
        <v>4</v>
      </c>
    </row>
    <row r="16" spans="1:18">
      <c r="A16" t="s">
        <v>68</v>
      </c>
      <c r="B16" t="s">
        <v>69</v>
      </c>
      <c r="C16" s="1">
        <v>44928</v>
      </c>
      <c r="D16">
        <v>57</v>
      </c>
      <c r="E16" t="s">
        <v>20</v>
      </c>
      <c r="F16" t="s">
        <v>36</v>
      </c>
      <c r="G16" t="s">
        <v>70</v>
      </c>
      <c r="H16">
        <v>37.19</v>
      </c>
      <c r="I16">
        <v>4</v>
      </c>
      <c r="J16">
        <v>8.76</v>
      </c>
      <c r="K16">
        <v>140</v>
      </c>
      <c r="L16" t="s">
        <v>29</v>
      </c>
      <c r="M16" t="s">
        <v>42</v>
      </c>
      <c r="N16">
        <v>11</v>
      </c>
      <c r="O16">
        <v>8</v>
      </c>
      <c r="P16" t="b">
        <v>0</v>
      </c>
      <c r="Q16">
        <v>5</v>
      </c>
      <c r="R16">
        <v>5</v>
      </c>
    </row>
    <row r="17" spans="1:18">
      <c r="A17" t="s">
        <v>71</v>
      </c>
      <c r="B17" t="s">
        <v>72</v>
      </c>
      <c r="C17" s="1">
        <v>44928</v>
      </c>
      <c r="D17">
        <v>38</v>
      </c>
      <c r="E17" t="s">
        <v>27</v>
      </c>
      <c r="F17" t="s">
        <v>36</v>
      </c>
      <c r="G17" t="s">
        <v>33</v>
      </c>
      <c r="H17">
        <v>41.21</v>
      </c>
      <c r="I17">
        <v>1</v>
      </c>
      <c r="J17">
        <v>0</v>
      </c>
      <c r="K17">
        <v>41.21</v>
      </c>
      <c r="L17" t="s">
        <v>49</v>
      </c>
      <c r="M17" t="s">
        <v>42</v>
      </c>
      <c r="N17">
        <v>13</v>
      </c>
      <c r="O17">
        <v>7</v>
      </c>
      <c r="P17" t="b">
        <v>0</v>
      </c>
      <c r="Q17">
        <v>5</v>
      </c>
      <c r="R17">
        <v>5</v>
      </c>
    </row>
    <row r="18" spans="1:18">
      <c r="A18" t="s">
        <v>73</v>
      </c>
      <c r="B18" t="s">
        <v>74</v>
      </c>
      <c r="C18" s="1">
        <v>44928</v>
      </c>
      <c r="D18">
        <v>36</v>
      </c>
      <c r="E18" t="s">
        <v>27</v>
      </c>
      <c r="F18" t="s">
        <v>36</v>
      </c>
      <c r="G18" t="s">
        <v>70</v>
      </c>
      <c r="H18">
        <v>81.91</v>
      </c>
      <c r="I18">
        <v>1</v>
      </c>
      <c r="J18">
        <v>0</v>
      </c>
      <c r="K18">
        <v>81.91</v>
      </c>
      <c r="L18" t="s">
        <v>29</v>
      </c>
      <c r="M18" t="s">
        <v>24</v>
      </c>
      <c r="N18">
        <v>8</v>
      </c>
      <c r="O18">
        <v>14</v>
      </c>
      <c r="P18" t="b">
        <v>1</v>
      </c>
      <c r="Q18">
        <v>6</v>
      </c>
      <c r="R18">
        <v>4</v>
      </c>
    </row>
    <row r="19" spans="1:18">
      <c r="A19" t="s">
        <v>75</v>
      </c>
      <c r="B19" t="s">
        <v>76</v>
      </c>
      <c r="C19" s="1">
        <v>44928</v>
      </c>
      <c r="D19">
        <v>46</v>
      </c>
      <c r="E19" t="s">
        <v>20</v>
      </c>
      <c r="F19" t="s">
        <v>21</v>
      </c>
      <c r="G19" t="s">
        <v>40</v>
      </c>
      <c r="H19">
        <v>431.85</v>
      </c>
      <c r="I19">
        <v>1</v>
      </c>
      <c r="J19">
        <v>0</v>
      </c>
      <c r="K19">
        <v>431.85</v>
      </c>
      <c r="L19" t="s">
        <v>23</v>
      </c>
      <c r="M19" t="s">
        <v>24</v>
      </c>
      <c r="N19">
        <v>27</v>
      </c>
      <c r="O19">
        <v>11</v>
      </c>
      <c r="P19" t="b">
        <v>1</v>
      </c>
      <c r="Q19">
        <v>6</v>
      </c>
      <c r="R19">
        <v>4</v>
      </c>
    </row>
    <row r="20" spans="1:18">
      <c r="A20" t="s">
        <v>77</v>
      </c>
      <c r="B20" t="s">
        <v>78</v>
      </c>
      <c r="C20" s="1">
        <v>44929</v>
      </c>
      <c r="D20">
        <v>50</v>
      </c>
      <c r="E20" t="s">
        <v>20</v>
      </c>
      <c r="F20" t="s">
        <v>32</v>
      </c>
      <c r="G20" t="s">
        <v>40</v>
      </c>
      <c r="H20">
        <v>696.98</v>
      </c>
      <c r="I20">
        <v>1</v>
      </c>
      <c r="J20">
        <v>100.24</v>
      </c>
      <c r="K20">
        <v>596.74</v>
      </c>
      <c r="L20" t="s">
        <v>23</v>
      </c>
      <c r="M20" t="s">
        <v>42</v>
      </c>
      <c r="N20">
        <v>30</v>
      </c>
      <c r="O20">
        <v>15</v>
      </c>
      <c r="P20" t="b">
        <v>1</v>
      </c>
      <c r="Q20">
        <v>14</v>
      </c>
      <c r="R20">
        <v>5</v>
      </c>
    </row>
    <row r="21" spans="1:18">
      <c r="A21" t="s">
        <v>79</v>
      </c>
      <c r="B21" t="s">
        <v>80</v>
      </c>
      <c r="C21" s="1">
        <v>44929</v>
      </c>
      <c r="D21">
        <v>23</v>
      </c>
      <c r="E21" t="s">
        <v>27</v>
      </c>
      <c r="F21" t="s">
        <v>21</v>
      </c>
      <c r="G21" t="s">
        <v>37</v>
      </c>
      <c r="H21">
        <v>1837.61</v>
      </c>
      <c r="I21">
        <v>2</v>
      </c>
      <c r="J21">
        <v>156.33000000000001</v>
      </c>
      <c r="K21">
        <v>3518.89</v>
      </c>
      <c r="L21" t="s">
        <v>29</v>
      </c>
      <c r="M21" t="s">
        <v>42</v>
      </c>
      <c r="N21">
        <v>22</v>
      </c>
      <c r="O21">
        <v>9</v>
      </c>
      <c r="P21" t="b">
        <v>1</v>
      </c>
      <c r="Q21">
        <v>9</v>
      </c>
      <c r="R21">
        <v>4</v>
      </c>
    </row>
    <row r="22" spans="1:18">
      <c r="A22" t="s">
        <v>81</v>
      </c>
      <c r="B22" t="s">
        <v>82</v>
      </c>
      <c r="C22" s="1">
        <v>44929</v>
      </c>
      <c r="D22">
        <v>23</v>
      </c>
      <c r="E22" t="s">
        <v>20</v>
      </c>
      <c r="F22" t="s">
        <v>83</v>
      </c>
      <c r="G22" t="s">
        <v>33</v>
      </c>
      <c r="H22">
        <v>22.64</v>
      </c>
      <c r="I22">
        <v>1</v>
      </c>
      <c r="J22">
        <v>1.65</v>
      </c>
      <c r="K22">
        <v>20.99</v>
      </c>
      <c r="L22" t="s">
        <v>29</v>
      </c>
      <c r="M22" t="s">
        <v>55</v>
      </c>
      <c r="N22">
        <v>7</v>
      </c>
      <c r="O22">
        <v>11</v>
      </c>
      <c r="P22" t="b">
        <v>1</v>
      </c>
      <c r="Q22">
        <v>3</v>
      </c>
      <c r="R22">
        <v>4</v>
      </c>
    </row>
    <row r="23" spans="1:18">
      <c r="A23" t="s">
        <v>84</v>
      </c>
      <c r="B23" t="s">
        <v>85</v>
      </c>
      <c r="C23" s="1">
        <v>44929</v>
      </c>
      <c r="D23">
        <v>45</v>
      </c>
      <c r="E23" t="s">
        <v>27</v>
      </c>
      <c r="F23" t="s">
        <v>36</v>
      </c>
      <c r="G23" t="s">
        <v>37</v>
      </c>
      <c r="H23">
        <v>930.97</v>
      </c>
      <c r="I23">
        <v>1</v>
      </c>
      <c r="J23">
        <v>190.12</v>
      </c>
      <c r="K23">
        <v>740.85</v>
      </c>
      <c r="L23" t="s">
        <v>29</v>
      </c>
      <c r="M23" t="s">
        <v>42</v>
      </c>
      <c r="N23">
        <v>9</v>
      </c>
      <c r="O23">
        <v>10</v>
      </c>
      <c r="P23" t="b">
        <v>1</v>
      </c>
      <c r="Q23">
        <v>2</v>
      </c>
      <c r="R23">
        <v>4</v>
      </c>
    </row>
    <row r="24" spans="1:18">
      <c r="A24" t="s">
        <v>86</v>
      </c>
      <c r="B24" t="s">
        <v>87</v>
      </c>
      <c r="C24" s="1">
        <v>44929</v>
      </c>
      <c r="D24">
        <v>34</v>
      </c>
      <c r="E24" t="s">
        <v>27</v>
      </c>
      <c r="F24" t="s">
        <v>88</v>
      </c>
      <c r="G24" t="s">
        <v>54</v>
      </c>
      <c r="H24">
        <v>181.48</v>
      </c>
      <c r="I24">
        <v>1</v>
      </c>
      <c r="J24">
        <v>0</v>
      </c>
      <c r="K24">
        <v>181.48</v>
      </c>
      <c r="L24" t="s">
        <v>49</v>
      </c>
      <c r="M24" t="s">
        <v>24</v>
      </c>
      <c r="N24">
        <v>27</v>
      </c>
      <c r="O24">
        <v>5</v>
      </c>
      <c r="P24" t="b">
        <v>0</v>
      </c>
      <c r="Q24">
        <v>6</v>
      </c>
      <c r="R24">
        <v>4</v>
      </c>
    </row>
    <row r="25" spans="1:18">
      <c r="A25" t="s">
        <v>89</v>
      </c>
      <c r="B25" t="s">
        <v>90</v>
      </c>
      <c r="C25" s="1">
        <v>44930</v>
      </c>
      <c r="D25">
        <v>18</v>
      </c>
      <c r="E25" t="s">
        <v>20</v>
      </c>
      <c r="F25" t="s">
        <v>48</v>
      </c>
      <c r="G25" t="s">
        <v>45</v>
      </c>
      <c r="H25">
        <v>78.209999999999994</v>
      </c>
      <c r="I25">
        <v>5</v>
      </c>
      <c r="J25">
        <v>0</v>
      </c>
      <c r="K25">
        <v>391.05</v>
      </c>
      <c r="L25" t="s">
        <v>49</v>
      </c>
      <c r="M25" t="s">
        <v>24</v>
      </c>
      <c r="N25">
        <v>9</v>
      </c>
      <c r="O25">
        <v>7</v>
      </c>
      <c r="P25" t="b">
        <v>0</v>
      </c>
      <c r="Q25">
        <v>8</v>
      </c>
      <c r="R25">
        <v>4</v>
      </c>
    </row>
    <row r="26" spans="1:18">
      <c r="A26" t="s">
        <v>91</v>
      </c>
      <c r="B26" t="s">
        <v>92</v>
      </c>
      <c r="C26" s="1">
        <v>44930</v>
      </c>
      <c r="D26">
        <v>46</v>
      </c>
      <c r="E26" t="s">
        <v>27</v>
      </c>
      <c r="F26" t="s">
        <v>36</v>
      </c>
      <c r="G26" t="s">
        <v>37</v>
      </c>
      <c r="H26">
        <v>4136.9799999999996</v>
      </c>
      <c r="I26">
        <v>5</v>
      </c>
      <c r="J26">
        <v>1137.7</v>
      </c>
      <c r="K26">
        <v>19547.2</v>
      </c>
      <c r="L26" t="s">
        <v>23</v>
      </c>
      <c r="M26" t="s">
        <v>24</v>
      </c>
      <c r="N26">
        <v>20</v>
      </c>
      <c r="O26">
        <v>7</v>
      </c>
      <c r="P26" t="b">
        <v>1</v>
      </c>
      <c r="Q26">
        <v>8</v>
      </c>
      <c r="R26">
        <v>5</v>
      </c>
    </row>
    <row r="27" spans="1:18">
      <c r="A27" t="s">
        <v>93</v>
      </c>
      <c r="B27" t="s">
        <v>94</v>
      </c>
      <c r="C27" s="1">
        <v>44930</v>
      </c>
      <c r="D27">
        <v>52</v>
      </c>
      <c r="E27" t="s">
        <v>27</v>
      </c>
      <c r="F27" t="s">
        <v>32</v>
      </c>
      <c r="G27" t="s">
        <v>40</v>
      </c>
      <c r="H27">
        <v>240.87</v>
      </c>
      <c r="I27">
        <v>2</v>
      </c>
      <c r="J27">
        <v>36.979999999999997</v>
      </c>
      <c r="K27">
        <v>444.76</v>
      </c>
      <c r="L27" t="s">
        <v>23</v>
      </c>
      <c r="M27" t="s">
        <v>24</v>
      </c>
      <c r="N27">
        <v>19</v>
      </c>
      <c r="O27">
        <v>13</v>
      </c>
      <c r="P27" t="b">
        <v>0</v>
      </c>
      <c r="Q27">
        <v>8</v>
      </c>
      <c r="R27">
        <v>5</v>
      </c>
    </row>
    <row r="28" spans="1:18">
      <c r="A28" t="s">
        <v>95</v>
      </c>
      <c r="B28" t="s">
        <v>96</v>
      </c>
      <c r="C28" s="1">
        <v>44930</v>
      </c>
      <c r="D28">
        <v>29</v>
      </c>
      <c r="E28" t="s">
        <v>27</v>
      </c>
      <c r="F28" t="s">
        <v>48</v>
      </c>
      <c r="G28" t="s">
        <v>37</v>
      </c>
      <c r="H28">
        <v>443.53</v>
      </c>
      <c r="I28">
        <v>1</v>
      </c>
      <c r="J28">
        <v>0</v>
      </c>
      <c r="K28">
        <v>443.53</v>
      </c>
      <c r="L28" t="s">
        <v>23</v>
      </c>
      <c r="M28" t="s">
        <v>24</v>
      </c>
      <c r="N28">
        <v>10</v>
      </c>
      <c r="O28">
        <v>7</v>
      </c>
      <c r="P28" t="b">
        <v>0</v>
      </c>
      <c r="Q28">
        <v>4</v>
      </c>
      <c r="R28">
        <v>5</v>
      </c>
    </row>
    <row r="29" spans="1:18">
      <c r="A29" t="s">
        <v>97</v>
      </c>
      <c r="B29" t="s">
        <v>98</v>
      </c>
      <c r="C29" s="1">
        <v>44930</v>
      </c>
      <c r="D29">
        <v>60</v>
      </c>
      <c r="E29" t="s">
        <v>27</v>
      </c>
      <c r="F29" t="s">
        <v>21</v>
      </c>
      <c r="G29" t="s">
        <v>67</v>
      </c>
      <c r="H29">
        <v>912.21</v>
      </c>
      <c r="I29">
        <v>4</v>
      </c>
      <c r="J29">
        <v>63.68</v>
      </c>
      <c r="K29">
        <v>3585.16</v>
      </c>
      <c r="L29" t="s">
        <v>99</v>
      </c>
      <c r="M29" t="s">
        <v>24</v>
      </c>
      <c r="N29">
        <v>13</v>
      </c>
      <c r="O29">
        <v>10</v>
      </c>
      <c r="P29" t="b">
        <v>1</v>
      </c>
      <c r="Q29">
        <v>4</v>
      </c>
      <c r="R29">
        <v>5</v>
      </c>
    </row>
    <row r="30" spans="1:18">
      <c r="A30" t="s">
        <v>100</v>
      </c>
      <c r="B30" t="s">
        <v>101</v>
      </c>
      <c r="C30" s="1">
        <v>44930</v>
      </c>
      <c r="D30">
        <v>40</v>
      </c>
      <c r="E30" t="s">
        <v>27</v>
      </c>
      <c r="F30" t="s">
        <v>28</v>
      </c>
      <c r="G30" t="s">
        <v>67</v>
      </c>
      <c r="H30">
        <v>1375.1</v>
      </c>
      <c r="I30">
        <v>2</v>
      </c>
      <c r="J30">
        <v>0</v>
      </c>
      <c r="K30">
        <v>2750.2</v>
      </c>
      <c r="L30" t="s">
        <v>23</v>
      </c>
      <c r="M30" t="s">
        <v>24</v>
      </c>
      <c r="N30">
        <v>17</v>
      </c>
      <c r="O30">
        <v>6</v>
      </c>
      <c r="P30" t="b">
        <v>0</v>
      </c>
      <c r="Q30">
        <v>9</v>
      </c>
      <c r="R30">
        <v>5</v>
      </c>
    </row>
    <row r="31" spans="1:18">
      <c r="A31" t="s">
        <v>102</v>
      </c>
      <c r="B31" t="s">
        <v>103</v>
      </c>
      <c r="C31" s="1">
        <v>44930</v>
      </c>
      <c r="D31">
        <v>37</v>
      </c>
      <c r="E31" t="s">
        <v>20</v>
      </c>
      <c r="F31" t="s">
        <v>32</v>
      </c>
      <c r="G31" t="s">
        <v>67</v>
      </c>
      <c r="H31">
        <v>453.05</v>
      </c>
      <c r="I31">
        <v>3</v>
      </c>
      <c r="J31">
        <v>61.33</v>
      </c>
      <c r="K31">
        <v>1297.82</v>
      </c>
      <c r="L31" t="s">
        <v>49</v>
      </c>
      <c r="M31" t="s">
        <v>24</v>
      </c>
      <c r="N31">
        <v>19</v>
      </c>
      <c r="O31">
        <v>12</v>
      </c>
      <c r="P31" t="b">
        <v>1</v>
      </c>
      <c r="Q31">
        <v>3</v>
      </c>
      <c r="R31">
        <v>5</v>
      </c>
    </row>
    <row r="32" spans="1:18">
      <c r="A32" t="s">
        <v>104</v>
      </c>
      <c r="B32" t="s">
        <v>105</v>
      </c>
      <c r="C32" s="1">
        <v>44930</v>
      </c>
      <c r="D32">
        <v>18</v>
      </c>
      <c r="E32" t="s">
        <v>27</v>
      </c>
      <c r="F32" t="s">
        <v>83</v>
      </c>
      <c r="G32" t="s">
        <v>40</v>
      </c>
      <c r="H32">
        <v>288.26</v>
      </c>
      <c r="I32">
        <v>4</v>
      </c>
      <c r="J32">
        <v>0</v>
      </c>
      <c r="K32">
        <v>1153.04</v>
      </c>
      <c r="L32" t="s">
        <v>29</v>
      </c>
      <c r="M32" t="s">
        <v>42</v>
      </c>
      <c r="N32">
        <v>8</v>
      </c>
      <c r="O32">
        <v>6</v>
      </c>
      <c r="P32" t="b">
        <v>1</v>
      </c>
      <c r="Q32">
        <v>14</v>
      </c>
      <c r="R32">
        <v>2</v>
      </c>
    </row>
    <row r="33" spans="1:18">
      <c r="A33" t="s">
        <v>106</v>
      </c>
      <c r="B33" t="s">
        <v>107</v>
      </c>
      <c r="C33" s="1">
        <v>44930</v>
      </c>
      <c r="D33">
        <v>39</v>
      </c>
      <c r="E33" t="s">
        <v>20</v>
      </c>
      <c r="F33" t="s">
        <v>32</v>
      </c>
      <c r="G33" t="s">
        <v>67</v>
      </c>
      <c r="H33">
        <v>724.61</v>
      </c>
      <c r="I33">
        <v>2</v>
      </c>
      <c r="J33">
        <v>74.599999999999994</v>
      </c>
      <c r="K33">
        <v>1374.62</v>
      </c>
      <c r="L33" t="s">
        <v>29</v>
      </c>
      <c r="M33" t="s">
        <v>42</v>
      </c>
      <c r="N33">
        <v>30</v>
      </c>
      <c r="O33">
        <v>13</v>
      </c>
      <c r="P33" t="b">
        <v>0</v>
      </c>
      <c r="Q33">
        <v>17</v>
      </c>
      <c r="R33">
        <v>5</v>
      </c>
    </row>
    <row r="34" spans="1:18">
      <c r="A34" t="s">
        <v>108</v>
      </c>
      <c r="B34" t="s">
        <v>109</v>
      </c>
      <c r="C34" s="1">
        <v>44930</v>
      </c>
      <c r="D34">
        <v>20</v>
      </c>
      <c r="E34" t="s">
        <v>27</v>
      </c>
      <c r="F34" t="s">
        <v>83</v>
      </c>
      <c r="G34" t="s">
        <v>70</v>
      </c>
      <c r="H34">
        <v>37.68</v>
      </c>
      <c r="I34">
        <v>1</v>
      </c>
      <c r="J34">
        <v>0</v>
      </c>
      <c r="K34">
        <v>37.68</v>
      </c>
      <c r="L34" t="s">
        <v>29</v>
      </c>
      <c r="M34" t="s">
        <v>42</v>
      </c>
      <c r="N34">
        <v>13</v>
      </c>
      <c r="O34">
        <v>8</v>
      </c>
      <c r="P34" t="b">
        <v>1</v>
      </c>
      <c r="Q34">
        <v>3</v>
      </c>
      <c r="R34">
        <v>4</v>
      </c>
    </row>
    <row r="35" spans="1:18">
      <c r="A35" t="s">
        <v>110</v>
      </c>
      <c r="B35" t="s">
        <v>111</v>
      </c>
      <c r="C35" s="1">
        <v>44930</v>
      </c>
      <c r="D35">
        <v>25</v>
      </c>
      <c r="E35" t="s">
        <v>27</v>
      </c>
      <c r="F35" t="s">
        <v>32</v>
      </c>
      <c r="G35" t="s">
        <v>37</v>
      </c>
      <c r="H35">
        <v>1148.6400000000001</v>
      </c>
      <c r="I35">
        <v>1</v>
      </c>
      <c r="J35">
        <v>0</v>
      </c>
      <c r="K35">
        <v>1148.6400000000001</v>
      </c>
      <c r="L35" t="s">
        <v>29</v>
      </c>
      <c r="M35" t="s">
        <v>24</v>
      </c>
      <c r="N35">
        <v>20</v>
      </c>
      <c r="O35">
        <v>7</v>
      </c>
      <c r="P35" t="b">
        <v>0</v>
      </c>
      <c r="Q35">
        <v>10</v>
      </c>
      <c r="R35">
        <v>5</v>
      </c>
    </row>
    <row r="36" spans="1:18">
      <c r="A36" t="s">
        <v>112</v>
      </c>
      <c r="B36" t="s">
        <v>113</v>
      </c>
      <c r="C36" s="1">
        <v>44931</v>
      </c>
      <c r="D36">
        <v>18</v>
      </c>
      <c r="E36" t="s">
        <v>20</v>
      </c>
      <c r="F36" t="s">
        <v>83</v>
      </c>
      <c r="G36" t="s">
        <v>40</v>
      </c>
      <c r="H36">
        <v>544.6</v>
      </c>
      <c r="I36">
        <v>1</v>
      </c>
      <c r="J36">
        <v>0</v>
      </c>
      <c r="K36">
        <v>544.6</v>
      </c>
      <c r="L36" t="s">
        <v>29</v>
      </c>
      <c r="M36" t="s">
        <v>42</v>
      </c>
      <c r="N36">
        <v>9</v>
      </c>
      <c r="O36">
        <v>10</v>
      </c>
      <c r="P36" t="b">
        <v>1</v>
      </c>
      <c r="Q36">
        <v>13</v>
      </c>
      <c r="R36">
        <v>2</v>
      </c>
    </row>
    <row r="37" spans="1:18">
      <c r="A37" t="s">
        <v>114</v>
      </c>
      <c r="B37" t="s">
        <v>115</v>
      </c>
      <c r="C37" s="1">
        <v>44931</v>
      </c>
      <c r="D37">
        <v>51</v>
      </c>
      <c r="E37" t="s">
        <v>20</v>
      </c>
      <c r="F37" t="s">
        <v>36</v>
      </c>
      <c r="G37" t="s">
        <v>45</v>
      </c>
      <c r="H37">
        <v>131.04</v>
      </c>
      <c r="I37">
        <v>5</v>
      </c>
      <c r="J37">
        <v>0</v>
      </c>
      <c r="K37">
        <v>655.20000000000005</v>
      </c>
      <c r="L37" t="s">
        <v>23</v>
      </c>
      <c r="M37" t="s">
        <v>42</v>
      </c>
      <c r="N37">
        <v>27</v>
      </c>
      <c r="O37">
        <v>7</v>
      </c>
      <c r="P37" t="b">
        <v>0</v>
      </c>
      <c r="Q37">
        <v>8</v>
      </c>
      <c r="R37">
        <v>5</v>
      </c>
    </row>
    <row r="38" spans="1:18">
      <c r="A38" t="s">
        <v>116</v>
      </c>
      <c r="B38" t="s">
        <v>117</v>
      </c>
      <c r="C38" s="1">
        <v>44931</v>
      </c>
      <c r="D38">
        <v>41</v>
      </c>
      <c r="E38" t="s">
        <v>27</v>
      </c>
      <c r="F38" t="s">
        <v>36</v>
      </c>
      <c r="G38" t="s">
        <v>22</v>
      </c>
      <c r="H38">
        <v>181.88</v>
      </c>
      <c r="I38">
        <v>1</v>
      </c>
      <c r="J38">
        <v>26.42</v>
      </c>
      <c r="K38">
        <v>155.46</v>
      </c>
      <c r="L38" t="s">
        <v>99</v>
      </c>
      <c r="M38" t="s">
        <v>24</v>
      </c>
      <c r="N38">
        <v>14</v>
      </c>
      <c r="O38">
        <v>9</v>
      </c>
      <c r="P38" t="b">
        <v>1</v>
      </c>
      <c r="Q38">
        <v>9</v>
      </c>
      <c r="R38">
        <v>5</v>
      </c>
    </row>
    <row r="39" spans="1:18">
      <c r="A39" t="s">
        <v>118</v>
      </c>
      <c r="B39" t="s">
        <v>119</v>
      </c>
      <c r="C39" s="1">
        <v>44931</v>
      </c>
      <c r="D39">
        <v>46</v>
      </c>
      <c r="E39" t="s">
        <v>20</v>
      </c>
      <c r="F39" t="s">
        <v>36</v>
      </c>
      <c r="G39" t="s">
        <v>70</v>
      </c>
      <c r="H39">
        <v>46.09</v>
      </c>
      <c r="I39">
        <v>4</v>
      </c>
      <c r="J39">
        <v>0</v>
      </c>
      <c r="K39">
        <v>184.36</v>
      </c>
      <c r="L39" t="s">
        <v>23</v>
      </c>
      <c r="M39" t="s">
        <v>42</v>
      </c>
      <c r="N39">
        <v>14</v>
      </c>
      <c r="O39">
        <v>11</v>
      </c>
      <c r="P39" t="b">
        <v>1</v>
      </c>
      <c r="Q39">
        <v>17</v>
      </c>
      <c r="R39">
        <v>4</v>
      </c>
    </row>
    <row r="40" spans="1:18">
      <c r="A40" t="s">
        <v>120</v>
      </c>
      <c r="B40" t="s">
        <v>121</v>
      </c>
      <c r="C40" s="1">
        <v>44931</v>
      </c>
      <c r="D40">
        <v>43</v>
      </c>
      <c r="E40" t="s">
        <v>20</v>
      </c>
      <c r="F40" t="s">
        <v>28</v>
      </c>
      <c r="G40" t="s">
        <v>22</v>
      </c>
      <c r="H40">
        <v>280.39999999999998</v>
      </c>
      <c r="I40">
        <v>2</v>
      </c>
      <c r="J40">
        <v>0</v>
      </c>
      <c r="K40">
        <v>560.79999999999995</v>
      </c>
      <c r="L40" t="s">
        <v>49</v>
      </c>
      <c r="M40" t="s">
        <v>55</v>
      </c>
      <c r="N40">
        <v>16</v>
      </c>
      <c r="O40">
        <v>9</v>
      </c>
      <c r="P40" t="b">
        <v>1</v>
      </c>
      <c r="Q40">
        <v>3</v>
      </c>
      <c r="R40">
        <v>3</v>
      </c>
    </row>
    <row r="41" spans="1:18">
      <c r="A41" t="s">
        <v>122</v>
      </c>
      <c r="B41" t="s">
        <v>123</v>
      </c>
      <c r="C41" s="1">
        <v>44931</v>
      </c>
      <c r="D41">
        <v>18</v>
      </c>
      <c r="E41" t="s">
        <v>20</v>
      </c>
      <c r="F41" t="s">
        <v>124</v>
      </c>
      <c r="G41" t="s">
        <v>54</v>
      </c>
      <c r="H41">
        <v>746.9</v>
      </c>
      <c r="I41">
        <v>1</v>
      </c>
      <c r="J41">
        <v>0</v>
      </c>
      <c r="K41">
        <v>746.9</v>
      </c>
      <c r="L41" t="s">
        <v>29</v>
      </c>
      <c r="M41" t="s">
        <v>24</v>
      </c>
      <c r="N41">
        <v>13</v>
      </c>
      <c r="O41">
        <v>6</v>
      </c>
      <c r="P41" t="b">
        <v>1</v>
      </c>
      <c r="Q41">
        <v>8</v>
      </c>
      <c r="R41">
        <v>5</v>
      </c>
    </row>
    <row r="42" spans="1:18">
      <c r="A42" t="s">
        <v>125</v>
      </c>
      <c r="B42" t="s">
        <v>126</v>
      </c>
      <c r="C42" s="1">
        <v>44931</v>
      </c>
      <c r="D42">
        <v>51</v>
      </c>
      <c r="E42" t="s">
        <v>27</v>
      </c>
      <c r="F42" t="s">
        <v>83</v>
      </c>
      <c r="G42" t="s">
        <v>54</v>
      </c>
      <c r="H42">
        <v>129.16</v>
      </c>
      <c r="I42">
        <v>1</v>
      </c>
      <c r="J42">
        <v>14.33</v>
      </c>
      <c r="K42">
        <v>114.83</v>
      </c>
      <c r="L42" t="s">
        <v>29</v>
      </c>
      <c r="M42" t="s">
        <v>42</v>
      </c>
      <c r="N42">
        <v>2</v>
      </c>
      <c r="O42">
        <v>8</v>
      </c>
      <c r="P42" t="b">
        <v>1</v>
      </c>
      <c r="Q42">
        <v>6</v>
      </c>
      <c r="R42">
        <v>5</v>
      </c>
    </row>
    <row r="43" spans="1:18">
      <c r="A43" t="s">
        <v>127</v>
      </c>
      <c r="B43" t="s">
        <v>128</v>
      </c>
      <c r="C43" s="1">
        <v>44931</v>
      </c>
      <c r="D43">
        <v>40</v>
      </c>
      <c r="E43" t="s">
        <v>129</v>
      </c>
      <c r="F43" t="s">
        <v>83</v>
      </c>
      <c r="G43" t="s">
        <v>70</v>
      </c>
      <c r="H43">
        <v>21.87</v>
      </c>
      <c r="I43">
        <v>2</v>
      </c>
      <c r="J43">
        <v>0</v>
      </c>
      <c r="K43">
        <v>43.74</v>
      </c>
      <c r="L43" t="s">
        <v>29</v>
      </c>
      <c r="M43" t="s">
        <v>24</v>
      </c>
      <c r="N43">
        <v>16</v>
      </c>
      <c r="O43">
        <v>4</v>
      </c>
      <c r="P43" t="b">
        <v>0</v>
      </c>
      <c r="Q43">
        <v>8</v>
      </c>
      <c r="R43">
        <v>4</v>
      </c>
    </row>
    <row r="44" spans="1:18">
      <c r="A44" t="s">
        <v>130</v>
      </c>
      <c r="B44" t="s">
        <v>131</v>
      </c>
      <c r="C44" s="1">
        <v>44931</v>
      </c>
      <c r="D44">
        <v>22</v>
      </c>
      <c r="E44" t="s">
        <v>20</v>
      </c>
      <c r="F44" t="s">
        <v>28</v>
      </c>
      <c r="G44" t="s">
        <v>70</v>
      </c>
      <c r="H44">
        <v>77.599999999999994</v>
      </c>
      <c r="I44">
        <v>1</v>
      </c>
      <c r="J44">
        <v>10.69</v>
      </c>
      <c r="K44">
        <v>66.91</v>
      </c>
      <c r="L44" t="s">
        <v>41</v>
      </c>
      <c r="M44" t="s">
        <v>24</v>
      </c>
      <c r="N44">
        <v>9</v>
      </c>
      <c r="O44">
        <v>10</v>
      </c>
      <c r="P44" t="b">
        <v>1</v>
      </c>
      <c r="Q44">
        <v>1</v>
      </c>
      <c r="R44">
        <v>4</v>
      </c>
    </row>
    <row r="45" spans="1:18">
      <c r="A45" t="s">
        <v>132</v>
      </c>
      <c r="B45" t="s">
        <v>133</v>
      </c>
      <c r="C45" s="1">
        <v>44931</v>
      </c>
      <c r="D45">
        <v>20</v>
      </c>
      <c r="E45" t="s">
        <v>20</v>
      </c>
      <c r="F45" t="s">
        <v>32</v>
      </c>
      <c r="G45" t="s">
        <v>37</v>
      </c>
      <c r="H45">
        <v>1624.97</v>
      </c>
      <c r="I45">
        <v>1</v>
      </c>
      <c r="J45">
        <v>0</v>
      </c>
      <c r="K45">
        <v>1624.97</v>
      </c>
      <c r="L45" t="s">
        <v>29</v>
      </c>
      <c r="M45" t="s">
        <v>42</v>
      </c>
      <c r="N45">
        <v>12</v>
      </c>
      <c r="O45">
        <v>7</v>
      </c>
      <c r="P45" t="b">
        <v>0</v>
      </c>
      <c r="Q45">
        <v>5</v>
      </c>
      <c r="R45">
        <v>4</v>
      </c>
    </row>
    <row r="46" spans="1:18">
      <c r="A46" t="s">
        <v>134</v>
      </c>
      <c r="B46" t="s">
        <v>135</v>
      </c>
      <c r="C46" s="1">
        <v>44931</v>
      </c>
      <c r="D46">
        <v>32</v>
      </c>
      <c r="E46" t="s">
        <v>20</v>
      </c>
      <c r="F46" t="s">
        <v>28</v>
      </c>
      <c r="G46" t="s">
        <v>45</v>
      </c>
      <c r="H46">
        <v>101.55</v>
      </c>
      <c r="I46">
        <v>2</v>
      </c>
      <c r="J46">
        <v>0</v>
      </c>
      <c r="K46">
        <v>203.1</v>
      </c>
      <c r="L46" t="s">
        <v>23</v>
      </c>
      <c r="M46" t="s">
        <v>24</v>
      </c>
      <c r="N46">
        <v>3</v>
      </c>
      <c r="O46">
        <v>6</v>
      </c>
      <c r="P46" t="b">
        <v>1</v>
      </c>
      <c r="Q46">
        <v>6</v>
      </c>
      <c r="R46">
        <v>3</v>
      </c>
    </row>
    <row r="47" spans="1:18">
      <c r="A47" t="s">
        <v>136</v>
      </c>
      <c r="B47" t="s">
        <v>137</v>
      </c>
      <c r="C47" s="1">
        <v>44931</v>
      </c>
      <c r="D47">
        <v>44</v>
      </c>
      <c r="E47" t="s">
        <v>20</v>
      </c>
      <c r="F47" t="s">
        <v>36</v>
      </c>
      <c r="G47" t="s">
        <v>67</v>
      </c>
      <c r="H47">
        <v>530.65</v>
      </c>
      <c r="I47">
        <v>1</v>
      </c>
      <c r="J47">
        <v>0</v>
      </c>
      <c r="K47">
        <v>530.65</v>
      </c>
      <c r="L47" t="s">
        <v>29</v>
      </c>
      <c r="M47" t="s">
        <v>24</v>
      </c>
      <c r="N47">
        <v>25</v>
      </c>
      <c r="O47">
        <v>7</v>
      </c>
      <c r="P47" t="b">
        <v>1</v>
      </c>
      <c r="Q47">
        <v>11</v>
      </c>
      <c r="R47">
        <v>4</v>
      </c>
    </row>
    <row r="48" spans="1:18">
      <c r="A48" t="s">
        <v>138</v>
      </c>
      <c r="B48" t="s">
        <v>139</v>
      </c>
      <c r="C48" s="1">
        <v>44931</v>
      </c>
      <c r="D48">
        <v>41</v>
      </c>
      <c r="E48" t="s">
        <v>20</v>
      </c>
      <c r="F48" t="s">
        <v>21</v>
      </c>
      <c r="G48" t="s">
        <v>67</v>
      </c>
      <c r="H48">
        <v>182.14</v>
      </c>
      <c r="I48">
        <v>1</v>
      </c>
      <c r="J48">
        <v>32.659999999999997</v>
      </c>
      <c r="K48">
        <v>149.47999999999999</v>
      </c>
      <c r="L48" t="s">
        <v>23</v>
      </c>
      <c r="M48" t="s">
        <v>42</v>
      </c>
      <c r="N48">
        <v>12</v>
      </c>
      <c r="O48">
        <v>4</v>
      </c>
      <c r="P48" t="b">
        <v>0</v>
      </c>
      <c r="Q48">
        <v>2</v>
      </c>
      <c r="R48">
        <v>5</v>
      </c>
    </row>
    <row r="49" spans="1:18">
      <c r="A49" t="s">
        <v>140</v>
      </c>
      <c r="B49" t="s">
        <v>141</v>
      </c>
      <c r="C49" s="1">
        <v>44931</v>
      </c>
      <c r="D49">
        <v>32</v>
      </c>
      <c r="E49" t="s">
        <v>20</v>
      </c>
      <c r="F49" t="s">
        <v>36</v>
      </c>
      <c r="G49" t="s">
        <v>67</v>
      </c>
      <c r="H49">
        <v>153.87</v>
      </c>
      <c r="I49">
        <v>4</v>
      </c>
      <c r="J49">
        <v>0</v>
      </c>
      <c r="K49">
        <v>615.48</v>
      </c>
      <c r="L49" t="s">
        <v>29</v>
      </c>
      <c r="M49" t="s">
        <v>42</v>
      </c>
      <c r="N49">
        <v>7</v>
      </c>
      <c r="O49">
        <v>11</v>
      </c>
      <c r="P49" t="b">
        <v>1</v>
      </c>
      <c r="Q49">
        <v>8</v>
      </c>
      <c r="R49">
        <v>4</v>
      </c>
    </row>
    <row r="50" spans="1:18">
      <c r="A50" t="s">
        <v>142</v>
      </c>
      <c r="B50" t="s">
        <v>143</v>
      </c>
      <c r="C50" s="1">
        <v>44931</v>
      </c>
      <c r="D50">
        <v>24</v>
      </c>
      <c r="E50" t="s">
        <v>27</v>
      </c>
      <c r="F50" t="s">
        <v>66</v>
      </c>
      <c r="G50" t="s">
        <v>33</v>
      </c>
      <c r="H50">
        <v>103.15</v>
      </c>
      <c r="I50">
        <v>4</v>
      </c>
      <c r="J50">
        <v>0</v>
      </c>
      <c r="K50">
        <v>412.6</v>
      </c>
      <c r="L50" t="s">
        <v>49</v>
      </c>
      <c r="M50" t="s">
        <v>24</v>
      </c>
      <c r="N50">
        <v>13</v>
      </c>
      <c r="O50">
        <v>13</v>
      </c>
      <c r="P50" t="b">
        <v>1</v>
      </c>
      <c r="Q50">
        <v>8</v>
      </c>
      <c r="R50">
        <v>5</v>
      </c>
    </row>
    <row r="51" spans="1:18">
      <c r="A51" t="s">
        <v>144</v>
      </c>
      <c r="B51" t="s">
        <v>145</v>
      </c>
      <c r="C51" s="1">
        <v>44932</v>
      </c>
      <c r="D51">
        <v>24</v>
      </c>
      <c r="E51" t="s">
        <v>20</v>
      </c>
      <c r="F51" t="s">
        <v>36</v>
      </c>
      <c r="G51" t="s">
        <v>37</v>
      </c>
      <c r="H51">
        <v>164.61</v>
      </c>
      <c r="I51">
        <v>1</v>
      </c>
      <c r="J51">
        <v>28.42</v>
      </c>
      <c r="K51">
        <v>136.19</v>
      </c>
      <c r="L51" t="s">
        <v>29</v>
      </c>
      <c r="M51" t="s">
        <v>24</v>
      </c>
      <c r="N51">
        <v>15</v>
      </c>
      <c r="O51">
        <v>12</v>
      </c>
      <c r="P51" t="b">
        <v>1</v>
      </c>
      <c r="Q51">
        <v>7</v>
      </c>
      <c r="R51">
        <v>4</v>
      </c>
    </row>
    <row r="52" spans="1:18">
      <c r="A52" t="s">
        <v>146</v>
      </c>
      <c r="B52" t="s">
        <v>147</v>
      </c>
      <c r="C52" s="1">
        <v>44932</v>
      </c>
      <c r="D52">
        <v>53</v>
      </c>
      <c r="E52" t="s">
        <v>27</v>
      </c>
      <c r="F52" t="s">
        <v>48</v>
      </c>
      <c r="G52" t="s">
        <v>40</v>
      </c>
      <c r="H52">
        <v>326.33</v>
      </c>
      <c r="I52">
        <v>1</v>
      </c>
      <c r="J52">
        <v>0</v>
      </c>
      <c r="K52">
        <v>326.33</v>
      </c>
      <c r="L52" t="s">
        <v>99</v>
      </c>
      <c r="M52" t="s">
        <v>24</v>
      </c>
      <c r="N52">
        <v>20</v>
      </c>
      <c r="O52">
        <v>7</v>
      </c>
      <c r="P52" t="b">
        <v>0</v>
      </c>
      <c r="Q52">
        <v>3</v>
      </c>
      <c r="R52">
        <v>4</v>
      </c>
    </row>
    <row r="53" spans="1:18">
      <c r="A53" t="s">
        <v>148</v>
      </c>
      <c r="B53" t="s">
        <v>149</v>
      </c>
      <c r="C53" s="1">
        <v>44932</v>
      </c>
      <c r="D53">
        <v>39</v>
      </c>
      <c r="E53" t="s">
        <v>20</v>
      </c>
      <c r="F53" t="s">
        <v>36</v>
      </c>
      <c r="G53" t="s">
        <v>70</v>
      </c>
      <c r="H53">
        <v>44.85</v>
      </c>
      <c r="I53">
        <v>1</v>
      </c>
      <c r="J53">
        <v>0</v>
      </c>
      <c r="K53">
        <v>44.85</v>
      </c>
      <c r="L53" t="s">
        <v>29</v>
      </c>
      <c r="M53" t="s">
        <v>24</v>
      </c>
      <c r="N53">
        <v>20</v>
      </c>
      <c r="O53">
        <v>12</v>
      </c>
      <c r="P53" t="b">
        <v>1</v>
      </c>
      <c r="Q53">
        <v>3</v>
      </c>
      <c r="R53">
        <v>5</v>
      </c>
    </row>
    <row r="54" spans="1:18">
      <c r="A54" t="s">
        <v>150</v>
      </c>
      <c r="B54" t="s">
        <v>151</v>
      </c>
      <c r="C54" s="1">
        <v>44932</v>
      </c>
      <c r="D54">
        <v>38</v>
      </c>
      <c r="E54" t="s">
        <v>27</v>
      </c>
      <c r="F54" t="s">
        <v>32</v>
      </c>
      <c r="G54" t="s">
        <v>45</v>
      </c>
      <c r="H54">
        <v>51.32</v>
      </c>
      <c r="I54">
        <v>1</v>
      </c>
      <c r="J54">
        <v>0</v>
      </c>
      <c r="K54">
        <v>51.32</v>
      </c>
      <c r="L54" t="s">
        <v>29</v>
      </c>
      <c r="M54" t="s">
        <v>55</v>
      </c>
      <c r="N54">
        <v>7</v>
      </c>
      <c r="O54">
        <v>9</v>
      </c>
      <c r="P54" t="b">
        <v>1</v>
      </c>
      <c r="Q54">
        <v>9</v>
      </c>
      <c r="R54">
        <v>5</v>
      </c>
    </row>
    <row r="55" spans="1:18">
      <c r="A55" t="s">
        <v>152</v>
      </c>
      <c r="B55" t="s">
        <v>153</v>
      </c>
      <c r="C55" s="1">
        <v>44932</v>
      </c>
      <c r="D55">
        <v>60</v>
      </c>
      <c r="E55" t="s">
        <v>20</v>
      </c>
      <c r="F55" t="s">
        <v>124</v>
      </c>
      <c r="G55" t="s">
        <v>67</v>
      </c>
      <c r="H55">
        <v>533.72</v>
      </c>
      <c r="I55">
        <v>5</v>
      </c>
      <c r="J55">
        <v>0</v>
      </c>
      <c r="K55">
        <v>2668.6</v>
      </c>
      <c r="L55" t="s">
        <v>29</v>
      </c>
      <c r="M55" t="s">
        <v>42</v>
      </c>
      <c r="N55">
        <v>7</v>
      </c>
      <c r="O55">
        <v>14</v>
      </c>
      <c r="P55" t="b">
        <v>0</v>
      </c>
      <c r="Q55">
        <v>4</v>
      </c>
      <c r="R55">
        <v>4</v>
      </c>
    </row>
    <row r="56" spans="1:18">
      <c r="A56" t="s">
        <v>154</v>
      </c>
      <c r="B56" t="s">
        <v>155</v>
      </c>
      <c r="C56" s="1">
        <v>44933</v>
      </c>
      <c r="D56">
        <v>40</v>
      </c>
      <c r="E56" t="s">
        <v>20</v>
      </c>
      <c r="F56" t="s">
        <v>48</v>
      </c>
      <c r="G56" t="s">
        <v>54</v>
      </c>
      <c r="H56">
        <v>216.82</v>
      </c>
      <c r="I56">
        <v>2</v>
      </c>
      <c r="J56">
        <v>0</v>
      </c>
      <c r="K56">
        <v>433.64</v>
      </c>
      <c r="L56" t="s">
        <v>23</v>
      </c>
      <c r="M56" t="s">
        <v>24</v>
      </c>
      <c r="N56">
        <v>30</v>
      </c>
      <c r="O56">
        <v>10</v>
      </c>
      <c r="P56" t="b">
        <v>1</v>
      </c>
      <c r="Q56">
        <v>3</v>
      </c>
      <c r="R56">
        <v>3</v>
      </c>
    </row>
    <row r="57" spans="1:18">
      <c r="A57" t="s">
        <v>156</v>
      </c>
      <c r="B57" t="s">
        <v>157</v>
      </c>
      <c r="C57" s="1">
        <v>44933</v>
      </c>
      <c r="D57">
        <v>37</v>
      </c>
      <c r="E57" t="s">
        <v>27</v>
      </c>
      <c r="F57" t="s">
        <v>124</v>
      </c>
      <c r="G57" t="s">
        <v>40</v>
      </c>
      <c r="H57">
        <v>117.12</v>
      </c>
      <c r="I57">
        <v>2</v>
      </c>
      <c r="J57">
        <v>31.05</v>
      </c>
      <c r="K57">
        <v>203.19</v>
      </c>
      <c r="L57" t="s">
        <v>41</v>
      </c>
      <c r="M57" t="s">
        <v>24</v>
      </c>
      <c r="N57">
        <v>14</v>
      </c>
      <c r="O57">
        <v>11</v>
      </c>
      <c r="P57" t="b">
        <v>1</v>
      </c>
      <c r="Q57">
        <v>7</v>
      </c>
      <c r="R57">
        <v>4</v>
      </c>
    </row>
    <row r="58" spans="1:18">
      <c r="A58" t="s">
        <v>158</v>
      </c>
      <c r="B58" t="s">
        <v>159</v>
      </c>
      <c r="C58" s="1">
        <v>44933</v>
      </c>
      <c r="D58">
        <v>41</v>
      </c>
      <c r="E58" t="s">
        <v>27</v>
      </c>
      <c r="F58" t="s">
        <v>48</v>
      </c>
      <c r="G58" t="s">
        <v>67</v>
      </c>
      <c r="H58">
        <v>1016.3</v>
      </c>
      <c r="I58">
        <v>2</v>
      </c>
      <c r="J58">
        <v>0</v>
      </c>
      <c r="K58">
        <v>2032.6</v>
      </c>
      <c r="L58" t="s">
        <v>29</v>
      </c>
      <c r="M58" t="s">
        <v>24</v>
      </c>
      <c r="N58">
        <v>22</v>
      </c>
      <c r="O58">
        <v>10</v>
      </c>
      <c r="P58" t="b">
        <v>1</v>
      </c>
      <c r="Q58">
        <v>6</v>
      </c>
      <c r="R58">
        <v>3</v>
      </c>
    </row>
    <row r="59" spans="1:18">
      <c r="A59" t="s">
        <v>160</v>
      </c>
      <c r="B59" t="s">
        <v>161</v>
      </c>
      <c r="C59" s="1">
        <v>44933</v>
      </c>
      <c r="D59">
        <v>36</v>
      </c>
      <c r="E59" t="s">
        <v>27</v>
      </c>
      <c r="F59" t="s">
        <v>36</v>
      </c>
      <c r="G59" t="s">
        <v>70</v>
      </c>
      <c r="H59">
        <v>109.93</v>
      </c>
      <c r="I59">
        <v>1</v>
      </c>
      <c r="J59">
        <v>0</v>
      </c>
      <c r="K59">
        <v>109.93</v>
      </c>
      <c r="L59" t="s">
        <v>99</v>
      </c>
      <c r="M59" t="s">
        <v>24</v>
      </c>
      <c r="N59">
        <v>48</v>
      </c>
      <c r="O59">
        <v>10</v>
      </c>
      <c r="P59" t="b">
        <v>1</v>
      </c>
      <c r="Q59">
        <v>6</v>
      </c>
      <c r="R59">
        <v>5</v>
      </c>
    </row>
    <row r="60" spans="1:18">
      <c r="A60" t="s">
        <v>162</v>
      </c>
      <c r="B60" t="s">
        <v>163</v>
      </c>
      <c r="C60" s="1">
        <v>44933</v>
      </c>
      <c r="D60">
        <v>43</v>
      </c>
      <c r="E60" t="s">
        <v>20</v>
      </c>
      <c r="F60" t="s">
        <v>36</v>
      </c>
      <c r="G60" t="s">
        <v>67</v>
      </c>
      <c r="H60">
        <v>1228.33</v>
      </c>
      <c r="I60">
        <v>2</v>
      </c>
      <c r="J60">
        <v>0</v>
      </c>
      <c r="K60">
        <v>2456.66</v>
      </c>
      <c r="L60" t="s">
        <v>99</v>
      </c>
      <c r="M60" t="s">
        <v>42</v>
      </c>
      <c r="N60">
        <v>6</v>
      </c>
      <c r="O60">
        <v>8</v>
      </c>
      <c r="P60" t="b">
        <v>1</v>
      </c>
      <c r="Q60">
        <v>11</v>
      </c>
      <c r="R60">
        <v>1</v>
      </c>
    </row>
    <row r="61" spans="1:18">
      <c r="A61" t="s">
        <v>164</v>
      </c>
      <c r="B61" t="s">
        <v>165</v>
      </c>
      <c r="C61" s="1">
        <v>44933</v>
      </c>
      <c r="D61">
        <v>60</v>
      </c>
      <c r="E61" t="s">
        <v>20</v>
      </c>
      <c r="F61" t="s">
        <v>32</v>
      </c>
      <c r="G61" t="s">
        <v>37</v>
      </c>
      <c r="H61">
        <v>674.39</v>
      </c>
      <c r="I61">
        <v>2</v>
      </c>
      <c r="J61">
        <v>100.41</v>
      </c>
      <c r="K61">
        <v>1248.3699999999999</v>
      </c>
      <c r="L61" t="s">
        <v>49</v>
      </c>
      <c r="M61" t="s">
        <v>24</v>
      </c>
      <c r="N61">
        <v>12</v>
      </c>
      <c r="O61">
        <v>10</v>
      </c>
      <c r="P61" t="b">
        <v>0</v>
      </c>
      <c r="Q61">
        <v>11</v>
      </c>
      <c r="R61">
        <v>3</v>
      </c>
    </row>
    <row r="62" spans="1:18">
      <c r="A62" t="s">
        <v>166</v>
      </c>
      <c r="B62" t="s">
        <v>167</v>
      </c>
      <c r="C62" s="1">
        <v>44933</v>
      </c>
      <c r="D62">
        <v>37</v>
      </c>
      <c r="E62" t="s">
        <v>20</v>
      </c>
      <c r="F62" t="s">
        <v>36</v>
      </c>
      <c r="G62" t="s">
        <v>40</v>
      </c>
      <c r="H62">
        <v>118.37</v>
      </c>
      <c r="I62">
        <v>2</v>
      </c>
      <c r="J62">
        <v>0</v>
      </c>
      <c r="K62">
        <v>236.74</v>
      </c>
      <c r="L62" t="s">
        <v>29</v>
      </c>
      <c r="M62" t="s">
        <v>24</v>
      </c>
      <c r="N62">
        <v>12</v>
      </c>
      <c r="O62">
        <v>9</v>
      </c>
      <c r="P62" t="b">
        <v>1</v>
      </c>
      <c r="Q62">
        <v>2</v>
      </c>
      <c r="R62">
        <v>2</v>
      </c>
    </row>
    <row r="63" spans="1:18">
      <c r="A63" t="s">
        <v>168</v>
      </c>
      <c r="B63" t="s">
        <v>169</v>
      </c>
      <c r="C63" s="1">
        <v>44934</v>
      </c>
      <c r="D63">
        <v>39</v>
      </c>
      <c r="E63" t="s">
        <v>20</v>
      </c>
      <c r="F63" t="s">
        <v>124</v>
      </c>
      <c r="G63" t="s">
        <v>33</v>
      </c>
      <c r="H63">
        <v>145.58000000000001</v>
      </c>
      <c r="I63">
        <v>1</v>
      </c>
      <c r="J63">
        <v>25.45</v>
      </c>
      <c r="K63">
        <v>120.13</v>
      </c>
      <c r="L63" t="s">
        <v>23</v>
      </c>
      <c r="M63" t="s">
        <v>42</v>
      </c>
      <c r="N63">
        <v>14</v>
      </c>
      <c r="O63">
        <v>9</v>
      </c>
      <c r="P63" t="b">
        <v>0</v>
      </c>
      <c r="Q63">
        <v>3</v>
      </c>
      <c r="R63">
        <v>4</v>
      </c>
    </row>
    <row r="64" spans="1:18">
      <c r="A64" t="s">
        <v>170</v>
      </c>
      <c r="B64" t="s">
        <v>171</v>
      </c>
      <c r="C64" s="1">
        <v>44934</v>
      </c>
      <c r="D64">
        <v>18</v>
      </c>
      <c r="E64" t="s">
        <v>20</v>
      </c>
      <c r="F64" t="s">
        <v>48</v>
      </c>
      <c r="G64" t="s">
        <v>54</v>
      </c>
      <c r="H64">
        <v>53.25</v>
      </c>
      <c r="I64">
        <v>1</v>
      </c>
      <c r="J64">
        <v>2.71</v>
      </c>
      <c r="K64">
        <v>50.54</v>
      </c>
      <c r="L64" t="s">
        <v>29</v>
      </c>
      <c r="M64" t="s">
        <v>24</v>
      </c>
      <c r="N64">
        <v>16</v>
      </c>
      <c r="O64">
        <v>14</v>
      </c>
      <c r="P64" t="b">
        <v>1</v>
      </c>
      <c r="Q64">
        <v>11</v>
      </c>
      <c r="R64">
        <v>5</v>
      </c>
    </row>
    <row r="65" spans="1:18">
      <c r="A65" t="s">
        <v>172</v>
      </c>
      <c r="B65" t="s">
        <v>173</v>
      </c>
      <c r="C65" s="1">
        <v>44934</v>
      </c>
      <c r="D65">
        <v>23</v>
      </c>
      <c r="E65" t="s">
        <v>20</v>
      </c>
      <c r="F65" t="s">
        <v>32</v>
      </c>
      <c r="G65" t="s">
        <v>45</v>
      </c>
      <c r="H65">
        <v>74.510000000000005</v>
      </c>
      <c r="I65">
        <v>3</v>
      </c>
      <c r="J65">
        <v>0</v>
      </c>
      <c r="K65">
        <v>223.53</v>
      </c>
      <c r="L65" t="s">
        <v>41</v>
      </c>
      <c r="M65" t="s">
        <v>42</v>
      </c>
      <c r="N65">
        <v>25</v>
      </c>
      <c r="O65">
        <v>14</v>
      </c>
      <c r="P65" t="b">
        <v>1</v>
      </c>
      <c r="Q65">
        <v>5</v>
      </c>
      <c r="R65">
        <v>4</v>
      </c>
    </row>
    <row r="66" spans="1:18">
      <c r="A66" t="s">
        <v>174</v>
      </c>
      <c r="B66" t="s">
        <v>175</v>
      </c>
      <c r="C66" s="1">
        <v>44934</v>
      </c>
      <c r="D66">
        <v>38</v>
      </c>
      <c r="E66" t="s">
        <v>20</v>
      </c>
      <c r="F66" t="s">
        <v>66</v>
      </c>
      <c r="G66" t="s">
        <v>40</v>
      </c>
      <c r="H66">
        <v>536.13</v>
      </c>
      <c r="I66">
        <v>1</v>
      </c>
      <c r="J66">
        <v>0</v>
      </c>
      <c r="K66">
        <v>536.13</v>
      </c>
      <c r="L66" t="s">
        <v>29</v>
      </c>
      <c r="M66" t="s">
        <v>42</v>
      </c>
      <c r="N66">
        <v>12</v>
      </c>
      <c r="O66">
        <v>9</v>
      </c>
      <c r="P66" t="b">
        <v>0</v>
      </c>
      <c r="Q66">
        <v>5</v>
      </c>
      <c r="R66">
        <v>4</v>
      </c>
    </row>
    <row r="67" spans="1:18">
      <c r="A67" t="s">
        <v>176</v>
      </c>
      <c r="B67" t="s">
        <v>177</v>
      </c>
      <c r="C67" s="1">
        <v>44934</v>
      </c>
      <c r="D67">
        <v>43</v>
      </c>
      <c r="E67" t="s">
        <v>20</v>
      </c>
      <c r="F67" t="s">
        <v>178</v>
      </c>
      <c r="G67" t="s">
        <v>37</v>
      </c>
      <c r="H67">
        <v>484.14</v>
      </c>
      <c r="I67">
        <v>2</v>
      </c>
      <c r="J67">
        <v>0</v>
      </c>
      <c r="K67">
        <v>968.28</v>
      </c>
      <c r="L67" t="s">
        <v>23</v>
      </c>
      <c r="M67" t="s">
        <v>24</v>
      </c>
      <c r="N67">
        <v>14</v>
      </c>
      <c r="O67">
        <v>4</v>
      </c>
      <c r="P67" t="b">
        <v>0</v>
      </c>
      <c r="Q67">
        <v>3</v>
      </c>
      <c r="R67">
        <v>5</v>
      </c>
    </row>
    <row r="68" spans="1:18">
      <c r="A68" t="s">
        <v>179</v>
      </c>
      <c r="B68" t="s">
        <v>180</v>
      </c>
      <c r="C68" s="1">
        <v>44934</v>
      </c>
      <c r="D68">
        <v>35</v>
      </c>
      <c r="E68" t="s">
        <v>27</v>
      </c>
      <c r="F68" t="s">
        <v>36</v>
      </c>
      <c r="G68" t="s">
        <v>22</v>
      </c>
      <c r="H68">
        <v>154.13999999999999</v>
      </c>
      <c r="I68">
        <v>2</v>
      </c>
      <c r="J68">
        <v>0</v>
      </c>
      <c r="K68">
        <v>308.27999999999997</v>
      </c>
      <c r="L68" t="s">
        <v>23</v>
      </c>
      <c r="M68" t="s">
        <v>55</v>
      </c>
      <c r="N68">
        <v>12</v>
      </c>
      <c r="O68">
        <v>12</v>
      </c>
      <c r="P68" t="b">
        <v>0</v>
      </c>
      <c r="Q68">
        <v>10</v>
      </c>
      <c r="R68">
        <v>3</v>
      </c>
    </row>
    <row r="69" spans="1:18">
      <c r="A69" t="s">
        <v>181</v>
      </c>
      <c r="B69" t="s">
        <v>182</v>
      </c>
      <c r="C69" s="1">
        <v>44934</v>
      </c>
      <c r="D69">
        <v>38</v>
      </c>
      <c r="E69" t="s">
        <v>20</v>
      </c>
      <c r="F69" t="s">
        <v>32</v>
      </c>
      <c r="G69" t="s">
        <v>45</v>
      </c>
      <c r="H69">
        <v>94.59</v>
      </c>
      <c r="I69">
        <v>3</v>
      </c>
      <c r="J69">
        <v>0</v>
      </c>
      <c r="K69">
        <v>283.77</v>
      </c>
      <c r="L69" t="s">
        <v>41</v>
      </c>
      <c r="M69" t="s">
        <v>24</v>
      </c>
      <c r="N69">
        <v>24</v>
      </c>
      <c r="O69">
        <v>13</v>
      </c>
      <c r="P69" t="b">
        <v>1</v>
      </c>
      <c r="Q69">
        <v>2</v>
      </c>
      <c r="R69">
        <v>4</v>
      </c>
    </row>
    <row r="70" spans="1:18">
      <c r="A70" t="s">
        <v>183</v>
      </c>
      <c r="B70" t="s">
        <v>184</v>
      </c>
      <c r="C70" s="1">
        <v>44934</v>
      </c>
      <c r="D70">
        <v>33</v>
      </c>
      <c r="E70" t="s">
        <v>27</v>
      </c>
      <c r="F70" t="s">
        <v>32</v>
      </c>
      <c r="G70" t="s">
        <v>70</v>
      </c>
      <c r="H70">
        <v>71.42</v>
      </c>
      <c r="I70">
        <v>3</v>
      </c>
      <c r="J70">
        <v>0</v>
      </c>
      <c r="K70">
        <v>214.26</v>
      </c>
      <c r="L70" t="s">
        <v>41</v>
      </c>
      <c r="M70" t="s">
        <v>55</v>
      </c>
      <c r="N70">
        <v>8</v>
      </c>
      <c r="O70">
        <v>11</v>
      </c>
      <c r="P70" t="b">
        <v>1</v>
      </c>
      <c r="Q70">
        <v>3</v>
      </c>
      <c r="R70">
        <v>5</v>
      </c>
    </row>
    <row r="71" spans="1:18">
      <c r="A71" t="s">
        <v>185</v>
      </c>
      <c r="B71" t="s">
        <v>186</v>
      </c>
      <c r="C71" s="1">
        <v>44934</v>
      </c>
      <c r="D71">
        <v>31</v>
      </c>
      <c r="E71" t="s">
        <v>27</v>
      </c>
      <c r="F71" t="s">
        <v>36</v>
      </c>
      <c r="G71" t="s">
        <v>67</v>
      </c>
      <c r="H71">
        <v>246.03</v>
      </c>
      <c r="I71">
        <v>4</v>
      </c>
      <c r="J71">
        <v>0</v>
      </c>
      <c r="K71">
        <v>984.12</v>
      </c>
      <c r="L71" t="s">
        <v>99</v>
      </c>
      <c r="M71" t="s">
        <v>42</v>
      </c>
      <c r="N71">
        <v>13</v>
      </c>
      <c r="O71">
        <v>9</v>
      </c>
      <c r="P71" t="b">
        <v>0</v>
      </c>
      <c r="Q71">
        <v>11</v>
      </c>
      <c r="R71">
        <v>4</v>
      </c>
    </row>
    <row r="72" spans="1:18">
      <c r="A72" t="s">
        <v>187</v>
      </c>
      <c r="B72" t="s">
        <v>188</v>
      </c>
      <c r="C72" s="1">
        <v>44935</v>
      </c>
      <c r="D72">
        <v>26</v>
      </c>
      <c r="E72" t="s">
        <v>27</v>
      </c>
      <c r="F72" t="s">
        <v>36</v>
      </c>
      <c r="G72" t="s">
        <v>45</v>
      </c>
      <c r="H72">
        <v>41.21</v>
      </c>
      <c r="I72">
        <v>1</v>
      </c>
      <c r="J72">
        <v>0</v>
      </c>
      <c r="K72">
        <v>41.21</v>
      </c>
      <c r="L72" t="s">
        <v>29</v>
      </c>
      <c r="M72" t="s">
        <v>42</v>
      </c>
      <c r="N72">
        <v>5</v>
      </c>
      <c r="O72">
        <v>10</v>
      </c>
      <c r="P72" t="b">
        <v>1</v>
      </c>
      <c r="Q72">
        <v>4</v>
      </c>
      <c r="R72">
        <v>3</v>
      </c>
    </row>
    <row r="73" spans="1:18">
      <c r="A73" t="s">
        <v>189</v>
      </c>
      <c r="B73" t="s">
        <v>190</v>
      </c>
      <c r="C73" s="1">
        <v>44935</v>
      </c>
      <c r="D73">
        <v>38</v>
      </c>
      <c r="E73" t="s">
        <v>27</v>
      </c>
      <c r="F73" t="s">
        <v>36</v>
      </c>
      <c r="G73" t="s">
        <v>40</v>
      </c>
      <c r="H73">
        <v>371.2</v>
      </c>
      <c r="I73">
        <v>5</v>
      </c>
      <c r="J73">
        <v>0</v>
      </c>
      <c r="K73">
        <v>1856</v>
      </c>
      <c r="L73" t="s">
        <v>49</v>
      </c>
      <c r="M73" t="s">
        <v>24</v>
      </c>
      <c r="N73">
        <v>18</v>
      </c>
      <c r="O73">
        <v>8</v>
      </c>
      <c r="P73" t="b">
        <v>1</v>
      </c>
      <c r="Q73">
        <v>4</v>
      </c>
      <c r="R73">
        <v>5</v>
      </c>
    </row>
    <row r="74" spans="1:18">
      <c r="A74" t="s">
        <v>191</v>
      </c>
      <c r="B74" t="s">
        <v>192</v>
      </c>
      <c r="C74" s="1">
        <v>44935</v>
      </c>
      <c r="D74">
        <v>23</v>
      </c>
      <c r="E74" t="s">
        <v>20</v>
      </c>
      <c r="F74" t="s">
        <v>28</v>
      </c>
      <c r="G74" t="s">
        <v>40</v>
      </c>
      <c r="H74">
        <v>402.95</v>
      </c>
      <c r="I74">
        <v>3</v>
      </c>
      <c r="J74">
        <v>0</v>
      </c>
      <c r="K74">
        <v>1208.8499999999999</v>
      </c>
      <c r="L74" t="s">
        <v>29</v>
      </c>
      <c r="M74" t="s">
        <v>24</v>
      </c>
      <c r="N74">
        <v>14</v>
      </c>
      <c r="O74">
        <v>9</v>
      </c>
      <c r="P74" t="b">
        <v>1</v>
      </c>
      <c r="Q74">
        <v>4</v>
      </c>
      <c r="R74">
        <v>4</v>
      </c>
    </row>
    <row r="75" spans="1:18">
      <c r="A75" t="s">
        <v>193</v>
      </c>
      <c r="B75" t="s">
        <v>194</v>
      </c>
      <c r="C75" s="1">
        <v>44935</v>
      </c>
      <c r="D75">
        <v>29</v>
      </c>
      <c r="E75" t="s">
        <v>20</v>
      </c>
      <c r="F75" t="s">
        <v>124</v>
      </c>
      <c r="G75" t="s">
        <v>54</v>
      </c>
      <c r="H75">
        <v>370.25</v>
      </c>
      <c r="I75">
        <v>1</v>
      </c>
      <c r="J75">
        <v>0</v>
      </c>
      <c r="K75">
        <v>370.25</v>
      </c>
      <c r="L75" t="s">
        <v>49</v>
      </c>
      <c r="M75" t="s">
        <v>24</v>
      </c>
      <c r="N75">
        <v>18</v>
      </c>
      <c r="O75">
        <v>9</v>
      </c>
      <c r="P75" t="b">
        <v>1</v>
      </c>
      <c r="Q75">
        <v>8</v>
      </c>
      <c r="R75">
        <v>5</v>
      </c>
    </row>
    <row r="76" spans="1:18">
      <c r="A76" t="s">
        <v>195</v>
      </c>
      <c r="B76" t="s">
        <v>196</v>
      </c>
      <c r="C76" s="1">
        <v>44935</v>
      </c>
      <c r="D76">
        <v>30</v>
      </c>
      <c r="E76" t="s">
        <v>27</v>
      </c>
      <c r="F76" t="s">
        <v>36</v>
      </c>
      <c r="G76" t="s">
        <v>54</v>
      </c>
      <c r="H76">
        <v>165.99</v>
      </c>
      <c r="I76">
        <v>2</v>
      </c>
      <c r="J76">
        <v>21.55</v>
      </c>
      <c r="K76">
        <v>310.43</v>
      </c>
      <c r="L76" t="s">
        <v>99</v>
      </c>
      <c r="M76" t="s">
        <v>24</v>
      </c>
      <c r="N76">
        <v>5</v>
      </c>
      <c r="O76">
        <v>12</v>
      </c>
      <c r="P76" t="b">
        <v>0</v>
      </c>
      <c r="Q76">
        <v>6</v>
      </c>
      <c r="R76">
        <v>3</v>
      </c>
    </row>
    <row r="77" spans="1:18">
      <c r="A77" t="s">
        <v>197</v>
      </c>
      <c r="B77" t="s">
        <v>198</v>
      </c>
      <c r="C77" s="1">
        <v>44935</v>
      </c>
      <c r="D77">
        <v>23</v>
      </c>
      <c r="E77" t="s">
        <v>27</v>
      </c>
      <c r="F77" t="s">
        <v>88</v>
      </c>
      <c r="G77" t="s">
        <v>33</v>
      </c>
      <c r="H77">
        <v>23.55</v>
      </c>
      <c r="I77">
        <v>2</v>
      </c>
      <c r="J77">
        <v>2.11</v>
      </c>
      <c r="K77">
        <v>44.99</v>
      </c>
      <c r="L77" t="s">
        <v>29</v>
      </c>
      <c r="M77" t="s">
        <v>24</v>
      </c>
      <c r="N77">
        <v>27</v>
      </c>
      <c r="O77">
        <v>8</v>
      </c>
      <c r="P77" t="b">
        <v>0</v>
      </c>
      <c r="Q77">
        <v>3</v>
      </c>
      <c r="R77">
        <v>3</v>
      </c>
    </row>
    <row r="78" spans="1:18">
      <c r="A78" t="s">
        <v>199</v>
      </c>
      <c r="B78" t="s">
        <v>200</v>
      </c>
      <c r="C78" s="1">
        <v>44935</v>
      </c>
      <c r="D78">
        <v>31</v>
      </c>
      <c r="E78" t="s">
        <v>20</v>
      </c>
      <c r="F78" t="s">
        <v>83</v>
      </c>
      <c r="G78" t="s">
        <v>45</v>
      </c>
      <c r="H78">
        <v>105.69</v>
      </c>
      <c r="I78">
        <v>1</v>
      </c>
      <c r="J78">
        <v>14</v>
      </c>
      <c r="K78">
        <v>91.69</v>
      </c>
      <c r="L78" t="s">
        <v>99</v>
      </c>
      <c r="M78" t="s">
        <v>42</v>
      </c>
      <c r="N78">
        <v>7</v>
      </c>
      <c r="O78">
        <v>7</v>
      </c>
      <c r="P78" t="b">
        <v>1</v>
      </c>
      <c r="Q78">
        <v>8</v>
      </c>
      <c r="R78">
        <v>4</v>
      </c>
    </row>
    <row r="79" spans="1:18">
      <c r="A79" t="s">
        <v>201</v>
      </c>
      <c r="B79" t="s">
        <v>202</v>
      </c>
      <c r="C79" s="1">
        <v>44935</v>
      </c>
      <c r="D79">
        <v>52</v>
      </c>
      <c r="E79" t="s">
        <v>27</v>
      </c>
      <c r="F79" t="s">
        <v>36</v>
      </c>
      <c r="G79" t="s">
        <v>37</v>
      </c>
      <c r="H79">
        <v>476.38</v>
      </c>
      <c r="I79">
        <v>1</v>
      </c>
      <c r="J79">
        <v>68.97</v>
      </c>
      <c r="K79">
        <v>407.41</v>
      </c>
      <c r="L79" t="s">
        <v>49</v>
      </c>
      <c r="M79" t="s">
        <v>42</v>
      </c>
      <c r="N79">
        <v>6</v>
      </c>
      <c r="O79">
        <v>11</v>
      </c>
      <c r="P79" t="b">
        <v>0</v>
      </c>
      <c r="Q79">
        <v>2</v>
      </c>
      <c r="R79">
        <v>5</v>
      </c>
    </row>
    <row r="80" spans="1:18">
      <c r="A80" t="s">
        <v>203</v>
      </c>
      <c r="B80" t="s">
        <v>204</v>
      </c>
      <c r="C80" s="1">
        <v>44935</v>
      </c>
      <c r="D80">
        <v>40</v>
      </c>
      <c r="E80" t="s">
        <v>20</v>
      </c>
      <c r="F80" t="s">
        <v>21</v>
      </c>
      <c r="G80" t="s">
        <v>40</v>
      </c>
      <c r="H80">
        <v>476.23</v>
      </c>
      <c r="I80">
        <v>3</v>
      </c>
      <c r="J80">
        <v>0</v>
      </c>
      <c r="K80">
        <v>1428.69</v>
      </c>
      <c r="L80" t="s">
        <v>29</v>
      </c>
      <c r="M80" t="s">
        <v>42</v>
      </c>
      <c r="N80">
        <v>33</v>
      </c>
      <c r="O80">
        <v>10</v>
      </c>
      <c r="P80" t="b">
        <v>0</v>
      </c>
      <c r="Q80">
        <v>6</v>
      </c>
      <c r="R80">
        <v>5</v>
      </c>
    </row>
    <row r="81" spans="1:18">
      <c r="A81" t="s">
        <v>205</v>
      </c>
      <c r="B81" t="s">
        <v>206</v>
      </c>
      <c r="C81" s="1">
        <v>44935</v>
      </c>
      <c r="D81">
        <v>40</v>
      </c>
      <c r="E81" t="s">
        <v>20</v>
      </c>
      <c r="F81" t="s">
        <v>36</v>
      </c>
      <c r="G81" t="s">
        <v>40</v>
      </c>
      <c r="H81">
        <v>450.42</v>
      </c>
      <c r="I81">
        <v>2</v>
      </c>
      <c r="J81">
        <v>0</v>
      </c>
      <c r="K81">
        <v>900.84</v>
      </c>
      <c r="L81" t="s">
        <v>49</v>
      </c>
      <c r="M81" t="s">
        <v>24</v>
      </c>
      <c r="N81">
        <v>24</v>
      </c>
      <c r="O81">
        <v>9</v>
      </c>
      <c r="P81" t="b">
        <v>0</v>
      </c>
      <c r="Q81">
        <v>4</v>
      </c>
      <c r="R81">
        <v>5</v>
      </c>
    </row>
    <row r="82" spans="1:18">
      <c r="A82" t="s">
        <v>207</v>
      </c>
      <c r="B82" t="s">
        <v>208</v>
      </c>
      <c r="C82" s="1">
        <v>44935</v>
      </c>
      <c r="D82">
        <v>33</v>
      </c>
      <c r="E82" t="s">
        <v>27</v>
      </c>
      <c r="F82" t="s">
        <v>36</v>
      </c>
      <c r="G82" t="s">
        <v>33</v>
      </c>
      <c r="H82">
        <v>32.92</v>
      </c>
      <c r="I82">
        <v>1</v>
      </c>
      <c r="J82">
        <v>0</v>
      </c>
      <c r="K82">
        <v>32.92</v>
      </c>
      <c r="L82" t="s">
        <v>29</v>
      </c>
      <c r="M82" t="s">
        <v>55</v>
      </c>
      <c r="N82">
        <v>2</v>
      </c>
      <c r="O82">
        <v>10</v>
      </c>
      <c r="P82" t="b">
        <v>0</v>
      </c>
      <c r="Q82">
        <v>9</v>
      </c>
      <c r="R82">
        <v>5</v>
      </c>
    </row>
    <row r="83" spans="1:18">
      <c r="A83" t="s">
        <v>209</v>
      </c>
      <c r="B83" t="s">
        <v>210</v>
      </c>
      <c r="C83" s="1">
        <v>44935</v>
      </c>
      <c r="D83">
        <v>33</v>
      </c>
      <c r="E83" t="s">
        <v>27</v>
      </c>
      <c r="F83" t="s">
        <v>32</v>
      </c>
      <c r="G83" t="s">
        <v>22</v>
      </c>
      <c r="H83">
        <v>131.77000000000001</v>
      </c>
      <c r="I83">
        <v>2</v>
      </c>
      <c r="J83">
        <v>26.14</v>
      </c>
      <c r="K83">
        <v>237.4</v>
      </c>
      <c r="L83" t="s">
        <v>29</v>
      </c>
      <c r="M83" t="s">
        <v>24</v>
      </c>
      <c r="N83">
        <v>13</v>
      </c>
      <c r="O83">
        <v>10</v>
      </c>
      <c r="P83" t="b">
        <v>1</v>
      </c>
      <c r="Q83">
        <v>1</v>
      </c>
      <c r="R83">
        <v>5</v>
      </c>
    </row>
    <row r="84" spans="1:18">
      <c r="A84" t="s">
        <v>211</v>
      </c>
      <c r="B84" t="s">
        <v>212</v>
      </c>
      <c r="C84" s="1">
        <v>44935</v>
      </c>
      <c r="D84">
        <v>31</v>
      </c>
      <c r="E84" t="s">
        <v>27</v>
      </c>
      <c r="F84" t="s">
        <v>48</v>
      </c>
      <c r="G84" t="s">
        <v>40</v>
      </c>
      <c r="H84">
        <v>105.36</v>
      </c>
      <c r="I84">
        <v>5</v>
      </c>
      <c r="J84">
        <v>0</v>
      </c>
      <c r="K84">
        <v>526.79999999999995</v>
      </c>
      <c r="L84" t="s">
        <v>23</v>
      </c>
      <c r="M84" t="s">
        <v>24</v>
      </c>
      <c r="N84">
        <v>19</v>
      </c>
      <c r="O84">
        <v>12</v>
      </c>
      <c r="P84" t="b">
        <v>1</v>
      </c>
      <c r="Q84">
        <v>4</v>
      </c>
      <c r="R84">
        <v>2</v>
      </c>
    </row>
    <row r="85" spans="1:18">
      <c r="A85" t="s">
        <v>213</v>
      </c>
      <c r="B85" t="s">
        <v>214</v>
      </c>
      <c r="C85" s="1">
        <v>44936</v>
      </c>
      <c r="D85">
        <v>18</v>
      </c>
      <c r="E85" t="s">
        <v>20</v>
      </c>
      <c r="F85" t="s">
        <v>66</v>
      </c>
      <c r="G85" t="s">
        <v>37</v>
      </c>
      <c r="H85">
        <v>1652.27</v>
      </c>
      <c r="I85">
        <v>1</v>
      </c>
      <c r="J85">
        <v>317.69</v>
      </c>
      <c r="K85">
        <v>1334.58</v>
      </c>
      <c r="L85" t="s">
        <v>49</v>
      </c>
      <c r="M85" t="s">
        <v>42</v>
      </c>
      <c r="N85">
        <v>15</v>
      </c>
      <c r="O85">
        <v>5</v>
      </c>
      <c r="P85" t="b">
        <v>1</v>
      </c>
      <c r="Q85">
        <v>11</v>
      </c>
      <c r="R85">
        <v>4</v>
      </c>
    </row>
    <row r="86" spans="1:18">
      <c r="A86" t="s">
        <v>215</v>
      </c>
      <c r="B86" t="s">
        <v>216</v>
      </c>
      <c r="C86" s="1">
        <v>44936</v>
      </c>
      <c r="D86">
        <v>35</v>
      </c>
      <c r="E86" t="s">
        <v>27</v>
      </c>
      <c r="F86" t="s">
        <v>28</v>
      </c>
      <c r="G86" t="s">
        <v>33</v>
      </c>
      <c r="H86">
        <v>78.19</v>
      </c>
      <c r="I86">
        <v>1</v>
      </c>
      <c r="J86">
        <v>0</v>
      </c>
      <c r="K86">
        <v>78.19</v>
      </c>
      <c r="L86" t="s">
        <v>49</v>
      </c>
      <c r="M86" t="s">
        <v>24</v>
      </c>
      <c r="N86">
        <v>12</v>
      </c>
      <c r="O86">
        <v>12</v>
      </c>
      <c r="P86" t="b">
        <v>1</v>
      </c>
      <c r="Q86">
        <v>3</v>
      </c>
      <c r="R86">
        <v>5</v>
      </c>
    </row>
    <row r="87" spans="1:18">
      <c r="A87" t="s">
        <v>217</v>
      </c>
      <c r="B87" t="s">
        <v>218</v>
      </c>
      <c r="C87" s="1">
        <v>44936</v>
      </c>
      <c r="D87">
        <v>40</v>
      </c>
      <c r="E87" t="s">
        <v>20</v>
      </c>
      <c r="F87" t="s">
        <v>32</v>
      </c>
      <c r="G87" t="s">
        <v>22</v>
      </c>
      <c r="H87">
        <v>103.02</v>
      </c>
      <c r="I87">
        <v>1</v>
      </c>
      <c r="J87">
        <v>0</v>
      </c>
      <c r="K87">
        <v>103.02</v>
      </c>
      <c r="L87" t="s">
        <v>23</v>
      </c>
      <c r="M87" t="s">
        <v>24</v>
      </c>
      <c r="N87">
        <v>29</v>
      </c>
      <c r="O87">
        <v>5</v>
      </c>
      <c r="P87" t="b">
        <v>1</v>
      </c>
      <c r="Q87">
        <v>7</v>
      </c>
      <c r="R87">
        <v>5</v>
      </c>
    </row>
    <row r="88" spans="1:18">
      <c r="A88" t="s">
        <v>219</v>
      </c>
      <c r="B88" t="s">
        <v>220</v>
      </c>
      <c r="C88" s="1">
        <v>44936</v>
      </c>
      <c r="D88">
        <v>35</v>
      </c>
      <c r="E88" t="s">
        <v>129</v>
      </c>
      <c r="F88" t="s">
        <v>48</v>
      </c>
      <c r="G88" t="s">
        <v>40</v>
      </c>
      <c r="H88">
        <v>480.97</v>
      </c>
      <c r="I88">
        <v>1</v>
      </c>
      <c r="J88">
        <v>0</v>
      </c>
      <c r="K88">
        <v>480.97</v>
      </c>
      <c r="L88" t="s">
        <v>49</v>
      </c>
      <c r="M88" t="s">
        <v>42</v>
      </c>
      <c r="N88">
        <v>16</v>
      </c>
      <c r="O88">
        <v>5</v>
      </c>
      <c r="P88" t="b">
        <v>1</v>
      </c>
      <c r="Q88">
        <v>5</v>
      </c>
      <c r="R88">
        <v>4</v>
      </c>
    </row>
    <row r="89" spans="1:18">
      <c r="A89" t="s">
        <v>221</v>
      </c>
      <c r="B89" t="s">
        <v>222</v>
      </c>
      <c r="C89" s="1">
        <v>44936</v>
      </c>
      <c r="D89">
        <v>24</v>
      </c>
      <c r="E89" t="s">
        <v>27</v>
      </c>
      <c r="F89" t="s">
        <v>178</v>
      </c>
      <c r="G89" t="s">
        <v>40</v>
      </c>
      <c r="H89">
        <v>428.98</v>
      </c>
      <c r="I89">
        <v>1</v>
      </c>
      <c r="J89">
        <v>0</v>
      </c>
      <c r="K89">
        <v>428.98</v>
      </c>
      <c r="L89" t="s">
        <v>29</v>
      </c>
      <c r="M89" t="s">
        <v>24</v>
      </c>
      <c r="N89">
        <v>20</v>
      </c>
      <c r="O89">
        <v>6</v>
      </c>
      <c r="P89" t="b">
        <v>0</v>
      </c>
      <c r="Q89">
        <v>4</v>
      </c>
      <c r="R89">
        <v>3</v>
      </c>
    </row>
    <row r="90" spans="1:18">
      <c r="A90" t="s">
        <v>223</v>
      </c>
      <c r="B90" t="s">
        <v>224</v>
      </c>
      <c r="C90" s="1">
        <v>44936</v>
      </c>
      <c r="D90">
        <v>37</v>
      </c>
      <c r="E90" t="s">
        <v>20</v>
      </c>
      <c r="F90" t="s">
        <v>36</v>
      </c>
      <c r="G90" t="s">
        <v>33</v>
      </c>
      <c r="H90">
        <v>86.39</v>
      </c>
      <c r="I90">
        <v>3</v>
      </c>
      <c r="J90">
        <v>6.36</v>
      </c>
      <c r="K90">
        <v>252.81</v>
      </c>
      <c r="L90" t="s">
        <v>29</v>
      </c>
      <c r="M90" t="s">
        <v>24</v>
      </c>
      <c r="N90">
        <v>24</v>
      </c>
      <c r="O90">
        <v>10</v>
      </c>
      <c r="P90" t="b">
        <v>1</v>
      </c>
      <c r="Q90">
        <v>8</v>
      </c>
      <c r="R90">
        <v>5</v>
      </c>
    </row>
    <row r="91" spans="1:18">
      <c r="A91" t="s">
        <v>225</v>
      </c>
      <c r="B91" t="s">
        <v>226</v>
      </c>
      <c r="C91" s="1">
        <v>44937</v>
      </c>
      <c r="D91">
        <v>46</v>
      </c>
      <c r="E91" t="s">
        <v>27</v>
      </c>
      <c r="F91" t="s">
        <v>83</v>
      </c>
      <c r="G91" t="s">
        <v>45</v>
      </c>
      <c r="H91">
        <v>54.43</v>
      </c>
      <c r="I91">
        <v>3</v>
      </c>
      <c r="J91">
        <v>5.89</v>
      </c>
      <c r="K91">
        <v>157.4</v>
      </c>
      <c r="L91" t="s">
        <v>29</v>
      </c>
      <c r="M91" t="s">
        <v>55</v>
      </c>
      <c r="N91">
        <v>7</v>
      </c>
      <c r="O91">
        <v>6</v>
      </c>
      <c r="P91" t="b">
        <v>1</v>
      </c>
      <c r="Q91">
        <v>3</v>
      </c>
      <c r="R91">
        <v>3</v>
      </c>
    </row>
    <row r="92" spans="1:18">
      <c r="A92" t="s">
        <v>227</v>
      </c>
      <c r="B92" t="s">
        <v>228</v>
      </c>
      <c r="C92" s="1">
        <v>44937</v>
      </c>
      <c r="D92">
        <v>46</v>
      </c>
      <c r="E92" t="s">
        <v>27</v>
      </c>
      <c r="F92" t="s">
        <v>83</v>
      </c>
      <c r="G92" t="s">
        <v>22</v>
      </c>
      <c r="H92">
        <v>275.70999999999998</v>
      </c>
      <c r="I92">
        <v>1</v>
      </c>
      <c r="J92">
        <v>64.61</v>
      </c>
      <c r="K92">
        <v>211.1</v>
      </c>
      <c r="L92" t="s">
        <v>29</v>
      </c>
      <c r="M92" t="s">
        <v>42</v>
      </c>
      <c r="N92">
        <v>16</v>
      </c>
      <c r="O92">
        <v>11</v>
      </c>
      <c r="P92" t="b">
        <v>1</v>
      </c>
      <c r="Q92">
        <v>7</v>
      </c>
      <c r="R92">
        <v>4</v>
      </c>
    </row>
    <row r="93" spans="1:18">
      <c r="A93" t="s">
        <v>229</v>
      </c>
      <c r="B93" t="s">
        <v>230</v>
      </c>
      <c r="C93" s="1">
        <v>44937</v>
      </c>
      <c r="D93">
        <v>32</v>
      </c>
      <c r="E93" t="s">
        <v>20</v>
      </c>
      <c r="F93" t="s">
        <v>28</v>
      </c>
      <c r="G93" t="s">
        <v>70</v>
      </c>
      <c r="H93">
        <v>53.31</v>
      </c>
      <c r="I93">
        <v>1</v>
      </c>
      <c r="J93">
        <v>9.0399999999999991</v>
      </c>
      <c r="K93">
        <v>44.27</v>
      </c>
      <c r="L93" t="s">
        <v>23</v>
      </c>
      <c r="M93" t="s">
        <v>42</v>
      </c>
      <c r="N93">
        <v>13</v>
      </c>
      <c r="O93">
        <v>8</v>
      </c>
      <c r="P93" t="b">
        <v>1</v>
      </c>
      <c r="Q93">
        <v>7</v>
      </c>
      <c r="R93">
        <v>5</v>
      </c>
    </row>
    <row r="94" spans="1:18">
      <c r="A94" t="s">
        <v>231</v>
      </c>
      <c r="B94" t="s">
        <v>232</v>
      </c>
      <c r="C94" s="1">
        <v>44937</v>
      </c>
      <c r="D94">
        <v>46</v>
      </c>
      <c r="E94" t="s">
        <v>20</v>
      </c>
      <c r="F94" t="s">
        <v>32</v>
      </c>
      <c r="G94" t="s">
        <v>45</v>
      </c>
      <c r="H94">
        <v>97.74</v>
      </c>
      <c r="I94">
        <v>1</v>
      </c>
      <c r="J94">
        <v>0</v>
      </c>
      <c r="K94">
        <v>97.74</v>
      </c>
      <c r="L94" t="s">
        <v>29</v>
      </c>
      <c r="M94" t="s">
        <v>42</v>
      </c>
      <c r="N94">
        <v>20</v>
      </c>
      <c r="O94">
        <v>7</v>
      </c>
      <c r="P94" t="b">
        <v>1</v>
      </c>
      <c r="Q94">
        <v>8</v>
      </c>
      <c r="R94">
        <v>5</v>
      </c>
    </row>
    <row r="95" spans="1:18">
      <c r="A95" t="s">
        <v>233</v>
      </c>
      <c r="B95" t="s">
        <v>234</v>
      </c>
      <c r="C95" s="1">
        <v>44937</v>
      </c>
      <c r="D95">
        <v>35</v>
      </c>
      <c r="E95" t="s">
        <v>27</v>
      </c>
      <c r="F95" t="s">
        <v>36</v>
      </c>
      <c r="G95" t="s">
        <v>40</v>
      </c>
      <c r="H95">
        <v>1148.1099999999999</v>
      </c>
      <c r="I95">
        <v>1</v>
      </c>
      <c r="J95">
        <v>0</v>
      </c>
      <c r="K95">
        <v>1148.1099999999999</v>
      </c>
      <c r="L95" t="s">
        <v>49</v>
      </c>
      <c r="M95" t="s">
        <v>24</v>
      </c>
      <c r="N95">
        <v>26</v>
      </c>
      <c r="O95">
        <v>9</v>
      </c>
      <c r="P95" t="b">
        <v>0</v>
      </c>
      <c r="Q95">
        <v>12</v>
      </c>
      <c r="R95">
        <v>5</v>
      </c>
    </row>
    <row r="96" spans="1:18">
      <c r="A96" t="s">
        <v>235</v>
      </c>
      <c r="B96" t="s">
        <v>236</v>
      </c>
      <c r="C96" s="1">
        <v>44937</v>
      </c>
      <c r="D96">
        <v>44</v>
      </c>
      <c r="E96" t="s">
        <v>20</v>
      </c>
      <c r="F96" t="s">
        <v>36</v>
      </c>
      <c r="G96" t="s">
        <v>22</v>
      </c>
      <c r="H96">
        <v>160.44999999999999</v>
      </c>
      <c r="I96">
        <v>3</v>
      </c>
      <c r="J96">
        <v>12.05</v>
      </c>
      <c r="K96">
        <v>469.3</v>
      </c>
      <c r="L96" t="s">
        <v>49</v>
      </c>
      <c r="M96" t="s">
        <v>24</v>
      </c>
      <c r="N96">
        <v>10</v>
      </c>
      <c r="O96">
        <v>6</v>
      </c>
      <c r="P96" t="b">
        <v>1</v>
      </c>
      <c r="Q96">
        <v>4</v>
      </c>
      <c r="R96">
        <v>4</v>
      </c>
    </row>
    <row r="97" spans="1:18">
      <c r="A97" t="s">
        <v>237</v>
      </c>
      <c r="B97" t="s">
        <v>238</v>
      </c>
      <c r="C97" s="1">
        <v>44937</v>
      </c>
      <c r="D97">
        <v>39</v>
      </c>
      <c r="E97" t="s">
        <v>27</v>
      </c>
      <c r="F97" t="s">
        <v>36</v>
      </c>
      <c r="G97" t="s">
        <v>45</v>
      </c>
      <c r="H97">
        <v>41.11</v>
      </c>
      <c r="I97">
        <v>1</v>
      </c>
      <c r="J97">
        <v>0</v>
      </c>
      <c r="K97">
        <v>41.11</v>
      </c>
      <c r="L97" t="s">
        <v>29</v>
      </c>
      <c r="M97" t="s">
        <v>42</v>
      </c>
      <c r="N97">
        <v>15</v>
      </c>
      <c r="O97">
        <v>12</v>
      </c>
      <c r="P97" t="b">
        <v>1</v>
      </c>
      <c r="Q97">
        <v>15</v>
      </c>
      <c r="R97">
        <v>4</v>
      </c>
    </row>
    <row r="98" spans="1:18">
      <c r="A98" t="s">
        <v>239</v>
      </c>
      <c r="B98" t="s">
        <v>240</v>
      </c>
      <c r="C98" s="1">
        <v>44938</v>
      </c>
      <c r="D98">
        <v>42</v>
      </c>
      <c r="E98" t="s">
        <v>20</v>
      </c>
      <c r="F98" t="s">
        <v>21</v>
      </c>
      <c r="G98" t="s">
        <v>22</v>
      </c>
      <c r="H98">
        <v>185.71</v>
      </c>
      <c r="I98">
        <v>4</v>
      </c>
      <c r="J98">
        <v>54.51</v>
      </c>
      <c r="K98">
        <v>688.33</v>
      </c>
      <c r="L98" t="s">
        <v>49</v>
      </c>
      <c r="M98" t="s">
        <v>24</v>
      </c>
      <c r="N98">
        <v>17</v>
      </c>
      <c r="O98">
        <v>9</v>
      </c>
      <c r="P98" t="b">
        <v>0</v>
      </c>
      <c r="Q98">
        <v>3</v>
      </c>
      <c r="R98">
        <v>5</v>
      </c>
    </row>
    <row r="99" spans="1:18">
      <c r="A99" t="s">
        <v>241</v>
      </c>
      <c r="B99" t="s">
        <v>242</v>
      </c>
      <c r="C99" s="1">
        <v>44938</v>
      </c>
      <c r="D99">
        <v>47</v>
      </c>
      <c r="E99" t="s">
        <v>20</v>
      </c>
      <c r="F99" t="s">
        <v>178</v>
      </c>
      <c r="G99" t="s">
        <v>22</v>
      </c>
      <c r="H99">
        <v>434.12</v>
      </c>
      <c r="I99">
        <v>1</v>
      </c>
      <c r="J99">
        <v>0</v>
      </c>
      <c r="K99">
        <v>434.12</v>
      </c>
      <c r="L99" t="s">
        <v>29</v>
      </c>
      <c r="M99" t="s">
        <v>42</v>
      </c>
      <c r="N99">
        <v>26</v>
      </c>
      <c r="O99">
        <v>11</v>
      </c>
      <c r="P99" t="b">
        <v>0</v>
      </c>
      <c r="Q99">
        <v>9</v>
      </c>
      <c r="R99">
        <v>4</v>
      </c>
    </row>
    <row r="100" spans="1:18">
      <c r="A100" t="s">
        <v>243</v>
      </c>
      <c r="B100" t="s">
        <v>244</v>
      </c>
      <c r="C100" s="1">
        <v>44938</v>
      </c>
      <c r="D100">
        <v>32</v>
      </c>
      <c r="E100" t="s">
        <v>27</v>
      </c>
      <c r="F100" t="s">
        <v>88</v>
      </c>
      <c r="G100" t="s">
        <v>37</v>
      </c>
      <c r="H100">
        <v>1860.25</v>
      </c>
      <c r="I100">
        <v>1</v>
      </c>
      <c r="J100">
        <v>119.5</v>
      </c>
      <c r="K100">
        <v>1740.75</v>
      </c>
      <c r="L100" t="s">
        <v>29</v>
      </c>
      <c r="M100" t="s">
        <v>24</v>
      </c>
      <c r="N100">
        <v>22</v>
      </c>
      <c r="O100">
        <v>7</v>
      </c>
      <c r="P100" t="b">
        <v>0</v>
      </c>
      <c r="Q100">
        <v>6</v>
      </c>
      <c r="R100">
        <v>4</v>
      </c>
    </row>
    <row r="101" spans="1:18">
      <c r="A101" t="s">
        <v>245</v>
      </c>
      <c r="B101" t="s">
        <v>246</v>
      </c>
      <c r="C101" s="1">
        <v>44938</v>
      </c>
      <c r="D101">
        <v>27</v>
      </c>
      <c r="E101" t="s">
        <v>20</v>
      </c>
      <c r="F101" t="s">
        <v>36</v>
      </c>
      <c r="G101" t="s">
        <v>54</v>
      </c>
      <c r="H101">
        <v>673.1</v>
      </c>
      <c r="I101">
        <v>2</v>
      </c>
      <c r="J101">
        <v>143.61000000000001</v>
      </c>
      <c r="K101">
        <v>1202.5899999999999</v>
      </c>
      <c r="L101" t="s">
        <v>99</v>
      </c>
      <c r="M101" t="s">
        <v>24</v>
      </c>
      <c r="N101">
        <v>16</v>
      </c>
      <c r="O101">
        <v>11</v>
      </c>
      <c r="P101" t="b">
        <v>0</v>
      </c>
      <c r="Q101">
        <v>5</v>
      </c>
      <c r="R101">
        <v>2</v>
      </c>
    </row>
    <row r="102" spans="1:18">
      <c r="A102" t="s">
        <v>247</v>
      </c>
      <c r="B102" t="s">
        <v>248</v>
      </c>
      <c r="C102" s="1">
        <v>44938</v>
      </c>
      <c r="D102">
        <v>32</v>
      </c>
      <c r="E102" t="s">
        <v>27</v>
      </c>
      <c r="F102" t="s">
        <v>36</v>
      </c>
      <c r="G102" t="s">
        <v>37</v>
      </c>
      <c r="H102">
        <v>785.15</v>
      </c>
      <c r="I102">
        <v>1</v>
      </c>
      <c r="J102">
        <v>66.97</v>
      </c>
      <c r="K102">
        <v>718.18</v>
      </c>
      <c r="L102" t="s">
        <v>29</v>
      </c>
      <c r="M102" t="s">
        <v>24</v>
      </c>
      <c r="N102">
        <v>20</v>
      </c>
      <c r="O102">
        <v>13</v>
      </c>
      <c r="P102" t="b">
        <v>0</v>
      </c>
      <c r="Q102">
        <v>8</v>
      </c>
      <c r="R102">
        <v>5</v>
      </c>
    </row>
    <row r="103" spans="1:18">
      <c r="A103" t="s">
        <v>249</v>
      </c>
      <c r="B103" t="s">
        <v>250</v>
      </c>
      <c r="C103" s="1">
        <v>44939</v>
      </c>
      <c r="D103">
        <v>28</v>
      </c>
      <c r="E103" t="s">
        <v>27</v>
      </c>
      <c r="F103" t="s">
        <v>88</v>
      </c>
      <c r="G103" t="s">
        <v>45</v>
      </c>
      <c r="H103">
        <v>82.07</v>
      </c>
      <c r="I103">
        <v>2</v>
      </c>
      <c r="J103">
        <v>0</v>
      </c>
      <c r="K103">
        <v>164.14</v>
      </c>
      <c r="L103" t="s">
        <v>49</v>
      </c>
      <c r="M103" t="s">
        <v>24</v>
      </c>
      <c r="N103">
        <v>8</v>
      </c>
      <c r="O103">
        <v>10</v>
      </c>
      <c r="P103" t="b">
        <v>0</v>
      </c>
      <c r="Q103">
        <v>4</v>
      </c>
      <c r="R103">
        <v>2</v>
      </c>
    </row>
    <row r="104" spans="1:18">
      <c r="A104" t="s">
        <v>251</v>
      </c>
      <c r="B104" t="s">
        <v>252</v>
      </c>
      <c r="C104" s="1">
        <v>44939</v>
      </c>
      <c r="D104">
        <v>27</v>
      </c>
      <c r="E104" t="s">
        <v>27</v>
      </c>
      <c r="F104" t="s">
        <v>66</v>
      </c>
      <c r="G104" t="s">
        <v>40</v>
      </c>
      <c r="H104">
        <v>581.30999999999995</v>
      </c>
      <c r="I104">
        <v>3</v>
      </c>
      <c r="J104">
        <v>158.19</v>
      </c>
      <c r="K104">
        <v>1585.74</v>
      </c>
      <c r="L104" t="s">
        <v>99</v>
      </c>
      <c r="M104" t="s">
        <v>24</v>
      </c>
      <c r="N104">
        <v>21</v>
      </c>
      <c r="O104">
        <v>7</v>
      </c>
      <c r="P104" t="b">
        <v>1</v>
      </c>
      <c r="Q104">
        <v>9</v>
      </c>
      <c r="R104">
        <v>3</v>
      </c>
    </row>
    <row r="105" spans="1:18">
      <c r="A105" t="s">
        <v>253</v>
      </c>
      <c r="B105" t="s">
        <v>254</v>
      </c>
      <c r="C105" s="1">
        <v>44939</v>
      </c>
      <c r="D105">
        <v>33</v>
      </c>
      <c r="E105" t="s">
        <v>27</v>
      </c>
      <c r="F105" t="s">
        <v>48</v>
      </c>
      <c r="G105" t="s">
        <v>33</v>
      </c>
      <c r="H105">
        <v>86.32</v>
      </c>
      <c r="I105">
        <v>1</v>
      </c>
      <c r="J105">
        <v>0</v>
      </c>
      <c r="K105">
        <v>86.32</v>
      </c>
      <c r="L105" t="s">
        <v>23</v>
      </c>
      <c r="M105" t="s">
        <v>42</v>
      </c>
      <c r="N105">
        <v>10</v>
      </c>
      <c r="O105">
        <v>7</v>
      </c>
      <c r="P105" t="b">
        <v>1</v>
      </c>
      <c r="Q105">
        <v>3</v>
      </c>
      <c r="R105">
        <v>5</v>
      </c>
    </row>
    <row r="106" spans="1:18">
      <c r="A106" t="s">
        <v>255</v>
      </c>
      <c r="B106" t="s">
        <v>256</v>
      </c>
      <c r="C106" s="1">
        <v>44939</v>
      </c>
      <c r="D106">
        <v>30</v>
      </c>
      <c r="E106" t="s">
        <v>20</v>
      </c>
      <c r="F106" t="s">
        <v>178</v>
      </c>
      <c r="G106" t="s">
        <v>67</v>
      </c>
      <c r="H106">
        <v>549.57000000000005</v>
      </c>
      <c r="I106">
        <v>1</v>
      </c>
      <c r="J106">
        <v>70.349999999999994</v>
      </c>
      <c r="K106">
        <v>479.22</v>
      </c>
      <c r="L106" t="s">
        <v>49</v>
      </c>
      <c r="M106" t="s">
        <v>24</v>
      </c>
      <c r="N106">
        <v>14</v>
      </c>
      <c r="O106">
        <v>10</v>
      </c>
      <c r="P106" t="b">
        <v>1</v>
      </c>
      <c r="Q106">
        <v>8</v>
      </c>
      <c r="R106">
        <v>4</v>
      </c>
    </row>
    <row r="107" spans="1:18">
      <c r="A107" t="s">
        <v>257</v>
      </c>
      <c r="B107" t="s">
        <v>258</v>
      </c>
      <c r="C107" s="1">
        <v>44939</v>
      </c>
      <c r="D107">
        <v>22</v>
      </c>
      <c r="E107" t="s">
        <v>20</v>
      </c>
      <c r="F107" t="s">
        <v>48</v>
      </c>
      <c r="G107" t="s">
        <v>37</v>
      </c>
      <c r="H107">
        <v>2111.5700000000002</v>
      </c>
      <c r="I107">
        <v>3</v>
      </c>
      <c r="J107">
        <v>0</v>
      </c>
      <c r="K107">
        <v>6334.71</v>
      </c>
      <c r="L107" t="s">
        <v>99</v>
      </c>
      <c r="M107" t="s">
        <v>55</v>
      </c>
      <c r="N107">
        <v>6</v>
      </c>
      <c r="O107">
        <v>7</v>
      </c>
      <c r="P107" t="b">
        <v>0</v>
      </c>
      <c r="Q107">
        <v>3</v>
      </c>
      <c r="R107">
        <v>2</v>
      </c>
    </row>
    <row r="108" spans="1:18">
      <c r="A108" t="s">
        <v>259</v>
      </c>
      <c r="B108" t="s">
        <v>260</v>
      </c>
      <c r="C108" s="1">
        <v>44939</v>
      </c>
      <c r="D108">
        <v>44</v>
      </c>
      <c r="E108" t="s">
        <v>27</v>
      </c>
      <c r="F108" t="s">
        <v>124</v>
      </c>
      <c r="G108" t="s">
        <v>37</v>
      </c>
      <c r="H108">
        <v>952.19</v>
      </c>
      <c r="I108">
        <v>1</v>
      </c>
      <c r="J108">
        <v>0</v>
      </c>
      <c r="K108">
        <v>952.19</v>
      </c>
      <c r="L108" t="s">
        <v>23</v>
      </c>
      <c r="M108" t="s">
        <v>24</v>
      </c>
      <c r="N108">
        <v>33</v>
      </c>
      <c r="O108">
        <v>8</v>
      </c>
      <c r="P108" t="b">
        <v>1</v>
      </c>
      <c r="Q108">
        <v>3</v>
      </c>
      <c r="R108">
        <v>2</v>
      </c>
    </row>
    <row r="109" spans="1:18">
      <c r="A109" t="s">
        <v>261</v>
      </c>
      <c r="B109" t="s">
        <v>262</v>
      </c>
      <c r="C109" s="1">
        <v>44939</v>
      </c>
      <c r="D109">
        <v>42</v>
      </c>
      <c r="E109" t="s">
        <v>27</v>
      </c>
      <c r="F109" t="s">
        <v>28</v>
      </c>
      <c r="G109" t="s">
        <v>33</v>
      </c>
      <c r="H109">
        <v>66.44</v>
      </c>
      <c r="I109">
        <v>1</v>
      </c>
      <c r="J109">
        <v>0</v>
      </c>
      <c r="K109">
        <v>66.44</v>
      </c>
      <c r="L109" t="s">
        <v>23</v>
      </c>
      <c r="M109" t="s">
        <v>42</v>
      </c>
      <c r="N109">
        <v>9</v>
      </c>
      <c r="O109">
        <v>5</v>
      </c>
      <c r="P109" t="b">
        <v>0</v>
      </c>
      <c r="Q109">
        <v>3</v>
      </c>
      <c r="R109">
        <v>5</v>
      </c>
    </row>
    <row r="110" spans="1:18">
      <c r="A110" t="s">
        <v>263</v>
      </c>
      <c r="B110" t="s">
        <v>264</v>
      </c>
      <c r="C110" s="1">
        <v>44940</v>
      </c>
      <c r="D110">
        <v>18</v>
      </c>
      <c r="E110" t="s">
        <v>20</v>
      </c>
      <c r="F110" t="s">
        <v>21</v>
      </c>
      <c r="G110" t="s">
        <v>40</v>
      </c>
      <c r="H110">
        <v>79.59</v>
      </c>
      <c r="I110">
        <v>1</v>
      </c>
      <c r="J110">
        <v>0</v>
      </c>
      <c r="K110">
        <v>79.59</v>
      </c>
      <c r="L110" t="s">
        <v>99</v>
      </c>
      <c r="M110" t="s">
        <v>24</v>
      </c>
      <c r="N110">
        <v>6</v>
      </c>
      <c r="O110">
        <v>11</v>
      </c>
      <c r="P110" t="b">
        <v>0</v>
      </c>
      <c r="Q110">
        <v>4</v>
      </c>
      <c r="R110">
        <v>3</v>
      </c>
    </row>
    <row r="111" spans="1:18">
      <c r="A111" t="s">
        <v>265</v>
      </c>
      <c r="B111" t="s">
        <v>266</v>
      </c>
      <c r="C111" s="1">
        <v>44940</v>
      </c>
      <c r="D111">
        <v>34</v>
      </c>
      <c r="E111" t="s">
        <v>20</v>
      </c>
      <c r="F111" t="s">
        <v>48</v>
      </c>
      <c r="G111" t="s">
        <v>70</v>
      </c>
      <c r="H111">
        <v>33.9</v>
      </c>
      <c r="I111">
        <v>1</v>
      </c>
      <c r="J111">
        <v>0</v>
      </c>
      <c r="K111">
        <v>33.9</v>
      </c>
      <c r="L111" t="s">
        <v>29</v>
      </c>
      <c r="M111" t="s">
        <v>24</v>
      </c>
      <c r="N111">
        <v>3</v>
      </c>
      <c r="O111">
        <v>6</v>
      </c>
      <c r="P111" t="b">
        <v>1</v>
      </c>
      <c r="Q111">
        <v>5</v>
      </c>
      <c r="R111">
        <v>5</v>
      </c>
    </row>
    <row r="112" spans="1:18">
      <c r="A112" t="s">
        <v>267</v>
      </c>
      <c r="B112" t="s">
        <v>268</v>
      </c>
      <c r="C112" s="1">
        <v>44940</v>
      </c>
      <c r="D112">
        <v>26</v>
      </c>
      <c r="E112" t="s">
        <v>27</v>
      </c>
      <c r="F112" t="s">
        <v>32</v>
      </c>
      <c r="G112" t="s">
        <v>22</v>
      </c>
      <c r="H112">
        <v>199.67</v>
      </c>
      <c r="I112">
        <v>1</v>
      </c>
      <c r="J112">
        <v>53.91</v>
      </c>
      <c r="K112">
        <v>145.76</v>
      </c>
      <c r="L112" t="s">
        <v>29</v>
      </c>
      <c r="M112" t="s">
        <v>55</v>
      </c>
      <c r="N112">
        <v>19</v>
      </c>
      <c r="O112">
        <v>9</v>
      </c>
      <c r="P112" t="b">
        <v>0</v>
      </c>
      <c r="Q112">
        <v>7</v>
      </c>
      <c r="R112">
        <v>1</v>
      </c>
    </row>
    <row r="113" spans="1:18">
      <c r="A113" t="s">
        <v>269</v>
      </c>
      <c r="B113" t="s">
        <v>270</v>
      </c>
      <c r="C113" s="1">
        <v>44940</v>
      </c>
      <c r="D113">
        <v>49</v>
      </c>
      <c r="E113" t="s">
        <v>20</v>
      </c>
      <c r="F113" t="s">
        <v>48</v>
      </c>
      <c r="G113" t="s">
        <v>67</v>
      </c>
      <c r="H113">
        <v>301.89999999999998</v>
      </c>
      <c r="I113">
        <v>1</v>
      </c>
      <c r="J113">
        <v>0</v>
      </c>
      <c r="K113">
        <v>301.89999999999998</v>
      </c>
      <c r="L113" t="s">
        <v>49</v>
      </c>
      <c r="M113" t="s">
        <v>24</v>
      </c>
      <c r="N113">
        <v>22</v>
      </c>
      <c r="O113">
        <v>7</v>
      </c>
      <c r="P113" t="b">
        <v>1</v>
      </c>
      <c r="Q113">
        <v>3</v>
      </c>
      <c r="R113">
        <v>4</v>
      </c>
    </row>
    <row r="114" spans="1:18">
      <c r="A114" t="s">
        <v>271</v>
      </c>
      <c r="B114" t="s">
        <v>272</v>
      </c>
      <c r="C114" s="1">
        <v>44940</v>
      </c>
      <c r="D114">
        <v>23</v>
      </c>
      <c r="E114" t="s">
        <v>27</v>
      </c>
      <c r="F114" t="s">
        <v>36</v>
      </c>
      <c r="G114" t="s">
        <v>45</v>
      </c>
      <c r="H114">
        <v>34.14</v>
      </c>
      <c r="I114">
        <v>5</v>
      </c>
      <c r="J114">
        <v>0</v>
      </c>
      <c r="K114">
        <v>170.7</v>
      </c>
      <c r="L114" t="s">
        <v>29</v>
      </c>
      <c r="M114" t="s">
        <v>24</v>
      </c>
      <c r="N114">
        <v>36</v>
      </c>
      <c r="O114">
        <v>10</v>
      </c>
      <c r="P114" t="b">
        <v>1</v>
      </c>
      <c r="Q114">
        <v>3</v>
      </c>
      <c r="R114">
        <v>5</v>
      </c>
    </row>
    <row r="115" spans="1:18">
      <c r="A115" t="s">
        <v>273</v>
      </c>
      <c r="B115" t="s">
        <v>274</v>
      </c>
      <c r="C115" s="1">
        <v>44940</v>
      </c>
      <c r="D115">
        <v>39</v>
      </c>
      <c r="E115" t="s">
        <v>27</v>
      </c>
      <c r="F115" t="s">
        <v>32</v>
      </c>
      <c r="G115" t="s">
        <v>33</v>
      </c>
      <c r="H115">
        <v>81.790000000000006</v>
      </c>
      <c r="I115">
        <v>1</v>
      </c>
      <c r="J115">
        <v>0</v>
      </c>
      <c r="K115">
        <v>81.790000000000006</v>
      </c>
      <c r="L115" t="s">
        <v>29</v>
      </c>
      <c r="M115" t="s">
        <v>24</v>
      </c>
      <c r="N115">
        <v>7</v>
      </c>
      <c r="O115">
        <v>5</v>
      </c>
      <c r="P115" t="b">
        <v>1</v>
      </c>
      <c r="Q115">
        <v>2</v>
      </c>
      <c r="R115">
        <v>4</v>
      </c>
    </row>
    <row r="116" spans="1:18">
      <c r="A116" t="s">
        <v>275</v>
      </c>
      <c r="B116" t="s">
        <v>276</v>
      </c>
      <c r="C116" s="1">
        <v>44940</v>
      </c>
      <c r="D116">
        <v>27</v>
      </c>
      <c r="E116" t="s">
        <v>27</v>
      </c>
      <c r="F116" t="s">
        <v>83</v>
      </c>
      <c r="G116" t="s">
        <v>54</v>
      </c>
      <c r="H116">
        <v>479.68</v>
      </c>
      <c r="I116">
        <v>3</v>
      </c>
      <c r="J116">
        <v>0</v>
      </c>
      <c r="K116">
        <v>1439.04</v>
      </c>
      <c r="L116" t="s">
        <v>23</v>
      </c>
      <c r="M116" t="s">
        <v>24</v>
      </c>
      <c r="N116">
        <v>13</v>
      </c>
      <c r="O116">
        <v>10</v>
      </c>
      <c r="P116" t="b">
        <v>1</v>
      </c>
      <c r="Q116">
        <v>4</v>
      </c>
      <c r="R116">
        <v>5</v>
      </c>
    </row>
    <row r="117" spans="1:18">
      <c r="A117" t="s">
        <v>277</v>
      </c>
      <c r="B117" t="s">
        <v>278</v>
      </c>
      <c r="C117" s="1">
        <v>44940</v>
      </c>
      <c r="D117">
        <v>26</v>
      </c>
      <c r="E117" t="s">
        <v>27</v>
      </c>
      <c r="F117" t="s">
        <v>83</v>
      </c>
      <c r="G117" t="s">
        <v>54</v>
      </c>
      <c r="H117">
        <v>96.62</v>
      </c>
      <c r="I117">
        <v>2</v>
      </c>
      <c r="J117">
        <v>19.5</v>
      </c>
      <c r="K117">
        <v>173.74</v>
      </c>
      <c r="L117" t="s">
        <v>41</v>
      </c>
      <c r="M117" t="s">
        <v>42</v>
      </c>
      <c r="N117">
        <v>10</v>
      </c>
      <c r="O117">
        <v>8</v>
      </c>
      <c r="P117" t="b">
        <v>0</v>
      </c>
      <c r="Q117">
        <v>5</v>
      </c>
      <c r="R117">
        <v>3</v>
      </c>
    </row>
    <row r="118" spans="1:18">
      <c r="A118" t="s">
        <v>279</v>
      </c>
      <c r="B118" t="s">
        <v>280</v>
      </c>
      <c r="C118" s="1">
        <v>44940</v>
      </c>
      <c r="D118">
        <v>18</v>
      </c>
      <c r="E118" t="s">
        <v>20</v>
      </c>
      <c r="F118" t="s">
        <v>124</v>
      </c>
      <c r="G118" t="s">
        <v>22</v>
      </c>
      <c r="H118">
        <v>106.13</v>
      </c>
      <c r="I118">
        <v>1</v>
      </c>
      <c r="J118">
        <v>0</v>
      </c>
      <c r="K118">
        <v>106.13</v>
      </c>
      <c r="L118" t="s">
        <v>23</v>
      </c>
      <c r="M118" t="s">
        <v>42</v>
      </c>
      <c r="N118">
        <v>9</v>
      </c>
      <c r="O118">
        <v>10</v>
      </c>
      <c r="P118" t="b">
        <v>1</v>
      </c>
      <c r="Q118">
        <v>5</v>
      </c>
      <c r="R118">
        <v>5</v>
      </c>
    </row>
    <row r="119" spans="1:18">
      <c r="A119" t="s">
        <v>281</v>
      </c>
      <c r="B119" t="s">
        <v>282</v>
      </c>
      <c r="C119" s="1">
        <v>44940</v>
      </c>
      <c r="D119">
        <v>34</v>
      </c>
      <c r="E119" t="s">
        <v>27</v>
      </c>
      <c r="F119" t="s">
        <v>178</v>
      </c>
      <c r="G119" t="s">
        <v>45</v>
      </c>
      <c r="H119">
        <v>66.28</v>
      </c>
      <c r="I119">
        <v>2</v>
      </c>
      <c r="J119">
        <v>0</v>
      </c>
      <c r="K119">
        <v>132.56</v>
      </c>
      <c r="L119" t="s">
        <v>29</v>
      </c>
      <c r="M119" t="s">
        <v>24</v>
      </c>
      <c r="N119">
        <v>13</v>
      </c>
      <c r="O119">
        <v>12</v>
      </c>
      <c r="P119" t="b">
        <v>1</v>
      </c>
      <c r="Q119">
        <v>3</v>
      </c>
      <c r="R119">
        <v>5</v>
      </c>
    </row>
    <row r="120" spans="1:18">
      <c r="A120" t="s">
        <v>283</v>
      </c>
      <c r="B120" t="s">
        <v>284</v>
      </c>
      <c r="C120" s="1">
        <v>44940</v>
      </c>
      <c r="D120">
        <v>21</v>
      </c>
      <c r="E120" t="s">
        <v>20</v>
      </c>
      <c r="F120" t="s">
        <v>83</v>
      </c>
      <c r="G120" t="s">
        <v>40</v>
      </c>
      <c r="H120">
        <v>349.71</v>
      </c>
      <c r="I120">
        <v>2</v>
      </c>
      <c r="J120">
        <v>57.46</v>
      </c>
      <c r="K120">
        <v>641.96</v>
      </c>
      <c r="L120" t="s">
        <v>49</v>
      </c>
      <c r="M120" t="s">
        <v>24</v>
      </c>
      <c r="N120">
        <v>11</v>
      </c>
      <c r="O120">
        <v>10</v>
      </c>
      <c r="P120" t="b">
        <v>0</v>
      </c>
      <c r="Q120">
        <v>4</v>
      </c>
      <c r="R120">
        <v>4</v>
      </c>
    </row>
    <row r="121" spans="1:18">
      <c r="A121" t="s">
        <v>285</v>
      </c>
      <c r="B121" t="s">
        <v>286</v>
      </c>
      <c r="C121" s="1">
        <v>44940</v>
      </c>
      <c r="D121">
        <v>49</v>
      </c>
      <c r="E121" t="s">
        <v>20</v>
      </c>
      <c r="F121" t="s">
        <v>32</v>
      </c>
      <c r="G121" t="s">
        <v>70</v>
      </c>
      <c r="H121">
        <v>29.41</v>
      </c>
      <c r="I121">
        <v>1</v>
      </c>
      <c r="J121">
        <v>0</v>
      </c>
      <c r="K121">
        <v>29.41</v>
      </c>
      <c r="L121" t="s">
        <v>23</v>
      </c>
      <c r="M121" t="s">
        <v>42</v>
      </c>
      <c r="N121">
        <v>34</v>
      </c>
      <c r="O121">
        <v>8</v>
      </c>
      <c r="P121" t="b">
        <v>0</v>
      </c>
      <c r="Q121">
        <v>3</v>
      </c>
      <c r="R121">
        <v>4</v>
      </c>
    </row>
    <row r="122" spans="1:18">
      <c r="A122" t="s">
        <v>287</v>
      </c>
      <c r="B122" t="s">
        <v>288</v>
      </c>
      <c r="C122" s="1">
        <v>44940</v>
      </c>
      <c r="D122">
        <v>36</v>
      </c>
      <c r="E122" t="s">
        <v>27</v>
      </c>
      <c r="F122" t="s">
        <v>36</v>
      </c>
      <c r="G122" t="s">
        <v>70</v>
      </c>
      <c r="H122">
        <v>47.45</v>
      </c>
      <c r="I122">
        <v>1</v>
      </c>
      <c r="J122">
        <v>0</v>
      </c>
      <c r="K122">
        <v>47.45</v>
      </c>
      <c r="L122" t="s">
        <v>29</v>
      </c>
      <c r="M122" t="s">
        <v>42</v>
      </c>
      <c r="N122">
        <v>38</v>
      </c>
      <c r="O122">
        <v>5</v>
      </c>
      <c r="P122" t="b">
        <v>1</v>
      </c>
      <c r="Q122">
        <v>4</v>
      </c>
      <c r="R122">
        <v>4</v>
      </c>
    </row>
    <row r="123" spans="1:18">
      <c r="A123" t="s">
        <v>289</v>
      </c>
      <c r="B123" t="s">
        <v>290</v>
      </c>
      <c r="C123" s="1">
        <v>44940</v>
      </c>
      <c r="D123">
        <v>43</v>
      </c>
      <c r="E123" t="s">
        <v>20</v>
      </c>
      <c r="F123" t="s">
        <v>36</v>
      </c>
      <c r="G123" t="s">
        <v>40</v>
      </c>
      <c r="H123">
        <v>666.91</v>
      </c>
      <c r="I123">
        <v>1</v>
      </c>
      <c r="J123">
        <v>0</v>
      </c>
      <c r="K123">
        <v>666.91</v>
      </c>
      <c r="L123" t="s">
        <v>23</v>
      </c>
      <c r="M123" t="s">
        <v>24</v>
      </c>
      <c r="N123">
        <v>19</v>
      </c>
      <c r="O123">
        <v>8</v>
      </c>
      <c r="P123" t="b">
        <v>1</v>
      </c>
      <c r="Q123">
        <v>5</v>
      </c>
      <c r="R123">
        <v>3</v>
      </c>
    </row>
    <row r="124" spans="1:18">
      <c r="A124" t="s">
        <v>291</v>
      </c>
      <c r="B124" t="s">
        <v>292</v>
      </c>
      <c r="C124" s="1">
        <v>44941</v>
      </c>
      <c r="D124">
        <v>30</v>
      </c>
      <c r="E124" t="s">
        <v>27</v>
      </c>
      <c r="F124" t="s">
        <v>124</v>
      </c>
      <c r="G124" t="s">
        <v>70</v>
      </c>
      <c r="H124">
        <v>74.72</v>
      </c>
      <c r="I124">
        <v>1</v>
      </c>
      <c r="J124">
        <v>0</v>
      </c>
      <c r="K124">
        <v>74.72</v>
      </c>
      <c r="L124" t="s">
        <v>29</v>
      </c>
      <c r="M124" t="s">
        <v>55</v>
      </c>
      <c r="N124">
        <v>12</v>
      </c>
      <c r="O124">
        <v>4</v>
      </c>
      <c r="P124" t="b">
        <v>1</v>
      </c>
      <c r="Q124">
        <v>7</v>
      </c>
      <c r="R124">
        <v>5</v>
      </c>
    </row>
    <row r="125" spans="1:18">
      <c r="A125" t="s">
        <v>293</v>
      </c>
      <c r="B125" t="s">
        <v>294</v>
      </c>
      <c r="C125" s="1">
        <v>44941</v>
      </c>
      <c r="D125">
        <v>39</v>
      </c>
      <c r="E125" t="s">
        <v>20</v>
      </c>
      <c r="F125" t="s">
        <v>36</v>
      </c>
      <c r="G125" t="s">
        <v>33</v>
      </c>
      <c r="H125">
        <v>33.520000000000003</v>
      </c>
      <c r="I125">
        <v>2</v>
      </c>
      <c r="J125">
        <v>0</v>
      </c>
      <c r="K125">
        <v>67.040000000000006</v>
      </c>
      <c r="L125" t="s">
        <v>41</v>
      </c>
      <c r="M125" t="s">
        <v>24</v>
      </c>
      <c r="N125">
        <v>22</v>
      </c>
      <c r="O125">
        <v>10</v>
      </c>
      <c r="P125" t="b">
        <v>0</v>
      </c>
      <c r="Q125">
        <v>4</v>
      </c>
      <c r="R125">
        <v>2</v>
      </c>
    </row>
    <row r="126" spans="1:18">
      <c r="A126" t="s">
        <v>295</v>
      </c>
      <c r="B126" t="s">
        <v>296</v>
      </c>
      <c r="C126" s="1">
        <v>44941</v>
      </c>
      <c r="D126">
        <v>23</v>
      </c>
      <c r="E126" t="s">
        <v>27</v>
      </c>
      <c r="F126" t="s">
        <v>36</v>
      </c>
      <c r="G126" t="s">
        <v>40</v>
      </c>
      <c r="H126">
        <v>292.8</v>
      </c>
      <c r="I126">
        <v>1</v>
      </c>
      <c r="J126">
        <v>41.69</v>
      </c>
      <c r="K126">
        <v>251.11</v>
      </c>
      <c r="L126" t="s">
        <v>49</v>
      </c>
      <c r="M126" t="s">
        <v>42</v>
      </c>
      <c r="N126">
        <v>19</v>
      </c>
      <c r="O126">
        <v>9</v>
      </c>
      <c r="P126" t="b">
        <v>0</v>
      </c>
      <c r="Q126">
        <v>8</v>
      </c>
      <c r="R126">
        <v>5</v>
      </c>
    </row>
    <row r="127" spans="1:18">
      <c r="A127" t="s">
        <v>297</v>
      </c>
      <c r="B127" t="s">
        <v>298</v>
      </c>
      <c r="C127" s="1">
        <v>44941</v>
      </c>
      <c r="D127">
        <v>29</v>
      </c>
      <c r="E127" t="s">
        <v>27</v>
      </c>
      <c r="F127" t="s">
        <v>21</v>
      </c>
      <c r="G127" t="s">
        <v>37</v>
      </c>
      <c r="H127">
        <v>2340.15</v>
      </c>
      <c r="I127">
        <v>4</v>
      </c>
      <c r="J127">
        <v>402.1</v>
      </c>
      <c r="K127">
        <v>8958.5</v>
      </c>
      <c r="L127" t="s">
        <v>29</v>
      </c>
      <c r="M127" t="s">
        <v>42</v>
      </c>
      <c r="N127">
        <v>9</v>
      </c>
      <c r="O127">
        <v>14</v>
      </c>
      <c r="P127" t="b">
        <v>1</v>
      </c>
      <c r="Q127">
        <v>3</v>
      </c>
      <c r="R127">
        <v>5</v>
      </c>
    </row>
    <row r="128" spans="1:18">
      <c r="A128" t="s">
        <v>299</v>
      </c>
      <c r="B128" t="s">
        <v>300</v>
      </c>
      <c r="C128" s="1">
        <v>44941</v>
      </c>
      <c r="D128">
        <v>53</v>
      </c>
      <c r="E128" t="s">
        <v>20</v>
      </c>
      <c r="F128" t="s">
        <v>32</v>
      </c>
      <c r="G128" t="s">
        <v>37</v>
      </c>
      <c r="H128">
        <v>1121.67</v>
      </c>
      <c r="I128">
        <v>5</v>
      </c>
      <c r="J128">
        <v>0</v>
      </c>
      <c r="K128">
        <v>5608.35</v>
      </c>
      <c r="L128" t="s">
        <v>41</v>
      </c>
      <c r="M128" t="s">
        <v>42</v>
      </c>
      <c r="N128">
        <v>18</v>
      </c>
      <c r="O128">
        <v>8</v>
      </c>
      <c r="P128" t="b">
        <v>0</v>
      </c>
      <c r="Q128">
        <v>4</v>
      </c>
      <c r="R128">
        <v>3</v>
      </c>
    </row>
    <row r="129" spans="1:18">
      <c r="A129" t="s">
        <v>301</v>
      </c>
      <c r="B129" t="s">
        <v>302</v>
      </c>
      <c r="C129" s="1">
        <v>44941</v>
      </c>
      <c r="D129">
        <v>29</v>
      </c>
      <c r="E129" t="s">
        <v>20</v>
      </c>
      <c r="F129" t="s">
        <v>83</v>
      </c>
      <c r="G129" t="s">
        <v>70</v>
      </c>
      <c r="H129">
        <v>27.13</v>
      </c>
      <c r="I129">
        <v>4</v>
      </c>
      <c r="J129">
        <v>5.54</v>
      </c>
      <c r="K129">
        <v>102.98</v>
      </c>
      <c r="L129" t="s">
        <v>23</v>
      </c>
      <c r="M129" t="s">
        <v>24</v>
      </c>
      <c r="N129">
        <v>14</v>
      </c>
      <c r="O129">
        <v>7</v>
      </c>
      <c r="P129" t="b">
        <v>1</v>
      </c>
      <c r="Q129">
        <v>5</v>
      </c>
      <c r="R129">
        <v>2</v>
      </c>
    </row>
    <row r="130" spans="1:18">
      <c r="A130" t="s">
        <v>303</v>
      </c>
      <c r="B130" t="s">
        <v>304</v>
      </c>
      <c r="C130" s="1">
        <v>44941</v>
      </c>
      <c r="D130">
        <v>40</v>
      </c>
      <c r="E130" t="s">
        <v>20</v>
      </c>
      <c r="F130" t="s">
        <v>124</v>
      </c>
      <c r="G130" t="s">
        <v>37</v>
      </c>
      <c r="H130">
        <v>1239.23</v>
      </c>
      <c r="I130">
        <v>1</v>
      </c>
      <c r="J130">
        <v>0</v>
      </c>
      <c r="K130">
        <v>1239.23</v>
      </c>
      <c r="L130" t="s">
        <v>29</v>
      </c>
      <c r="M130" t="s">
        <v>42</v>
      </c>
      <c r="N130">
        <v>31</v>
      </c>
      <c r="O130">
        <v>13</v>
      </c>
      <c r="P130" t="b">
        <v>1</v>
      </c>
      <c r="Q130">
        <v>12</v>
      </c>
      <c r="R130">
        <v>5</v>
      </c>
    </row>
    <row r="131" spans="1:18">
      <c r="A131" t="s">
        <v>305</v>
      </c>
      <c r="B131" t="s">
        <v>306</v>
      </c>
      <c r="C131" s="1">
        <v>44941</v>
      </c>
      <c r="D131">
        <v>27</v>
      </c>
      <c r="E131" t="s">
        <v>20</v>
      </c>
      <c r="F131" t="s">
        <v>21</v>
      </c>
      <c r="G131" t="s">
        <v>54</v>
      </c>
      <c r="H131">
        <v>118.65</v>
      </c>
      <c r="I131">
        <v>3</v>
      </c>
      <c r="J131">
        <v>0</v>
      </c>
      <c r="K131">
        <v>355.95</v>
      </c>
      <c r="L131" t="s">
        <v>23</v>
      </c>
      <c r="M131" t="s">
        <v>24</v>
      </c>
      <c r="N131">
        <v>4</v>
      </c>
      <c r="O131">
        <v>7</v>
      </c>
      <c r="P131" t="b">
        <v>0</v>
      </c>
      <c r="Q131">
        <v>8</v>
      </c>
      <c r="R131">
        <v>4</v>
      </c>
    </row>
    <row r="132" spans="1:18">
      <c r="A132" t="s">
        <v>307</v>
      </c>
      <c r="B132" t="s">
        <v>308</v>
      </c>
      <c r="C132" s="1">
        <v>44941</v>
      </c>
      <c r="D132">
        <v>43</v>
      </c>
      <c r="E132" t="s">
        <v>27</v>
      </c>
      <c r="F132" t="s">
        <v>83</v>
      </c>
      <c r="G132" t="s">
        <v>33</v>
      </c>
      <c r="H132">
        <v>140.01</v>
      </c>
      <c r="I132">
        <v>1</v>
      </c>
      <c r="J132">
        <v>23.2</v>
      </c>
      <c r="K132">
        <v>116.81</v>
      </c>
      <c r="L132" t="s">
        <v>49</v>
      </c>
      <c r="M132" t="s">
        <v>42</v>
      </c>
      <c r="N132">
        <v>13</v>
      </c>
      <c r="O132">
        <v>9</v>
      </c>
      <c r="P132" t="b">
        <v>0</v>
      </c>
      <c r="Q132">
        <v>7</v>
      </c>
      <c r="R132">
        <v>4</v>
      </c>
    </row>
    <row r="133" spans="1:18">
      <c r="A133" t="s">
        <v>309</v>
      </c>
      <c r="B133" t="s">
        <v>310</v>
      </c>
      <c r="C133" s="1">
        <v>44942</v>
      </c>
      <c r="D133">
        <v>38</v>
      </c>
      <c r="E133" t="s">
        <v>27</v>
      </c>
      <c r="F133" t="s">
        <v>124</v>
      </c>
      <c r="G133" t="s">
        <v>67</v>
      </c>
      <c r="H133">
        <v>1469.76</v>
      </c>
      <c r="I133">
        <v>1</v>
      </c>
      <c r="J133">
        <v>0</v>
      </c>
      <c r="K133">
        <v>1469.76</v>
      </c>
      <c r="L133" t="s">
        <v>99</v>
      </c>
      <c r="M133" t="s">
        <v>42</v>
      </c>
      <c r="N133">
        <v>13</v>
      </c>
      <c r="O133">
        <v>13</v>
      </c>
      <c r="P133" t="b">
        <v>0</v>
      </c>
      <c r="Q133">
        <v>4</v>
      </c>
      <c r="R133">
        <v>3</v>
      </c>
    </row>
    <row r="134" spans="1:18">
      <c r="A134" t="s">
        <v>311</v>
      </c>
      <c r="B134" t="s">
        <v>312</v>
      </c>
      <c r="C134" s="1">
        <v>44942</v>
      </c>
      <c r="D134">
        <v>23</v>
      </c>
      <c r="E134" t="s">
        <v>20</v>
      </c>
      <c r="F134" t="s">
        <v>48</v>
      </c>
      <c r="G134" t="s">
        <v>22</v>
      </c>
      <c r="H134">
        <v>25.11</v>
      </c>
      <c r="I134">
        <v>2</v>
      </c>
      <c r="J134">
        <v>0</v>
      </c>
      <c r="K134">
        <v>50.22</v>
      </c>
      <c r="L134" t="s">
        <v>99</v>
      </c>
      <c r="M134" t="s">
        <v>24</v>
      </c>
      <c r="N134">
        <v>12</v>
      </c>
      <c r="O134">
        <v>6</v>
      </c>
      <c r="P134" t="b">
        <v>0</v>
      </c>
      <c r="Q134">
        <v>7</v>
      </c>
      <c r="R134">
        <v>5</v>
      </c>
    </row>
    <row r="135" spans="1:18">
      <c r="A135" t="s">
        <v>313</v>
      </c>
      <c r="B135" t="s">
        <v>314</v>
      </c>
      <c r="C135" s="1">
        <v>44942</v>
      </c>
      <c r="D135">
        <v>26</v>
      </c>
      <c r="E135" t="s">
        <v>27</v>
      </c>
      <c r="F135" t="s">
        <v>124</v>
      </c>
      <c r="G135" t="s">
        <v>22</v>
      </c>
      <c r="H135">
        <v>130.84</v>
      </c>
      <c r="I135">
        <v>2</v>
      </c>
      <c r="J135">
        <v>7.16</v>
      </c>
      <c r="K135">
        <v>254.52</v>
      </c>
      <c r="L135" t="s">
        <v>49</v>
      </c>
      <c r="M135" t="s">
        <v>24</v>
      </c>
      <c r="N135">
        <v>14</v>
      </c>
      <c r="O135">
        <v>8</v>
      </c>
      <c r="P135" t="b">
        <v>1</v>
      </c>
      <c r="Q135">
        <v>6</v>
      </c>
      <c r="R135">
        <v>4</v>
      </c>
    </row>
    <row r="136" spans="1:18">
      <c r="A136" t="s">
        <v>315</v>
      </c>
      <c r="B136" t="s">
        <v>316</v>
      </c>
      <c r="C136" s="1">
        <v>44942</v>
      </c>
      <c r="D136">
        <v>38</v>
      </c>
      <c r="E136" t="s">
        <v>20</v>
      </c>
      <c r="F136" t="s">
        <v>21</v>
      </c>
      <c r="G136" t="s">
        <v>54</v>
      </c>
      <c r="H136">
        <v>198.21</v>
      </c>
      <c r="I136">
        <v>1</v>
      </c>
      <c r="J136">
        <v>0</v>
      </c>
      <c r="K136">
        <v>198.21</v>
      </c>
      <c r="L136" t="s">
        <v>99</v>
      </c>
      <c r="M136" t="s">
        <v>42</v>
      </c>
      <c r="N136">
        <v>20</v>
      </c>
      <c r="O136">
        <v>6</v>
      </c>
      <c r="P136" t="b">
        <v>1</v>
      </c>
      <c r="Q136">
        <v>2</v>
      </c>
      <c r="R136">
        <v>2</v>
      </c>
    </row>
    <row r="137" spans="1:18">
      <c r="A137" t="s">
        <v>317</v>
      </c>
      <c r="B137" t="s">
        <v>318</v>
      </c>
      <c r="C137" s="1">
        <v>44942</v>
      </c>
      <c r="D137">
        <v>21</v>
      </c>
      <c r="E137" t="s">
        <v>20</v>
      </c>
      <c r="F137" t="s">
        <v>178</v>
      </c>
      <c r="G137" t="s">
        <v>45</v>
      </c>
      <c r="H137">
        <v>153.06</v>
      </c>
      <c r="I137">
        <v>4</v>
      </c>
      <c r="J137">
        <v>20.83</v>
      </c>
      <c r="K137">
        <v>591.41</v>
      </c>
      <c r="L137" t="s">
        <v>23</v>
      </c>
      <c r="M137" t="s">
        <v>42</v>
      </c>
      <c r="N137">
        <v>10</v>
      </c>
      <c r="O137">
        <v>2</v>
      </c>
      <c r="P137" t="b">
        <v>1</v>
      </c>
      <c r="Q137">
        <v>4</v>
      </c>
      <c r="R137">
        <v>2</v>
      </c>
    </row>
    <row r="138" spans="1:18">
      <c r="A138" t="s">
        <v>319</v>
      </c>
      <c r="B138" t="s">
        <v>320</v>
      </c>
      <c r="C138" s="1">
        <v>44942</v>
      </c>
      <c r="D138">
        <v>27</v>
      </c>
      <c r="E138" t="s">
        <v>20</v>
      </c>
      <c r="F138" t="s">
        <v>36</v>
      </c>
      <c r="G138" t="s">
        <v>37</v>
      </c>
      <c r="H138">
        <v>1783.81</v>
      </c>
      <c r="I138">
        <v>2</v>
      </c>
      <c r="J138">
        <v>501.44</v>
      </c>
      <c r="K138">
        <v>3066.18</v>
      </c>
      <c r="L138" t="s">
        <v>23</v>
      </c>
      <c r="M138" t="s">
        <v>42</v>
      </c>
      <c r="N138">
        <v>7</v>
      </c>
      <c r="O138">
        <v>5</v>
      </c>
      <c r="P138" t="b">
        <v>1</v>
      </c>
      <c r="Q138">
        <v>5</v>
      </c>
      <c r="R138">
        <v>4</v>
      </c>
    </row>
    <row r="139" spans="1:18">
      <c r="A139" t="s">
        <v>321</v>
      </c>
      <c r="B139" t="s">
        <v>322</v>
      </c>
      <c r="C139" s="1">
        <v>44942</v>
      </c>
      <c r="D139">
        <v>18</v>
      </c>
      <c r="E139" t="s">
        <v>20</v>
      </c>
      <c r="F139" t="s">
        <v>124</v>
      </c>
      <c r="G139" t="s">
        <v>54</v>
      </c>
      <c r="H139">
        <v>498.6</v>
      </c>
      <c r="I139">
        <v>1</v>
      </c>
      <c r="J139">
        <v>0</v>
      </c>
      <c r="K139">
        <v>498.6</v>
      </c>
      <c r="L139" t="s">
        <v>49</v>
      </c>
      <c r="M139" t="s">
        <v>24</v>
      </c>
      <c r="N139">
        <v>1</v>
      </c>
      <c r="O139">
        <v>5</v>
      </c>
      <c r="P139" t="b">
        <v>1</v>
      </c>
      <c r="Q139">
        <v>1</v>
      </c>
      <c r="R139">
        <v>5</v>
      </c>
    </row>
    <row r="140" spans="1:18">
      <c r="A140" t="s">
        <v>323</v>
      </c>
      <c r="B140" t="s">
        <v>324</v>
      </c>
      <c r="C140" s="1">
        <v>44942</v>
      </c>
      <c r="D140">
        <v>37</v>
      </c>
      <c r="E140" t="s">
        <v>27</v>
      </c>
      <c r="F140" t="s">
        <v>36</v>
      </c>
      <c r="G140" t="s">
        <v>67</v>
      </c>
      <c r="H140">
        <v>656.04</v>
      </c>
      <c r="I140">
        <v>2</v>
      </c>
      <c r="J140">
        <v>0</v>
      </c>
      <c r="K140">
        <v>1312.08</v>
      </c>
      <c r="L140" t="s">
        <v>23</v>
      </c>
      <c r="M140" t="s">
        <v>42</v>
      </c>
      <c r="N140">
        <v>4</v>
      </c>
      <c r="O140">
        <v>8</v>
      </c>
      <c r="P140" t="b">
        <v>1</v>
      </c>
      <c r="Q140">
        <v>8</v>
      </c>
      <c r="R140">
        <v>2</v>
      </c>
    </row>
    <row r="141" spans="1:18">
      <c r="A141" t="s">
        <v>325</v>
      </c>
      <c r="B141" t="s">
        <v>326</v>
      </c>
      <c r="C141" s="1">
        <v>44942</v>
      </c>
      <c r="D141">
        <v>39</v>
      </c>
      <c r="E141" t="s">
        <v>129</v>
      </c>
      <c r="F141" t="s">
        <v>28</v>
      </c>
      <c r="G141" t="s">
        <v>45</v>
      </c>
      <c r="H141">
        <v>27.5</v>
      </c>
      <c r="I141">
        <v>2</v>
      </c>
      <c r="J141">
        <v>0</v>
      </c>
      <c r="K141">
        <v>55</v>
      </c>
      <c r="L141" t="s">
        <v>49</v>
      </c>
      <c r="M141" t="s">
        <v>24</v>
      </c>
      <c r="N141">
        <v>13</v>
      </c>
      <c r="O141">
        <v>11</v>
      </c>
      <c r="P141" t="b">
        <v>1</v>
      </c>
      <c r="Q141">
        <v>2</v>
      </c>
      <c r="R141">
        <v>5</v>
      </c>
    </row>
    <row r="142" spans="1:18">
      <c r="A142" t="s">
        <v>327</v>
      </c>
      <c r="B142" t="s">
        <v>328</v>
      </c>
      <c r="C142" s="1">
        <v>44942</v>
      </c>
      <c r="D142">
        <v>23</v>
      </c>
      <c r="E142" t="s">
        <v>20</v>
      </c>
      <c r="F142" t="s">
        <v>178</v>
      </c>
      <c r="G142" t="s">
        <v>67</v>
      </c>
      <c r="H142">
        <v>159.75</v>
      </c>
      <c r="I142">
        <v>3</v>
      </c>
      <c r="J142">
        <v>0</v>
      </c>
      <c r="K142">
        <v>479.25</v>
      </c>
      <c r="L142" t="s">
        <v>29</v>
      </c>
      <c r="M142" t="s">
        <v>24</v>
      </c>
      <c r="N142">
        <v>10</v>
      </c>
      <c r="O142">
        <v>9</v>
      </c>
      <c r="P142" t="b">
        <v>1</v>
      </c>
      <c r="Q142">
        <v>2</v>
      </c>
      <c r="R142">
        <v>5</v>
      </c>
    </row>
    <row r="143" spans="1:18">
      <c r="A143" t="s">
        <v>329</v>
      </c>
      <c r="B143" t="s">
        <v>330</v>
      </c>
      <c r="C143" s="1">
        <v>44943</v>
      </c>
      <c r="D143">
        <v>41</v>
      </c>
      <c r="E143" t="s">
        <v>20</v>
      </c>
      <c r="F143" t="s">
        <v>36</v>
      </c>
      <c r="G143" t="s">
        <v>22</v>
      </c>
      <c r="H143">
        <v>107.19</v>
      </c>
      <c r="I143">
        <v>3</v>
      </c>
      <c r="J143">
        <v>0</v>
      </c>
      <c r="K143">
        <v>321.57</v>
      </c>
      <c r="L143" t="s">
        <v>29</v>
      </c>
      <c r="M143" t="s">
        <v>42</v>
      </c>
      <c r="N143">
        <v>4</v>
      </c>
      <c r="O143">
        <v>7</v>
      </c>
      <c r="P143" t="b">
        <v>0</v>
      </c>
      <c r="Q143">
        <v>8</v>
      </c>
      <c r="R143">
        <v>2</v>
      </c>
    </row>
    <row r="144" spans="1:18">
      <c r="A144" t="s">
        <v>331</v>
      </c>
      <c r="B144" t="s">
        <v>332</v>
      </c>
      <c r="C144" s="1">
        <v>44943</v>
      </c>
      <c r="D144">
        <v>41</v>
      </c>
      <c r="E144" t="s">
        <v>27</v>
      </c>
      <c r="F144" t="s">
        <v>36</v>
      </c>
      <c r="G144" t="s">
        <v>67</v>
      </c>
      <c r="H144">
        <v>724.84</v>
      </c>
      <c r="I144">
        <v>3</v>
      </c>
      <c r="J144">
        <v>140.57</v>
      </c>
      <c r="K144">
        <v>2033.95</v>
      </c>
      <c r="L144" t="s">
        <v>49</v>
      </c>
      <c r="M144" t="s">
        <v>42</v>
      </c>
      <c r="N144">
        <v>7</v>
      </c>
      <c r="O144">
        <v>9</v>
      </c>
      <c r="P144" t="b">
        <v>1</v>
      </c>
      <c r="Q144">
        <v>8</v>
      </c>
      <c r="R144">
        <v>3</v>
      </c>
    </row>
    <row r="145" spans="1:18">
      <c r="A145" t="s">
        <v>333</v>
      </c>
      <c r="B145" t="s">
        <v>334</v>
      </c>
      <c r="C145" s="1">
        <v>44943</v>
      </c>
      <c r="D145">
        <v>38</v>
      </c>
      <c r="E145" t="s">
        <v>20</v>
      </c>
      <c r="F145" t="s">
        <v>36</v>
      </c>
      <c r="G145" t="s">
        <v>45</v>
      </c>
      <c r="H145">
        <v>207.5</v>
      </c>
      <c r="I145">
        <v>1</v>
      </c>
      <c r="J145">
        <v>0</v>
      </c>
      <c r="K145">
        <v>207.5</v>
      </c>
      <c r="L145" t="s">
        <v>29</v>
      </c>
      <c r="M145" t="s">
        <v>24</v>
      </c>
      <c r="N145">
        <v>10</v>
      </c>
      <c r="O145">
        <v>6</v>
      </c>
      <c r="P145" t="b">
        <v>1</v>
      </c>
      <c r="Q145">
        <v>10</v>
      </c>
      <c r="R145">
        <v>4</v>
      </c>
    </row>
    <row r="146" spans="1:18">
      <c r="A146" t="s">
        <v>335</v>
      </c>
      <c r="B146" t="s">
        <v>336</v>
      </c>
      <c r="C146" s="1">
        <v>44943</v>
      </c>
      <c r="D146">
        <v>31</v>
      </c>
      <c r="E146" t="s">
        <v>27</v>
      </c>
      <c r="F146" t="s">
        <v>36</v>
      </c>
      <c r="G146" t="s">
        <v>40</v>
      </c>
      <c r="H146">
        <v>1397.66</v>
      </c>
      <c r="I146">
        <v>1</v>
      </c>
      <c r="J146">
        <v>0</v>
      </c>
      <c r="K146">
        <v>1397.66</v>
      </c>
      <c r="L146" t="s">
        <v>29</v>
      </c>
      <c r="M146" t="s">
        <v>42</v>
      </c>
      <c r="N146">
        <v>3</v>
      </c>
      <c r="O146">
        <v>13</v>
      </c>
      <c r="P146" t="b">
        <v>0</v>
      </c>
      <c r="Q146">
        <v>7</v>
      </c>
      <c r="R146">
        <v>4</v>
      </c>
    </row>
    <row r="147" spans="1:18">
      <c r="A147" t="s">
        <v>337</v>
      </c>
      <c r="B147" t="s">
        <v>338</v>
      </c>
      <c r="C147" s="1">
        <v>44943</v>
      </c>
      <c r="D147">
        <v>43</v>
      </c>
      <c r="E147" t="s">
        <v>27</v>
      </c>
      <c r="F147" t="s">
        <v>88</v>
      </c>
      <c r="G147" t="s">
        <v>45</v>
      </c>
      <c r="H147">
        <v>286.68</v>
      </c>
      <c r="I147">
        <v>2</v>
      </c>
      <c r="J147">
        <v>0</v>
      </c>
      <c r="K147">
        <v>573.36</v>
      </c>
      <c r="L147" t="s">
        <v>49</v>
      </c>
      <c r="M147" t="s">
        <v>42</v>
      </c>
      <c r="N147">
        <v>28</v>
      </c>
      <c r="O147">
        <v>6</v>
      </c>
      <c r="P147" t="b">
        <v>1</v>
      </c>
      <c r="Q147">
        <v>5</v>
      </c>
      <c r="R147">
        <v>5</v>
      </c>
    </row>
    <row r="148" spans="1:18">
      <c r="A148" t="s">
        <v>339</v>
      </c>
      <c r="B148" t="s">
        <v>340</v>
      </c>
      <c r="C148" s="1">
        <v>44943</v>
      </c>
      <c r="D148">
        <v>38</v>
      </c>
      <c r="E148" t="s">
        <v>27</v>
      </c>
      <c r="F148" t="s">
        <v>83</v>
      </c>
      <c r="G148" t="s">
        <v>37</v>
      </c>
      <c r="H148">
        <v>2594.0700000000002</v>
      </c>
      <c r="I148">
        <v>3</v>
      </c>
      <c r="J148">
        <v>344.88</v>
      </c>
      <c r="K148">
        <v>7437.33</v>
      </c>
      <c r="L148" t="s">
        <v>23</v>
      </c>
      <c r="M148" t="s">
        <v>24</v>
      </c>
      <c r="N148">
        <v>14</v>
      </c>
      <c r="O148">
        <v>3</v>
      </c>
      <c r="P148" t="b">
        <v>0</v>
      </c>
      <c r="Q148">
        <v>4</v>
      </c>
      <c r="R148">
        <v>4</v>
      </c>
    </row>
    <row r="149" spans="1:18">
      <c r="A149" t="s">
        <v>341</v>
      </c>
      <c r="B149" t="s">
        <v>342</v>
      </c>
      <c r="C149" s="1">
        <v>44943</v>
      </c>
      <c r="D149">
        <v>32</v>
      </c>
      <c r="E149" t="s">
        <v>20</v>
      </c>
      <c r="F149" t="s">
        <v>32</v>
      </c>
      <c r="G149" t="s">
        <v>40</v>
      </c>
      <c r="H149">
        <v>194.41</v>
      </c>
      <c r="I149">
        <v>1</v>
      </c>
      <c r="J149">
        <v>0</v>
      </c>
      <c r="K149">
        <v>194.41</v>
      </c>
      <c r="L149" t="s">
        <v>29</v>
      </c>
      <c r="M149" t="s">
        <v>24</v>
      </c>
      <c r="N149">
        <v>26</v>
      </c>
      <c r="O149">
        <v>8</v>
      </c>
      <c r="P149" t="b">
        <v>0</v>
      </c>
      <c r="Q149">
        <v>8</v>
      </c>
      <c r="R149">
        <v>3</v>
      </c>
    </row>
    <row r="150" spans="1:18">
      <c r="A150" t="s">
        <v>343</v>
      </c>
      <c r="B150" t="s">
        <v>344</v>
      </c>
      <c r="C150" s="1">
        <v>44943</v>
      </c>
      <c r="D150">
        <v>22</v>
      </c>
      <c r="E150" t="s">
        <v>20</v>
      </c>
      <c r="F150" t="s">
        <v>32</v>
      </c>
      <c r="G150" t="s">
        <v>67</v>
      </c>
      <c r="H150">
        <v>234.69</v>
      </c>
      <c r="I150">
        <v>1</v>
      </c>
      <c r="J150">
        <v>0</v>
      </c>
      <c r="K150">
        <v>234.69</v>
      </c>
      <c r="L150" t="s">
        <v>41</v>
      </c>
      <c r="M150" t="s">
        <v>24</v>
      </c>
      <c r="N150">
        <v>15</v>
      </c>
      <c r="O150">
        <v>7</v>
      </c>
      <c r="P150" t="b">
        <v>0</v>
      </c>
      <c r="Q150">
        <v>11</v>
      </c>
      <c r="R150">
        <v>1</v>
      </c>
    </row>
    <row r="151" spans="1:18">
      <c r="A151" t="s">
        <v>345</v>
      </c>
      <c r="B151" t="s">
        <v>346</v>
      </c>
      <c r="C151" s="1">
        <v>44943</v>
      </c>
      <c r="D151">
        <v>28</v>
      </c>
      <c r="E151" t="s">
        <v>27</v>
      </c>
      <c r="F151" t="s">
        <v>36</v>
      </c>
      <c r="G151" t="s">
        <v>22</v>
      </c>
      <c r="H151">
        <v>198.69</v>
      </c>
      <c r="I151">
        <v>3</v>
      </c>
      <c r="J151">
        <v>0</v>
      </c>
      <c r="K151">
        <v>596.07000000000005</v>
      </c>
      <c r="L151" t="s">
        <v>49</v>
      </c>
      <c r="M151" t="s">
        <v>24</v>
      </c>
      <c r="N151">
        <v>8</v>
      </c>
      <c r="O151">
        <v>5</v>
      </c>
      <c r="P151" t="b">
        <v>0</v>
      </c>
      <c r="Q151">
        <v>6</v>
      </c>
      <c r="R151">
        <v>3</v>
      </c>
    </row>
    <row r="152" spans="1:18">
      <c r="A152" t="s">
        <v>347</v>
      </c>
      <c r="B152" t="s">
        <v>348</v>
      </c>
      <c r="C152" s="1">
        <v>44943</v>
      </c>
      <c r="D152">
        <v>21</v>
      </c>
      <c r="E152" t="s">
        <v>20</v>
      </c>
      <c r="F152" t="s">
        <v>178</v>
      </c>
      <c r="G152" t="s">
        <v>45</v>
      </c>
      <c r="H152">
        <v>167.43</v>
      </c>
      <c r="I152">
        <v>5</v>
      </c>
      <c r="J152">
        <v>0</v>
      </c>
      <c r="K152">
        <v>837.15</v>
      </c>
      <c r="L152" t="s">
        <v>41</v>
      </c>
      <c r="M152" t="s">
        <v>24</v>
      </c>
      <c r="N152">
        <v>20</v>
      </c>
      <c r="O152">
        <v>9</v>
      </c>
      <c r="P152" t="b">
        <v>1</v>
      </c>
      <c r="Q152">
        <v>8</v>
      </c>
      <c r="R152">
        <v>1</v>
      </c>
    </row>
    <row r="153" spans="1:18">
      <c r="A153" t="s">
        <v>349</v>
      </c>
      <c r="B153" t="s">
        <v>350</v>
      </c>
      <c r="C153" s="1">
        <v>44943</v>
      </c>
      <c r="D153">
        <v>29</v>
      </c>
      <c r="E153" t="s">
        <v>20</v>
      </c>
      <c r="F153" t="s">
        <v>48</v>
      </c>
      <c r="G153" t="s">
        <v>45</v>
      </c>
      <c r="H153">
        <v>140.69</v>
      </c>
      <c r="I153">
        <v>1</v>
      </c>
      <c r="J153">
        <v>0</v>
      </c>
      <c r="K153">
        <v>140.69</v>
      </c>
      <c r="L153" t="s">
        <v>29</v>
      </c>
      <c r="M153" t="s">
        <v>24</v>
      </c>
      <c r="N153">
        <v>22</v>
      </c>
      <c r="O153">
        <v>12</v>
      </c>
      <c r="P153" t="b">
        <v>0</v>
      </c>
      <c r="Q153">
        <v>5</v>
      </c>
      <c r="R153">
        <v>5</v>
      </c>
    </row>
    <row r="154" spans="1:18">
      <c r="A154" t="s">
        <v>351</v>
      </c>
      <c r="B154" t="s">
        <v>352</v>
      </c>
      <c r="C154" s="1">
        <v>44943</v>
      </c>
      <c r="D154">
        <v>61</v>
      </c>
      <c r="E154" t="s">
        <v>20</v>
      </c>
      <c r="F154" t="s">
        <v>36</v>
      </c>
      <c r="G154" t="s">
        <v>22</v>
      </c>
      <c r="H154">
        <v>185.75</v>
      </c>
      <c r="I154">
        <v>1</v>
      </c>
      <c r="J154">
        <v>0</v>
      </c>
      <c r="K154">
        <v>185.75</v>
      </c>
      <c r="L154" t="s">
        <v>49</v>
      </c>
      <c r="M154" t="s">
        <v>24</v>
      </c>
      <c r="N154">
        <v>24</v>
      </c>
      <c r="O154">
        <v>12</v>
      </c>
      <c r="P154" t="b">
        <v>0</v>
      </c>
      <c r="Q154">
        <v>10</v>
      </c>
      <c r="R154">
        <v>5</v>
      </c>
    </row>
    <row r="155" spans="1:18">
      <c r="A155" t="s">
        <v>353</v>
      </c>
      <c r="B155" t="s">
        <v>354</v>
      </c>
      <c r="C155" s="1">
        <v>44943</v>
      </c>
      <c r="D155">
        <v>22</v>
      </c>
      <c r="E155" t="s">
        <v>27</v>
      </c>
      <c r="F155" t="s">
        <v>32</v>
      </c>
      <c r="G155" t="s">
        <v>45</v>
      </c>
      <c r="H155">
        <v>67.22</v>
      </c>
      <c r="I155">
        <v>1</v>
      </c>
      <c r="J155">
        <v>0</v>
      </c>
      <c r="K155">
        <v>67.22</v>
      </c>
      <c r="L155" t="s">
        <v>99</v>
      </c>
      <c r="M155" t="s">
        <v>24</v>
      </c>
      <c r="N155">
        <v>3</v>
      </c>
      <c r="O155">
        <v>8</v>
      </c>
      <c r="P155" t="b">
        <v>1</v>
      </c>
      <c r="Q155">
        <v>6</v>
      </c>
      <c r="R155">
        <v>5</v>
      </c>
    </row>
    <row r="156" spans="1:18">
      <c r="A156" t="s">
        <v>355</v>
      </c>
      <c r="B156" t="s">
        <v>356</v>
      </c>
      <c r="C156" s="1">
        <v>44944</v>
      </c>
      <c r="D156">
        <v>38</v>
      </c>
      <c r="E156" t="s">
        <v>20</v>
      </c>
      <c r="F156" t="s">
        <v>32</v>
      </c>
      <c r="G156" t="s">
        <v>37</v>
      </c>
      <c r="H156">
        <v>1597.61</v>
      </c>
      <c r="I156">
        <v>2</v>
      </c>
      <c r="J156">
        <v>407.84</v>
      </c>
      <c r="K156">
        <v>2787.38</v>
      </c>
      <c r="L156" t="s">
        <v>23</v>
      </c>
      <c r="M156" t="s">
        <v>24</v>
      </c>
      <c r="N156">
        <v>7</v>
      </c>
      <c r="O156">
        <v>10</v>
      </c>
      <c r="P156" t="b">
        <v>1</v>
      </c>
      <c r="Q156">
        <v>7</v>
      </c>
      <c r="R156">
        <v>5</v>
      </c>
    </row>
    <row r="157" spans="1:18">
      <c r="A157" t="s">
        <v>357</v>
      </c>
      <c r="B157" t="s">
        <v>358</v>
      </c>
      <c r="C157" s="1">
        <v>44944</v>
      </c>
      <c r="D157">
        <v>26</v>
      </c>
      <c r="E157" t="s">
        <v>27</v>
      </c>
      <c r="F157" t="s">
        <v>32</v>
      </c>
      <c r="G157" t="s">
        <v>70</v>
      </c>
      <c r="H157">
        <v>51.77</v>
      </c>
      <c r="I157">
        <v>1</v>
      </c>
      <c r="J157">
        <v>4.1900000000000004</v>
      </c>
      <c r="K157">
        <v>47.58</v>
      </c>
      <c r="L157" t="s">
        <v>23</v>
      </c>
      <c r="M157" t="s">
        <v>42</v>
      </c>
      <c r="N157">
        <v>13</v>
      </c>
      <c r="O157">
        <v>10</v>
      </c>
      <c r="P157" t="b">
        <v>0</v>
      </c>
      <c r="Q157">
        <v>2</v>
      </c>
      <c r="R157">
        <v>5</v>
      </c>
    </row>
    <row r="158" spans="1:18">
      <c r="A158" t="s">
        <v>359</v>
      </c>
      <c r="B158" t="s">
        <v>360</v>
      </c>
      <c r="C158" s="1">
        <v>44944</v>
      </c>
      <c r="D158">
        <v>35</v>
      </c>
      <c r="E158" t="s">
        <v>20</v>
      </c>
      <c r="F158" t="s">
        <v>36</v>
      </c>
      <c r="G158" t="s">
        <v>45</v>
      </c>
      <c r="H158">
        <v>128.91</v>
      </c>
      <c r="I158">
        <v>2</v>
      </c>
      <c r="J158">
        <v>11.32</v>
      </c>
      <c r="K158">
        <v>246.5</v>
      </c>
      <c r="L158" t="s">
        <v>29</v>
      </c>
      <c r="M158" t="s">
        <v>42</v>
      </c>
      <c r="N158">
        <v>20</v>
      </c>
      <c r="O158">
        <v>5</v>
      </c>
      <c r="P158" t="b">
        <v>0</v>
      </c>
      <c r="Q158">
        <v>6</v>
      </c>
      <c r="R158">
        <v>4</v>
      </c>
    </row>
    <row r="159" spans="1:18">
      <c r="A159" t="s">
        <v>361</v>
      </c>
      <c r="B159" t="s">
        <v>362</v>
      </c>
      <c r="C159" s="1">
        <v>44944</v>
      </c>
      <c r="D159">
        <v>44</v>
      </c>
      <c r="E159" t="s">
        <v>27</v>
      </c>
      <c r="F159" t="s">
        <v>124</v>
      </c>
      <c r="G159" t="s">
        <v>40</v>
      </c>
      <c r="H159">
        <v>701.14</v>
      </c>
      <c r="I159">
        <v>5</v>
      </c>
      <c r="J159">
        <v>0</v>
      </c>
      <c r="K159">
        <v>3505.7</v>
      </c>
      <c r="L159" t="s">
        <v>29</v>
      </c>
      <c r="M159" t="s">
        <v>24</v>
      </c>
      <c r="N159">
        <v>17</v>
      </c>
      <c r="O159">
        <v>7</v>
      </c>
      <c r="P159" t="b">
        <v>0</v>
      </c>
      <c r="Q159">
        <v>1</v>
      </c>
      <c r="R159">
        <v>5</v>
      </c>
    </row>
    <row r="160" spans="1:18">
      <c r="A160" t="s">
        <v>363</v>
      </c>
      <c r="B160" t="s">
        <v>364</v>
      </c>
      <c r="C160" s="1">
        <v>44945</v>
      </c>
      <c r="D160">
        <v>19</v>
      </c>
      <c r="E160" t="s">
        <v>27</v>
      </c>
      <c r="F160" t="s">
        <v>36</v>
      </c>
      <c r="G160" t="s">
        <v>33</v>
      </c>
      <c r="H160">
        <v>104.98</v>
      </c>
      <c r="I160">
        <v>1</v>
      </c>
      <c r="J160">
        <v>0</v>
      </c>
      <c r="K160">
        <v>104.98</v>
      </c>
      <c r="L160" t="s">
        <v>99</v>
      </c>
      <c r="M160" t="s">
        <v>24</v>
      </c>
      <c r="N160">
        <v>13</v>
      </c>
      <c r="O160">
        <v>5</v>
      </c>
      <c r="P160" t="b">
        <v>1</v>
      </c>
      <c r="Q160">
        <v>6</v>
      </c>
      <c r="R160">
        <v>4</v>
      </c>
    </row>
    <row r="161" spans="1:18">
      <c r="A161" t="s">
        <v>365</v>
      </c>
      <c r="B161" t="s">
        <v>366</v>
      </c>
      <c r="C161" s="1">
        <v>44945</v>
      </c>
      <c r="D161">
        <v>46</v>
      </c>
      <c r="E161" t="s">
        <v>27</v>
      </c>
      <c r="F161" t="s">
        <v>36</v>
      </c>
      <c r="G161" t="s">
        <v>37</v>
      </c>
      <c r="H161">
        <v>547.73</v>
      </c>
      <c r="I161">
        <v>4</v>
      </c>
      <c r="J161">
        <v>111.92</v>
      </c>
      <c r="K161">
        <v>2079</v>
      </c>
      <c r="L161" t="s">
        <v>29</v>
      </c>
      <c r="M161" t="s">
        <v>42</v>
      </c>
      <c r="N161">
        <v>11</v>
      </c>
      <c r="O161">
        <v>9</v>
      </c>
      <c r="P161" t="b">
        <v>0</v>
      </c>
      <c r="Q161">
        <v>4</v>
      </c>
      <c r="R161">
        <v>1</v>
      </c>
    </row>
    <row r="162" spans="1:18">
      <c r="A162" t="s">
        <v>367</v>
      </c>
      <c r="B162" t="s">
        <v>368</v>
      </c>
      <c r="C162" s="1">
        <v>44945</v>
      </c>
      <c r="D162">
        <v>18</v>
      </c>
      <c r="E162" t="s">
        <v>20</v>
      </c>
      <c r="F162" t="s">
        <v>36</v>
      </c>
      <c r="G162" t="s">
        <v>45</v>
      </c>
      <c r="H162">
        <v>143.88</v>
      </c>
      <c r="I162">
        <v>2</v>
      </c>
      <c r="J162">
        <v>0</v>
      </c>
      <c r="K162">
        <v>287.76</v>
      </c>
      <c r="L162" t="s">
        <v>29</v>
      </c>
      <c r="M162" t="s">
        <v>24</v>
      </c>
      <c r="N162">
        <v>1</v>
      </c>
      <c r="O162">
        <v>6</v>
      </c>
      <c r="P162" t="b">
        <v>1</v>
      </c>
      <c r="Q162">
        <v>4</v>
      </c>
      <c r="R162">
        <v>4</v>
      </c>
    </row>
    <row r="163" spans="1:18">
      <c r="A163" t="s">
        <v>369</v>
      </c>
      <c r="B163" t="s">
        <v>370</v>
      </c>
      <c r="C163" s="1">
        <v>44945</v>
      </c>
      <c r="D163">
        <v>35</v>
      </c>
      <c r="E163" t="s">
        <v>27</v>
      </c>
      <c r="F163" t="s">
        <v>32</v>
      </c>
      <c r="G163" t="s">
        <v>40</v>
      </c>
      <c r="H163">
        <v>87.07</v>
      </c>
      <c r="I163">
        <v>3</v>
      </c>
      <c r="J163">
        <v>0</v>
      </c>
      <c r="K163">
        <v>261.20999999999998</v>
      </c>
      <c r="L163" t="s">
        <v>23</v>
      </c>
      <c r="M163" t="s">
        <v>42</v>
      </c>
      <c r="N163">
        <v>6</v>
      </c>
      <c r="O163">
        <v>8</v>
      </c>
      <c r="P163" t="b">
        <v>0</v>
      </c>
      <c r="Q163">
        <v>6</v>
      </c>
      <c r="R163">
        <v>3</v>
      </c>
    </row>
    <row r="164" spans="1:18">
      <c r="A164" t="s">
        <v>371</v>
      </c>
      <c r="B164" t="s">
        <v>372</v>
      </c>
      <c r="C164" s="1">
        <v>44945</v>
      </c>
      <c r="D164">
        <v>34</v>
      </c>
      <c r="E164" t="s">
        <v>20</v>
      </c>
      <c r="F164" t="s">
        <v>83</v>
      </c>
      <c r="G164" t="s">
        <v>33</v>
      </c>
      <c r="H164">
        <v>61.34</v>
      </c>
      <c r="I164">
        <v>1</v>
      </c>
      <c r="J164">
        <v>13.77</v>
      </c>
      <c r="K164">
        <v>47.57</v>
      </c>
      <c r="L164" t="s">
        <v>49</v>
      </c>
      <c r="M164" t="s">
        <v>42</v>
      </c>
      <c r="N164">
        <v>27</v>
      </c>
      <c r="O164">
        <v>9</v>
      </c>
      <c r="P164" t="b">
        <v>0</v>
      </c>
      <c r="Q164">
        <v>16</v>
      </c>
      <c r="R164">
        <v>4</v>
      </c>
    </row>
    <row r="165" spans="1:18">
      <c r="A165" t="s">
        <v>373</v>
      </c>
      <c r="B165" t="s">
        <v>374</v>
      </c>
      <c r="C165" s="1">
        <v>44945</v>
      </c>
      <c r="D165">
        <v>24</v>
      </c>
      <c r="E165" t="s">
        <v>27</v>
      </c>
      <c r="F165" t="s">
        <v>48</v>
      </c>
      <c r="G165" t="s">
        <v>33</v>
      </c>
      <c r="H165">
        <v>79.58</v>
      </c>
      <c r="I165">
        <v>2</v>
      </c>
      <c r="J165">
        <v>0</v>
      </c>
      <c r="K165">
        <v>159.16</v>
      </c>
      <c r="L165" t="s">
        <v>49</v>
      </c>
      <c r="M165" t="s">
        <v>24</v>
      </c>
      <c r="N165">
        <v>18</v>
      </c>
      <c r="O165">
        <v>10</v>
      </c>
      <c r="P165" t="b">
        <v>1</v>
      </c>
      <c r="Q165">
        <v>4</v>
      </c>
      <c r="R165">
        <v>5</v>
      </c>
    </row>
    <row r="166" spans="1:18">
      <c r="A166" t="s">
        <v>375</v>
      </c>
      <c r="B166" t="s">
        <v>376</v>
      </c>
      <c r="C166" s="1">
        <v>44945</v>
      </c>
      <c r="D166">
        <v>29</v>
      </c>
      <c r="E166" t="s">
        <v>20</v>
      </c>
      <c r="F166" t="s">
        <v>36</v>
      </c>
      <c r="G166" t="s">
        <v>40</v>
      </c>
      <c r="H166">
        <v>521.91</v>
      </c>
      <c r="I166">
        <v>1</v>
      </c>
      <c r="J166">
        <v>0</v>
      </c>
      <c r="K166">
        <v>521.91</v>
      </c>
      <c r="L166" t="s">
        <v>29</v>
      </c>
      <c r="M166" t="s">
        <v>24</v>
      </c>
      <c r="N166">
        <v>27</v>
      </c>
      <c r="O166">
        <v>10</v>
      </c>
      <c r="P166" t="b">
        <v>1</v>
      </c>
      <c r="Q166">
        <v>6</v>
      </c>
      <c r="R166">
        <v>4</v>
      </c>
    </row>
    <row r="167" spans="1:18">
      <c r="A167" t="s">
        <v>377</v>
      </c>
      <c r="B167" t="s">
        <v>378</v>
      </c>
      <c r="C167" s="1">
        <v>44945</v>
      </c>
      <c r="D167">
        <v>19</v>
      </c>
      <c r="E167" t="s">
        <v>20</v>
      </c>
      <c r="F167" t="s">
        <v>36</v>
      </c>
      <c r="G167" t="s">
        <v>70</v>
      </c>
      <c r="H167">
        <v>62.09</v>
      </c>
      <c r="I167">
        <v>2</v>
      </c>
      <c r="J167">
        <v>0</v>
      </c>
      <c r="K167">
        <v>124.18</v>
      </c>
      <c r="L167" t="s">
        <v>49</v>
      </c>
      <c r="M167" t="s">
        <v>24</v>
      </c>
      <c r="N167">
        <v>23</v>
      </c>
      <c r="O167">
        <v>11</v>
      </c>
      <c r="P167" t="b">
        <v>1</v>
      </c>
      <c r="Q167">
        <v>12</v>
      </c>
      <c r="R167">
        <v>5</v>
      </c>
    </row>
    <row r="168" spans="1:18">
      <c r="A168" t="s">
        <v>379</v>
      </c>
      <c r="B168" t="s">
        <v>380</v>
      </c>
      <c r="C168" s="1">
        <v>44945</v>
      </c>
      <c r="D168">
        <v>18</v>
      </c>
      <c r="E168" t="s">
        <v>20</v>
      </c>
      <c r="F168" t="s">
        <v>32</v>
      </c>
      <c r="G168" t="s">
        <v>37</v>
      </c>
      <c r="H168">
        <v>3218.66</v>
      </c>
      <c r="I168">
        <v>2</v>
      </c>
      <c r="J168">
        <v>0</v>
      </c>
      <c r="K168">
        <v>6437.32</v>
      </c>
      <c r="L168" t="s">
        <v>49</v>
      </c>
      <c r="M168" t="s">
        <v>24</v>
      </c>
      <c r="N168">
        <v>19</v>
      </c>
      <c r="O168">
        <v>7</v>
      </c>
      <c r="P168" t="b">
        <v>0</v>
      </c>
      <c r="Q168">
        <v>8</v>
      </c>
      <c r="R168">
        <v>4</v>
      </c>
    </row>
    <row r="169" spans="1:18">
      <c r="A169" t="s">
        <v>381</v>
      </c>
      <c r="B169" t="s">
        <v>382</v>
      </c>
      <c r="C169" s="1">
        <v>44946</v>
      </c>
      <c r="D169">
        <v>28</v>
      </c>
      <c r="E169" t="s">
        <v>20</v>
      </c>
      <c r="F169" t="s">
        <v>36</v>
      </c>
      <c r="G169" t="s">
        <v>22</v>
      </c>
      <c r="H169">
        <v>127.29</v>
      </c>
      <c r="I169">
        <v>2</v>
      </c>
      <c r="J169">
        <v>0</v>
      </c>
      <c r="K169">
        <v>254.58</v>
      </c>
      <c r="L169" t="s">
        <v>23</v>
      </c>
      <c r="M169" t="s">
        <v>42</v>
      </c>
      <c r="N169">
        <v>9</v>
      </c>
      <c r="O169">
        <v>15</v>
      </c>
      <c r="P169" t="b">
        <v>1</v>
      </c>
      <c r="Q169">
        <v>8</v>
      </c>
      <c r="R169">
        <v>5</v>
      </c>
    </row>
    <row r="170" spans="1:18">
      <c r="A170" t="s">
        <v>383</v>
      </c>
      <c r="B170" t="s">
        <v>384</v>
      </c>
      <c r="C170" s="1">
        <v>44946</v>
      </c>
      <c r="D170">
        <v>28</v>
      </c>
      <c r="E170" t="s">
        <v>27</v>
      </c>
      <c r="F170" t="s">
        <v>32</v>
      </c>
      <c r="G170" t="s">
        <v>40</v>
      </c>
      <c r="H170">
        <v>491.27</v>
      </c>
      <c r="I170">
        <v>1</v>
      </c>
      <c r="J170">
        <v>0</v>
      </c>
      <c r="K170">
        <v>491.27</v>
      </c>
      <c r="L170" t="s">
        <v>29</v>
      </c>
      <c r="M170" t="s">
        <v>42</v>
      </c>
      <c r="N170">
        <v>10</v>
      </c>
      <c r="O170">
        <v>7</v>
      </c>
      <c r="P170" t="b">
        <v>1</v>
      </c>
      <c r="Q170">
        <v>4</v>
      </c>
      <c r="R170">
        <v>5</v>
      </c>
    </row>
    <row r="171" spans="1:18">
      <c r="A171" t="s">
        <v>385</v>
      </c>
      <c r="B171" t="s">
        <v>386</v>
      </c>
      <c r="C171" s="1">
        <v>44946</v>
      </c>
      <c r="D171">
        <v>34</v>
      </c>
      <c r="E171" t="s">
        <v>27</v>
      </c>
      <c r="F171" t="s">
        <v>36</v>
      </c>
      <c r="G171" t="s">
        <v>70</v>
      </c>
      <c r="H171">
        <v>87.03</v>
      </c>
      <c r="I171">
        <v>1</v>
      </c>
      <c r="J171">
        <v>0</v>
      </c>
      <c r="K171">
        <v>87.03</v>
      </c>
      <c r="L171" t="s">
        <v>99</v>
      </c>
      <c r="M171" t="s">
        <v>42</v>
      </c>
      <c r="N171">
        <v>21</v>
      </c>
      <c r="O171">
        <v>13</v>
      </c>
      <c r="P171" t="b">
        <v>0</v>
      </c>
      <c r="Q171">
        <v>8</v>
      </c>
      <c r="R171">
        <v>5</v>
      </c>
    </row>
    <row r="172" spans="1:18">
      <c r="A172" t="s">
        <v>387</v>
      </c>
      <c r="B172" t="s">
        <v>388</v>
      </c>
      <c r="C172" s="1">
        <v>44946</v>
      </c>
      <c r="D172">
        <v>28</v>
      </c>
      <c r="E172" t="s">
        <v>27</v>
      </c>
      <c r="F172" t="s">
        <v>124</v>
      </c>
      <c r="G172" t="s">
        <v>70</v>
      </c>
      <c r="H172">
        <v>60.16</v>
      </c>
      <c r="I172">
        <v>1</v>
      </c>
      <c r="J172">
        <v>13.38</v>
      </c>
      <c r="K172">
        <v>46.78</v>
      </c>
      <c r="L172" t="s">
        <v>23</v>
      </c>
      <c r="M172" t="s">
        <v>42</v>
      </c>
      <c r="N172">
        <v>10</v>
      </c>
      <c r="O172">
        <v>3</v>
      </c>
      <c r="P172" t="b">
        <v>1</v>
      </c>
      <c r="Q172">
        <v>16</v>
      </c>
      <c r="R172">
        <v>4</v>
      </c>
    </row>
    <row r="173" spans="1:18">
      <c r="A173" t="s">
        <v>389</v>
      </c>
      <c r="B173" t="s">
        <v>390</v>
      </c>
      <c r="C173" s="1">
        <v>44946</v>
      </c>
      <c r="D173">
        <v>26</v>
      </c>
      <c r="E173" t="s">
        <v>20</v>
      </c>
      <c r="F173" t="s">
        <v>83</v>
      </c>
      <c r="G173" t="s">
        <v>45</v>
      </c>
      <c r="H173">
        <v>134.9</v>
      </c>
      <c r="I173">
        <v>1</v>
      </c>
      <c r="J173">
        <v>0</v>
      </c>
      <c r="K173">
        <v>134.9</v>
      </c>
      <c r="L173" t="s">
        <v>99</v>
      </c>
      <c r="M173" t="s">
        <v>24</v>
      </c>
      <c r="N173">
        <v>1</v>
      </c>
      <c r="O173">
        <v>11</v>
      </c>
      <c r="P173" t="b">
        <v>1</v>
      </c>
      <c r="Q173">
        <v>5</v>
      </c>
      <c r="R173">
        <v>4</v>
      </c>
    </row>
    <row r="174" spans="1:18">
      <c r="A174" t="s">
        <v>391</v>
      </c>
      <c r="B174" t="s">
        <v>392</v>
      </c>
      <c r="C174" s="1">
        <v>44946</v>
      </c>
      <c r="D174">
        <v>32</v>
      </c>
      <c r="E174" t="s">
        <v>27</v>
      </c>
      <c r="F174" t="s">
        <v>48</v>
      </c>
      <c r="G174" t="s">
        <v>54</v>
      </c>
      <c r="H174">
        <v>197.92</v>
      </c>
      <c r="I174">
        <v>1</v>
      </c>
      <c r="J174">
        <v>0</v>
      </c>
      <c r="K174">
        <v>197.92</v>
      </c>
      <c r="L174" t="s">
        <v>29</v>
      </c>
      <c r="M174" t="s">
        <v>42</v>
      </c>
      <c r="N174">
        <v>23</v>
      </c>
      <c r="O174">
        <v>8</v>
      </c>
      <c r="P174" t="b">
        <v>0</v>
      </c>
      <c r="Q174">
        <v>6</v>
      </c>
      <c r="R174">
        <v>1</v>
      </c>
    </row>
    <row r="175" spans="1:18">
      <c r="A175" t="s">
        <v>393</v>
      </c>
      <c r="B175" t="s">
        <v>394</v>
      </c>
      <c r="C175" s="1">
        <v>44946</v>
      </c>
      <c r="D175">
        <v>39</v>
      </c>
      <c r="E175" t="s">
        <v>20</v>
      </c>
      <c r="F175" t="s">
        <v>28</v>
      </c>
      <c r="G175" t="s">
        <v>33</v>
      </c>
      <c r="H175">
        <v>146.34</v>
      </c>
      <c r="I175">
        <v>5</v>
      </c>
      <c r="J175">
        <v>32.090000000000003</v>
      </c>
      <c r="K175">
        <v>699.61</v>
      </c>
      <c r="L175" t="s">
        <v>49</v>
      </c>
      <c r="M175" t="s">
        <v>24</v>
      </c>
      <c r="N175">
        <v>19</v>
      </c>
      <c r="O175">
        <v>9</v>
      </c>
      <c r="P175" t="b">
        <v>1</v>
      </c>
      <c r="Q175">
        <v>6</v>
      </c>
      <c r="R175">
        <v>3</v>
      </c>
    </row>
    <row r="176" spans="1:18">
      <c r="A176" t="s">
        <v>395</v>
      </c>
      <c r="B176" t="s">
        <v>396</v>
      </c>
      <c r="C176" s="1">
        <v>44946</v>
      </c>
      <c r="D176">
        <v>29</v>
      </c>
      <c r="E176" t="s">
        <v>27</v>
      </c>
      <c r="F176" t="s">
        <v>36</v>
      </c>
      <c r="G176" t="s">
        <v>67</v>
      </c>
      <c r="H176">
        <v>923.93</v>
      </c>
      <c r="I176">
        <v>1</v>
      </c>
      <c r="J176">
        <v>0</v>
      </c>
      <c r="K176">
        <v>923.93</v>
      </c>
      <c r="L176" t="s">
        <v>29</v>
      </c>
      <c r="M176" t="s">
        <v>24</v>
      </c>
      <c r="N176">
        <v>30</v>
      </c>
      <c r="O176">
        <v>11</v>
      </c>
      <c r="P176" t="b">
        <v>0</v>
      </c>
      <c r="Q176">
        <v>2</v>
      </c>
      <c r="R176">
        <v>5</v>
      </c>
    </row>
    <row r="177" spans="1:18">
      <c r="A177" t="s">
        <v>397</v>
      </c>
      <c r="B177" t="s">
        <v>398</v>
      </c>
      <c r="C177" s="1">
        <v>44946</v>
      </c>
      <c r="D177">
        <v>18</v>
      </c>
      <c r="E177" t="s">
        <v>20</v>
      </c>
      <c r="F177" t="s">
        <v>36</v>
      </c>
      <c r="G177" t="s">
        <v>33</v>
      </c>
      <c r="H177">
        <v>126.38</v>
      </c>
      <c r="I177">
        <v>4</v>
      </c>
      <c r="J177">
        <v>0</v>
      </c>
      <c r="K177">
        <v>505.52</v>
      </c>
      <c r="L177" t="s">
        <v>23</v>
      </c>
      <c r="M177" t="s">
        <v>42</v>
      </c>
      <c r="N177">
        <v>34</v>
      </c>
      <c r="O177">
        <v>9</v>
      </c>
      <c r="P177" t="b">
        <v>0</v>
      </c>
      <c r="Q177">
        <v>13</v>
      </c>
      <c r="R177">
        <v>5</v>
      </c>
    </row>
    <row r="178" spans="1:18">
      <c r="A178" t="s">
        <v>399</v>
      </c>
      <c r="B178" t="s">
        <v>400</v>
      </c>
      <c r="C178" s="1">
        <v>44947</v>
      </c>
      <c r="D178">
        <v>18</v>
      </c>
      <c r="E178" t="s">
        <v>20</v>
      </c>
      <c r="F178" t="s">
        <v>36</v>
      </c>
      <c r="G178" t="s">
        <v>40</v>
      </c>
      <c r="H178">
        <v>449.73</v>
      </c>
      <c r="I178">
        <v>1</v>
      </c>
      <c r="J178">
        <v>91.42</v>
      </c>
      <c r="K178">
        <v>358.31</v>
      </c>
      <c r="L178" t="s">
        <v>23</v>
      </c>
      <c r="M178" t="s">
        <v>42</v>
      </c>
      <c r="N178">
        <v>14</v>
      </c>
      <c r="O178">
        <v>12</v>
      </c>
      <c r="P178" t="b">
        <v>1</v>
      </c>
      <c r="Q178">
        <v>6</v>
      </c>
      <c r="R178">
        <v>4</v>
      </c>
    </row>
    <row r="179" spans="1:18">
      <c r="A179" t="s">
        <v>401</v>
      </c>
      <c r="B179" t="s">
        <v>402</v>
      </c>
      <c r="C179" s="1">
        <v>44947</v>
      </c>
      <c r="D179">
        <v>49</v>
      </c>
      <c r="E179" t="s">
        <v>20</v>
      </c>
      <c r="F179" t="s">
        <v>48</v>
      </c>
      <c r="G179" t="s">
        <v>67</v>
      </c>
      <c r="H179">
        <v>1633.66</v>
      </c>
      <c r="I179">
        <v>1</v>
      </c>
      <c r="J179">
        <v>0</v>
      </c>
      <c r="K179">
        <v>1633.66</v>
      </c>
      <c r="L179" t="s">
        <v>29</v>
      </c>
      <c r="M179" t="s">
        <v>24</v>
      </c>
      <c r="N179">
        <v>8</v>
      </c>
      <c r="O179">
        <v>12</v>
      </c>
      <c r="P179" t="b">
        <v>1</v>
      </c>
      <c r="Q179">
        <v>1</v>
      </c>
      <c r="R179">
        <v>3</v>
      </c>
    </row>
    <row r="180" spans="1:18">
      <c r="A180" t="s">
        <v>403</v>
      </c>
      <c r="B180" t="s">
        <v>404</v>
      </c>
      <c r="C180" s="1">
        <v>44947</v>
      </c>
      <c r="D180">
        <v>25</v>
      </c>
      <c r="E180" t="s">
        <v>27</v>
      </c>
      <c r="F180" t="s">
        <v>36</v>
      </c>
      <c r="G180" t="s">
        <v>54</v>
      </c>
      <c r="H180">
        <v>169.49</v>
      </c>
      <c r="I180">
        <v>1</v>
      </c>
      <c r="J180">
        <v>0</v>
      </c>
      <c r="K180">
        <v>169.49</v>
      </c>
      <c r="L180" t="s">
        <v>29</v>
      </c>
      <c r="M180" t="s">
        <v>42</v>
      </c>
      <c r="N180">
        <v>12</v>
      </c>
      <c r="O180">
        <v>9</v>
      </c>
      <c r="P180" t="b">
        <v>1</v>
      </c>
      <c r="Q180">
        <v>2</v>
      </c>
      <c r="R180">
        <v>5</v>
      </c>
    </row>
    <row r="181" spans="1:18">
      <c r="A181" t="s">
        <v>405</v>
      </c>
      <c r="B181" t="s">
        <v>406</v>
      </c>
      <c r="C181" s="1">
        <v>44947</v>
      </c>
      <c r="D181">
        <v>32</v>
      </c>
      <c r="E181" t="s">
        <v>27</v>
      </c>
      <c r="F181" t="s">
        <v>32</v>
      </c>
      <c r="G181" t="s">
        <v>40</v>
      </c>
      <c r="H181">
        <v>428.67</v>
      </c>
      <c r="I181">
        <v>2</v>
      </c>
      <c r="J181">
        <v>0</v>
      </c>
      <c r="K181">
        <v>857.34</v>
      </c>
      <c r="L181" t="s">
        <v>29</v>
      </c>
      <c r="M181" t="s">
        <v>24</v>
      </c>
      <c r="N181">
        <v>8</v>
      </c>
      <c r="O181">
        <v>6</v>
      </c>
      <c r="P181" t="b">
        <v>1</v>
      </c>
      <c r="Q181">
        <v>12</v>
      </c>
      <c r="R181">
        <v>3</v>
      </c>
    </row>
    <row r="182" spans="1:18">
      <c r="A182" t="s">
        <v>407</v>
      </c>
      <c r="B182" t="s">
        <v>408</v>
      </c>
      <c r="C182" s="1">
        <v>44947</v>
      </c>
      <c r="D182">
        <v>51</v>
      </c>
      <c r="E182" t="s">
        <v>27</v>
      </c>
      <c r="F182" t="s">
        <v>36</v>
      </c>
      <c r="G182" t="s">
        <v>45</v>
      </c>
      <c r="H182">
        <v>60.69</v>
      </c>
      <c r="I182">
        <v>1</v>
      </c>
      <c r="J182">
        <v>0</v>
      </c>
      <c r="K182">
        <v>60.69</v>
      </c>
      <c r="L182" t="s">
        <v>29</v>
      </c>
      <c r="M182" t="s">
        <v>55</v>
      </c>
      <c r="N182">
        <v>4</v>
      </c>
      <c r="O182">
        <v>5</v>
      </c>
      <c r="P182" t="b">
        <v>1</v>
      </c>
      <c r="Q182">
        <v>6</v>
      </c>
      <c r="R182">
        <v>4</v>
      </c>
    </row>
    <row r="183" spans="1:18">
      <c r="A183" t="s">
        <v>409</v>
      </c>
      <c r="B183" t="s">
        <v>410</v>
      </c>
      <c r="C183" s="1">
        <v>44947</v>
      </c>
      <c r="D183">
        <v>45</v>
      </c>
      <c r="E183" t="s">
        <v>20</v>
      </c>
      <c r="F183" t="s">
        <v>36</v>
      </c>
      <c r="G183" t="s">
        <v>45</v>
      </c>
      <c r="H183">
        <v>130.44</v>
      </c>
      <c r="I183">
        <v>1</v>
      </c>
      <c r="J183">
        <v>25.02</v>
      </c>
      <c r="K183">
        <v>105.42</v>
      </c>
      <c r="L183" t="s">
        <v>29</v>
      </c>
      <c r="M183" t="s">
        <v>24</v>
      </c>
      <c r="N183">
        <v>13</v>
      </c>
      <c r="O183">
        <v>12</v>
      </c>
      <c r="P183" t="b">
        <v>1</v>
      </c>
      <c r="Q183">
        <v>6</v>
      </c>
      <c r="R183">
        <v>4</v>
      </c>
    </row>
    <row r="184" spans="1:18">
      <c r="A184" t="s">
        <v>411</v>
      </c>
      <c r="B184" t="s">
        <v>412</v>
      </c>
      <c r="C184" s="1">
        <v>44947</v>
      </c>
      <c r="D184">
        <v>25</v>
      </c>
      <c r="E184" t="s">
        <v>27</v>
      </c>
      <c r="F184" t="s">
        <v>36</v>
      </c>
      <c r="G184" t="s">
        <v>45</v>
      </c>
      <c r="H184">
        <v>231.31</v>
      </c>
      <c r="I184">
        <v>3</v>
      </c>
      <c r="J184">
        <v>0</v>
      </c>
      <c r="K184">
        <v>693.93</v>
      </c>
      <c r="L184" t="s">
        <v>23</v>
      </c>
      <c r="M184" t="s">
        <v>42</v>
      </c>
      <c r="N184">
        <v>9</v>
      </c>
      <c r="O184">
        <v>8</v>
      </c>
      <c r="P184" t="b">
        <v>0</v>
      </c>
      <c r="Q184">
        <v>13</v>
      </c>
      <c r="R184">
        <v>5</v>
      </c>
    </row>
    <row r="185" spans="1:18">
      <c r="A185" t="s">
        <v>413</v>
      </c>
      <c r="B185" t="s">
        <v>414</v>
      </c>
      <c r="C185" s="1">
        <v>44947</v>
      </c>
      <c r="D185">
        <v>22</v>
      </c>
      <c r="E185" t="s">
        <v>27</v>
      </c>
      <c r="F185" t="s">
        <v>21</v>
      </c>
      <c r="G185" t="s">
        <v>33</v>
      </c>
      <c r="H185">
        <v>132.72</v>
      </c>
      <c r="I185">
        <v>4</v>
      </c>
      <c r="J185">
        <v>0</v>
      </c>
      <c r="K185">
        <v>530.88</v>
      </c>
      <c r="L185" t="s">
        <v>49</v>
      </c>
      <c r="M185" t="s">
        <v>24</v>
      </c>
      <c r="N185">
        <v>19</v>
      </c>
      <c r="O185">
        <v>9</v>
      </c>
      <c r="P185" t="b">
        <v>0</v>
      </c>
      <c r="Q185">
        <v>14</v>
      </c>
      <c r="R185">
        <v>5</v>
      </c>
    </row>
    <row r="186" spans="1:18">
      <c r="A186" t="s">
        <v>415</v>
      </c>
      <c r="B186" t="s">
        <v>416</v>
      </c>
      <c r="C186" s="1">
        <v>44947</v>
      </c>
      <c r="D186">
        <v>23</v>
      </c>
      <c r="E186" t="s">
        <v>27</v>
      </c>
      <c r="F186" t="s">
        <v>124</v>
      </c>
      <c r="G186" t="s">
        <v>22</v>
      </c>
      <c r="H186">
        <v>64.55</v>
      </c>
      <c r="I186">
        <v>3</v>
      </c>
      <c r="J186">
        <v>0</v>
      </c>
      <c r="K186">
        <v>193.65</v>
      </c>
      <c r="L186" t="s">
        <v>23</v>
      </c>
      <c r="M186" t="s">
        <v>42</v>
      </c>
      <c r="N186">
        <v>10</v>
      </c>
      <c r="O186">
        <v>6</v>
      </c>
      <c r="P186" t="b">
        <v>1</v>
      </c>
      <c r="Q186">
        <v>4</v>
      </c>
      <c r="R186">
        <v>5</v>
      </c>
    </row>
    <row r="187" spans="1:18">
      <c r="A187" t="s">
        <v>417</v>
      </c>
      <c r="B187" t="s">
        <v>418</v>
      </c>
      <c r="C187" s="1">
        <v>44947</v>
      </c>
      <c r="D187">
        <v>57</v>
      </c>
      <c r="E187" t="s">
        <v>27</v>
      </c>
      <c r="F187" t="s">
        <v>48</v>
      </c>
      <c r="G187" t="s">
        <v>37</v>
      </c>
      <c r="H187">
        <v>487.6</v>
      </c>
      <c r="I187">
        <v>1</v>
      </c>
      <c r="J187">
        <v>0</v>
      </c>
      <c r="K187">
        <v>487.6</v>
      </c>
      <c r="L187" t="s">
        <v>29</v>
      </c>
      <c r="M187" t="s">
        <v>24</v>
      </c>
      <c r="N187">
        <v>7</v>
      </c>
      <c r="O187">
        <v>13</v>
      </c>
      <c r="P187" t="b">
        <v>1</v>
      </c>
      <c r="Q187">
        <v>3</v>
      </c>
      <c r="R187">
        <v>4</v>
      </c>
    </row>
    <row r="188" spans="1:18">
      <c r="A188" t="s">
        <v>419</v>
      </c>
      <c r="B188" t="s">
        <v>420</v>
      </c>
      <c r="C188" s="1">
        <v>44947</v>
      </c>
      <c r="D188">
        <v>42</v>
      </c>
      <c r="E188" t="s">
        <v>27</v>
      </c>
      <c r="F188" t="s">
        <v>83</v>
      </c>
      <c r="G188" t="s">
        <v>70</v>
      </c>
      <c r="H188">
        <v>36.1</v>
      </c>
      <c r="I188">
        <v>3</v>
      </c>
      <c r="J188">
        <v>5.01</v>
      </c>
      <c r="K188">
        <v>103.29</v>
      </c>
      <c r="L188" t="s">
        <v>23</v>
      </c>
      <c r="M188" t="s">
        <v>55</v>
      </c>
      <c r="N188">
        <v>52</v>
      </c>
      <c r="O188">
        <v>7</v>
      </c>
      <c r="P188" t="b">
        <v>1</v>
      </c>
      <c r="Q188">
        <v>4</v>
      </c>
      <c r="R188">
        <v>4</v>
      </c>
    </row>
    <row r="189" spans="1:18">
      <c r="A189" t="s">
        <v>421</v>
      </c>
      <c r="B189" t="s">
        <v>422</v>
      </c>
      <c r="C189" s="1">
        <v>44948</v>
      </c>
      <c r="D189">
        <v>52</v>
      </c>
      <c r="E189" t="s">
        <v>20</v>
      </c>
      <c r="F189" t="s">
        <v>21</v>
      </c>
      <c r="G189" t="s">
        <v>37</v>
      </c>
      <c r="H189">
        <v>387.29</v>
      </c>
      <c r="I189">
        <v>1</v>
      </c>
      <c r="J189">
        <v>0</v>
      </c>
      <c r="K189">
        <v>387.29</v>
      </c>
      <c r="L189" t="s">
        <v>49</v>
      </c>
      <c r="M189" t="s">
        <v>24</v>
      </c>
      <c r="N189">
        <v>4</v>
      </c>
      <c r="O189">
        <v>7</v>
      </c>
      <c r="P189" t="b">
        <v>1</v>
      </c>
      <c r="Q189">
        <v>5</v>
      </c>
      <c r="R189">
        <v>5</v>
      </c>
    </row>
    <row r="190" spans="1:18">
      <c r="A190" t="s">
        <v>423</v>
      </c>
      <c r="B190" t="s">
        <v>424</v>
      </c>
      <c r="C190" s="1">
        <v>44948</v>
      </c>
      <c r="D190">
        <v>30</v>
      </c>
      <c r="E190" t="s">
        <v>27</v>
      </c>
      <c r="F190" t="s">
        <v>88</v>
      </c>
      <c r="G190" t="s">
        <v>37</v>
      </c>
      <c r="H190">
        <v>885.38</v>
      </c>
      <c r="I190">
        <v>1</v>
      </c>
      <c r="J190">
        <v>0</v>
      </c>
      <c r="K190">
        <v>885.38</v>
      </c>
      <c r="L190" t="s">
        <v>23</v>
      </c>
      <c r="M190" t="s">
        <v>24</v>
      </c>
      <c r="N190">
        <v>11</v>
      </c>
      <c r="O190">
        <v>14</v>
      </c>
      <c r="P190" t="b">
        <v>1</v>
      </c>
      <c r="Q190">
        <v>5</v>
      </c>
      <c r="R190">
        <v>5</v>
      </c>
    </row>
    <row r="191" spans="1:18">
      <c r="A191" t="s">
        <v>425</v>
      </c>
      <c r="B191" t="s">
        <v>426</v>
      </c>
      <c r="C191" s="1">
        <v>44948</v>
      </c>
      <c r="D191">
        <v>58</v>
      </c>
      <c r="E191" t="s">
        <v>27</v>
      </c>
      <c r="F191" t="s">
        <v>88</v>
      </c>
      <c r="G191" t="s">
        <v>45</v>
      </c>
      <c r="H191">
        <v>39.42</v>
      </c>
      <c r="I191">
        <v>3</v>
      </c>
      <c r="J191">
        <v>0</v>
      </c>
      <c r="K191">
        <v>118.26</v>
      </c>
      <c r="L191" t="s">
        <v>41</v>
      </c>
      <c r="M191" t="s">
        <v>55</v>
      </c>
      <c r="N191">
        <v>11</v>
      </c>
      <c r="O191">
        <v>7</v>
      </c>
      <c r="P191" t="b">
        <v>1</v>
      </c>
      <c r="Q191">
        <v>13</v>
      </c>
      <c r="R191">
        <v>4</v>
      </c>
    </row>
    <row r="192" spans="1:18">
      <c r="A192" t="s">
        <v>427</v>
      </c>
      <c r="B192" t="s">
        <v>428</v>
      </c>
      <c r="C192" s="1">
        <v>44948</v>
      </c>
      <c r="D192">
        <v>44</v>
      </c>
      <c r="E192" t="s">
        <v>27</v>
      </c>
      <c r="F192" t="s">
        <v>48</v>
      </c>
      <c r="G192" t="s">
        <v>33</v>
      </c>
      <c r="H192">
        <v>32.049999999999997</v>
      </c>
      <c r="I192">
        <v>5</v>
      </c>
      <c r="J192">
        <v>0</v>
      </c>
      <c r="K192">
        <v>160.25</v>
      </c>
      <c r="L192" t="s">
        <v>29</v>
      </c>
      <c r="M192" t="s">
        <v>24</v>
      </c>
      <c r="N192">
        <v>6</v>
      </c>
      <c r="O192">
        <v>11</v>
      </c>
      <c r="P192" t="b">
        <v>1</v>
      </c>
      <c r="Q192">
        <v>5</v>
      </c>
      <c r="R192">
        <v>4</v>
      </c>
    </row>
    <row r="193" spans="1:18">
      <c r="A193" t="s">
        <v>429</v>
      </c>
      <c r="B193" t="s">
        <v>430</v>
      </c>
      <c r="C193" s="1">
        <v>44948</v>
      </c>
      <c r="D193">
        <v>44</v>
      </c>
      <c r="E193" t="s">
        <v>27</v>
      </c>
      <c r="F193" t="s">
        <v>88</v>
      </c>
      <c r="G193" t="s">
        <v>67</v>
      </c>
      <c r="H193">
        <v>677</v>
      </c>
      <c r="I193">
        <v>3</v>
      </c>
      <c r="J193">
        <v>0</v>
      </c>
      <c r="K193">
        <v>2031</v>
      </c>
      <c r="L193" t="s">
        <v>49</v>
      </c>
      <c r="M193" t="s">
        <v>24</v>
      </c>
      <c r="N193">
        <v>14</v>
      </c>
      <c r="O193">
        <v>10</v>
      </c>
      <c r="P193" t="b">
        <v>1</v>
      </c>
      <c r="Q193">
        <v>3</v>
      </c>
      <c r="R193">
        <v>5</v>
      </c>
    </row>
    <row r="194" spans="1:18">
      <c r="A194" t="s">
        <v>431</v>
      </c>
      <c r="B194" t="s">
        <v>432</v>
      </c>
      <c r="C194" s="1">
        <v>44948</v>
      </c>
      <c r="D194">
        <v>29</v>
      </c>
      <c r="E194" t="s">
        <v>20</v>
      </c>
      <c r="F194" t="s">
        <v>32</v>
      </c>
      <c r="G194" t="s">
        <v>40</v>
      </c>
      <c r="H194">
        <v>118.19</v>
      </c>
      <c r="I194">
        <v>4</v>
      </c>
      <c r="J194">
        <v>30.78</v>
      </c>
      <c r="K194">
        <v>441.98</v>
      </c>
      <c r="L194" t="s">
        <v>23</v>
      </c>
      <c r="M194" t="s">
        <v>24</v>
      </c>
      <c r="N194">
        <v>16</v>
      </c>
      <c r="O194">
        <v>8</v>
      </c>
      <c r="P194" t="b">
        <v>1</v>
      </c>
      <c r="Q194">
        <v>5</v>
      </c>
      <c r="R194">
        <v>1</v>
      </c>
    </row>
    <row r="195" spans="1:18">
      <c r="A195" t="s">
        <v>433</v>
      </c>
      <c r="B195" t="s">
        <v>434</v>
      </c>
      <c r="C195" s="1">
        <v>44948</v>
      </c>
      <c r="D195">
        <v>46</v>
      </c>
      <c r="E195" t="s">
        <v>27</v>
      </c>
      <c r="F195" t="s">
        <v>28</v>
      </c>
      <c r="G195" t="s">
        <v>67</v>
      </c>
      <c r="H195">
        <v>1310.5899999999999</v>
      </c>
      <c r="I195">
        <v>1</v>
      </c>
      <c r="J195">
        <v>0</v>
      </c>
      <c r="K195">
        <v>1310.5899999999999</v>
      </c>
      <c r="L195" t="s">
        <v>23</v>
      </c>
      <c r="M195" t="s">
        <v>42</v>
      </c>
      <c r="N195">
        <v>18</v>
      </c>
      <c r="O195">
        <v>11</v>
      </c>
      <c r="P195" t="b">
        <v>1</v>
      </c>
      <c r="Q195">
        <v>10</v>
      </c>
      <c r="R195">
        <v>3</v>
      </c>
    </row>
    <row r="196" spans="1:18">
      <c r="A196" t="s">
        <v>435</v>
      </c>
      <c r="B196" t="s">
        <v>436</v>
      </c>
      <c r="C196" s="1">
        <v>44948</v>
      </c>
      <c r="D196">
        <v>45</v>
      </c>
      <c r="E196" t="s">
        <v>27</v>
      </c>
      <c r="F196" t="s">
        <v>124</v>
      </c>
      <c r="G196" t="s">
        <v>37</v>
      </c>
      <c r="H196">
        <v>609.04</v>
      </c>
      <c r="I196">
        <v>1</v>
      </c>
      <c r="J196">
        <v>0</v>
      </c>
      <c r="K196">
        <v>609.04</v>
      </c>
      <c r="L196" t="s">
        <v>49</v>
      </c>
      <c r="M196" t="s">
        <v>24</v>
      </c>
      <c r="N196">
        <v>15</v>
      </c>
      <c r="O196">
        <v>14</v>
      </c>
      <c r="P196" t="b">
        <v>1</v>
      </c>
      <c r="Q196">
        <v>4</v>
      </c>
      <c r="R196">
        <v>5</v>
      </c>
    </row>
    <row r="197" spans="1:18">
      <c r="A197" t="s">
        <v>437</v>
      </c>
      <c r="B197" t="s">
        <v>438</v>
      </c>
      <c r="C197" s="1">
        <v>44948</v>
      </c>
      <c r="D197">
        <v>27</v>
      </c>
      <c r="E197" t="s">
        <v>27</v>
      </c>
      <c r="F197" t="s">
        <v>36</v>
      </c>
      <c r="G197" t="s">
        <v>40</v>
      </c>
      <c r="H197">
        <v>245.99</v>
      </c>
      <c r="I197">
        <v>4</v>
      </c>
      <c r="J197">
        <v>50.97</v>
      </c>
      <c r="K197">
        <v>932.99</v>
      </c>
      <c r="L197" t="s">
        <v>23</v>
      </c>
      <c r="M197" t="s">
        <v>24</v>
      </c>
      <c r="N197">
        <v>16</v>
      </c>
      <c r="O197">
        <v>9</v>
      </c>
      <c r="P197" t="b">
        <v>0</v>
      </c>
      <c r="Q197">
        <v>5</v>
      </c>
      <c r="R197">
        <v>2</v>
      </c>
    </row>
    <row r="198" spans="1:18">
      <c r="A198" t="s">
        <v>439</v>
      </c>
      <c r="B198" t="s">
        <v>440</v>
      </c>
      <c r="C198" s="1">
        <v>44948</v>
      </c>
      <c r="D198">
        <v>21</v>
      </c>
      <c r="E198" t="s">
        <v>27</v>
      </c>
      <c r="F198" t="s">
        <v>32</v>
      </c>
      <c r="G198" t="s">
        <v>67</v>
      </c>
      <c r="H198">
        <v>269</v>
      </c>
      <c r="I198">
        <v>1</v>
      </c>
      <c r="J198">
        <v>24.28</v>
      </c>
      <c r="K198">
        <v>244.72</v>
      </c>
      <c r="L198" t="s">
        <v>49</v>
      </c>
      <c r="M198" t="s">
        <v>24</v>
      </c>
      <c r="N198">
        <v>11</v>
      </c>
      <c r="O198">
        <v>13</v>
      </c>
      <c r="P198" t="b">
        <v>1</v>
      </c>
      <c r="Q198">
        <v>10</v>
      </c>
      <c r="R198">
        <v>2</v>
      </c>
    </row>
    <row r="199" spans="1:18">
      <c r="A199" t="s">
        <v>441</v>
      </c>
      <c r="B199" t="s">
        <v>442</v>
      </c>
      <c r="C199" s="1">
        <v>44949</v>
      </c>
      <c r="D199">
        <v>30</v>
      </c>
      <c r="E199" t="s">
        <v>27</v>
      </c>
      <c r="F199" t="s">
        <v>178</v>
      </c>
      <c r="G199" t="s">
        <v>40</v>
      </c>
      <c r="H199">
        <v>387.6</v>
      </c>
      <c r="I199">
        <v>1</v>
      </c>
      <c r="J199">
        <v>0</v>
      </c>
      <c r="K199">
        <v>387.6</v>
      </c>
      <c r="L199" t="s">
        <v>29</v>
      </c>
      <c r="M199" t="s">
        <v>24</v>
      </c>
      <c r="N199">
        <v>8</v>
      </c>
      <c r="O199">
        <v>7</v>
      </c>
      <c r="P199" t="b">
        <v>1</v>
      </c>
      <c r="Q199">
        <v>10</v>
      </c>
      <c r="R199">
        <v>4</v>
      </c>
    </row>
    <row r="200" spans="1:18">
      <c r="A200" t="s">
        <v>443</v>
      </c>
      <c r="B200" t="s">
        <v>444</v>
      </c>
      <c r="C200" s="1">
        <v>44949</v>
      </c>
      <c r="D200">
        <v>32</v>
      </c>
      <c r="E200" t="s">
        <v>20</v>
      </c>
      <c r="F200" t="s">
        <v>32</v>
      </c>
      <c r="G200" t="s">
        <v>70</v>
      </c>
      <c r="H200">
        <v>63.89</v>
      </c>
      <c r="I200">
        <v>2</v>
      </c>
      <c r="J200">
        <v>11.91</v>
      </c>
      <c r="K200">
        <v>115.87</v>
      </c>
      <c r="L200" t="s">
        <v>99</v>
      </c>
      <c r="M200" t="s">
        <v>55</v>
      </c>
      <c r="N200">
        <v>21</v>
      </c>
      <c r="O200">
        <v>13</v>
      </c>
      <c r="P200" t="b">
        <v>1</v>
      </c>
      <c r="Q200">
        <v>7</v>
      </c>
      <c r="R200">
        <v>1</v>
      </c>
    </row>
    <row r="201" spans="1:18">
      <c r="A201" t="s">
        <v>445</v>
      </c>
      <c r="B201" t="s">
        <v>446</v>
      </c>
      <c r="C201" s="1">
        <v>44949</v>
      </c>
      <c r="D201">
        <v>25</v>
      </c>
      <c r="E201" t="s">
        <v>20</v>
      </c>
      <c r="F201" t="s">
        <v>36</v>
      </c>
      <c r="G201" t="s">
        <v>40</v>
      </c>
      <c r="H201">
        <v>245.18</v>
      </c>
      <c r="I201">
        <v>1</v>
      </c>
      <c r="J201">
        <v>0</v>
      </c>
      <c r="K201">
        <v>245.18</v>
      </c>
      <c r="L201" t="s">
        <v>23</v>
      </c>
      <c r="M201" t="s">
        <v>42</v>
      </c>
      <c r="N201">
        <v>15</v>
      </c>
      <c r="O201">
        <v>5</v>
      </c>
      <c r="P201" t="b">
        <v>1</v>
      </c>
      <c r="Q201">
        <v>7</v>
      </c>
      <c r="R201">
        <v>5</v>
      </c>
    </row>
    <row r="202" spans="1:18">
      <c r="A202" t="s">
        <v>447</v>
      </c>
      <c r="B202" t="s">
        <v>448</v>
      </c>
      <c r="C202" s="1">
        <v>44949</v>
      </c>
      <c r="D202">
        <v>66</v>
      </c>
      <c r="E202" t="s">
        <v>20</v>
      </c>
      <c r="F202" t="s">
        <v>124</v>
      </c>
      <c r="G202" t="s">
        <v>70</v>
      </c>
      <c r="H202">
        <v>50.52</v>
      </c>
      <c r="I202">
        <v>2</v>
      </c>
      <c r="J202">
        <v>12.25</v>
      </c>
      <c r="K202">
        <v>88.79</v>
      </c>
      <c r="L202" t="s">
        <v>23</v>
      </c>
      <c r="M202" t="s">
        <v>24</v>
      </c>
      <c r="N202">
        <v>12</v>
      </c>
      <c r="O202">
        <v>5</v>
      </c>
      <c r="P202" t="b">
        <v>1</v>
      </c>
      <c r="Q202">
        <v>2</v>
      </c>
      <c r="R202">
        <v>2</v>
      </c>
    </row>
    <row r="203" spans="1:18">
      <c r="A203" t="s">
        <v>449</v>
      </c>
      <c r="B203" t="s">
        <v>450</v>
      </c>
      <c r="C203" s="1">
        <v>44949</v>
      </c>
      <c r="D203">
        <v>46</v>
      </c>
      <c r="E203" t="s">
        <v>27</v>
      </c>
      <c r="F203" t="s">
        <v>32</v>
      </c>
      <c r="G203" t="s">
        <v>70</v>
      </c>
      <c r="H203">
        <v>19.739999999999998</v>
      </c>
      <c r="I203">
        <v>1</v>
      </c>
      <c r="J203">
        <v>0</v>
      </c>
      <c r="K203">
        <v>19.739999999999998</v>
      </c>
      <c r="L203" t="s">
        <v>49</v>
      </c>
      <c r="M203" t="s">
        <v>24</v>
      </c>
      <c r="N203">
        <v>28</v>
      </c>
      <c r="O203">
        <v>8</v>
      </c>
      <c r="P203" t="b">
        <v>1</v>
      </c>
      <c r="Q203">
        <v>3</v>
      </c>
      <c r="R203">
        <v>5</v>
      </c>
    </row>
    <row r="204" spans="1:18">
      <c r="A204" t="s">
        <v>451</v>
      </c>
      <c r="B204" t="s">
        <v>452</v>
      </c>
      <c r="C204" s="1">
        <v>44949</v>
      </c>
      <c r="D204">
        <v>55</v>
      </c>
      <c r="E204" t="s">
        <v>20</v>
      </c>
      <c r="F204" t="s">
        <v>88</v>
      </c>
      <c r="G204" t="s">
        <v>37</v>
      </c>
      <c r="H204">
        <v>3242.84</v>
      </c>
      <c r="I204">
        <v>5</v>
      </c>
      <c r="J204">
        <v>0</v>
      </c>
      <c r="K204">
        <v>16214.2</v>
      </c>
      <c r="L204" t="s">
        <v>29</v>
      </c>
      <c r="M204" t="s">
        <v>42</v>
      </c>
      <c r="N204">
        <v>2</v>
      </c>
      <c r="O204">
        <v>10</v>
      </c>
      <c r="P204" t="b">
        <v>1</v>
      </c>
      <c r="Q204">
        <v>5</v>
      </c>
      <c r="R204">
        <v>5</v>
      </c>
    </row>
    <row r="205" spans="1:18">
      <c r="A205" t="s">
        <v>453</v>
      </c>
      <c r="B205" t="s">
        <v>454</v>
      </c>
      <c r="C205" s="1">
        <v>44949</v>
      </c>
      <c r="D205">
        <v>18</v>
      </c>
      <c r="E205" t="s">
        <v>27</v>
      </c>
      <c r="F205" t="s">
        <v>28</v>
      </c>
      <c r="G205" t="s">
        <v>40</v>
      </c>
      <c r="H205">
        <v>1052.01</v>
      </c>
      <c r="I205">
        <v>4</v>
      </c>
      <c r="J205">
        <v>245.44</v>
      </c>
      <c r="K205">
        <v>3962.6</v>
      </c>
      <c r="L205" t="s">
        <v>29</v>
      </c>
      <c r="M205" t="s">
        <v>42</v>
      </c>
      <c r="N205">
        <v>9</v>
      </c>
      <c r="O205">
        <v>8</v>
      </c>
      <c r="P205" t="b">
        <v>1</v>
      </c>
      <c r="Q205">
        <v>9</v>
      </c>
      <c r="R205">
        <v>4</v>
      </c>
    </row>
    <row r="206" spans="1:18">
      <c r="A206" t="s">
        <v>455</v>
      </c>
      <c r="B206" t="s">
        <v>456</v>
      </c>
      <c r="C206" s="1">
        <v>44949</v>
      </c>
      <c r="D206">
        <v>18</v>
      </c>
      <c r="E206" t="s">
        <v>20</v>
      </c>
      <c r="F206" t="s">
        <v>36</v>
      </c>
      <c r="G206" t="s">
        <v>40</v>
      </c>
      <c r="H206">
        <v>764.79</v>
      </c>
      <c r="I206">
        <v>1</v>
      </c>
      <c r="J206">
        <v>0</v>
      </c>
      <c r="K206">
        <v>764.79</v>
      </c>
      <c r="L206" t="s">
        <v>23</v>
      </c>
      <c r="M206" t="s">
        <v>24</v>
      </c>
      <c r="N206">
        <v>20</v>
      </c>
      <c r="O206">
        <v>5</v>
      </c>
      <c r="P206" t="b">
        <v>1</v>
      </c>
      <c r="Q206">
        <v>10</v>
      </c>
      <c r="R206">
        <v>1</v>
      </c>
    </row>
    <row r="207" spans="1:18">
      <c r="A207" t="s">
        <v>457</v>
      </c>
      <c r="B207" t="s">
        <v>458</v>
      </c>
      <c r="C207" s="1">
        <v>44949</v>
      </c>
      <c r="D207">
        <v>35</v>
      </c>
      <c r="E207" t="s">
        <v>20</v>
      </c>
      <c r="F207" t="s">
        <v>124</v>
      </c>
      <c r="G207" t="s">
        <v>40</v>
      </c>
      <c r="H207">
        <v>1926.52</v>
      </c>
      <c r="I207">
        <v>2</v>
      </c>
      <c r="J207">
        <v>222.93</v>
      </c>
      <c r="K207">
        <v>3630.11</v>
      </c>
      <c r="L207" t="s">
        <v>29</v>
      </c>
      <c r="M207" t="s">
        <v>42</v>
      </c>
      <c r="N207">
        <v>12</v>
      </c>
      <c r="O207">
        <v>6</v>
      </c>
      <c r="P207" t="b">
        <v>1</v>
      </c>
      <c r="Q207">
        <v>9</v>
      </c>
      <c r="R207">
        <v>5</v>
      </c>
    </row>
    <row r="208" spans="1:18">
      <c r="A208" t="s">
        <v>459</v>
      </c>
      <c r="B208" t="s">
        <v>460</v>
      </c>
      <c r="C208" s="1">
        <v>44949</v>
      </c>
      <c r="D208">
        <v>18</v>
      </c>
      <c r="E208" t="s">
        <v>129</v>
      </c>
      <c r="F208" t="s">
        <v>32</v>
      </c>
      <c r="G208" t="s">
        <v>70</v>
      </c>
      <c r="H208">
        <v>35.4</v>
      </c>
      <c r="I208">
        <v>2</v>
      </c>
      <c r="J208">
        <v>3.14</v>
      </c>
      <c r="K208">
        <v>67.66</v>
      </c>
      <c r="L208" t="s">
        <v>23</v>
      </c>
      <c r="M208" t="s">
        <v>42</v>
      </c>
      <c r="N208">
        <v>26</v>
      </c>
      <c r="O208">
        <v>8</v>
      </c>
      <c r="P208" t="b">
        <v>0</v>
      </c>
      <c r="Q208">
        <v>3</v>
      </c>
      <c r="R208">
        <v>4</v>
      </c>
    </row>
    <row r="209" spans="1:18">
      <c r="A209" t="s">
        <v>461</v>
      </c>
      <c r="B209" t="s">
        <v>462</v>
      </c>
      <c r="C209" s="1">
        <v>44949</v>
      </c>
      <c r="D209">
        <v>27</v>
      </c>
      <c r="E209" t="s">
        <v>27</v>
      </c>
      <c r="F209" t="s">
        <v>36</v>
      </c>
      <c r="G209" t="s">
        <v>40</v>
      </c>
      <c r="H209">
        <v>450.37</v>
      </c>
      <c r="I209">
        <v>1</v>
      </c>
      <c r="J209">
        <v>0</v>
      </c>
      <c r="K209">
        <v>450.37</v>
      </c>
      <c r="L209" t="s">
        <v>29</v>
      </c>
      <c r="M209" t="s">
        <v>24</v>
      </c>
      <c r="N209">
        <v>22</v>
      </c>
      <c r="O209">
        <v>9</v>
      </c>
      <c r="P209" t="b">
        <v>0</v>
      </c>
      <c r="Q209">
        <v>3</v>
      </c>
      <c r="R209">
        <v>5</v>
      </c>
    </row>
    <row r="210" spans="1:18">
      <c r="A210" t="s">
        <v>463</v>
      </c>
      <c r="B210" t="s">
        <v>464</v>
      </c>
      <c r="C210" s="1">
        <v>44949</v>
      </c>
      <c r="D210">
        <v>18</v>
      </c>
      <c r="E210" t="s">
        <v>20</v>
      </c>
      <c r="F210" t="s">
        <v>83</v>
      </c>
      <c r="G210" t="s">
        <v>33</v>
      </c>
      <c r="H210">
        <v>57.48</v>
      </c>
      <c r="I210">
        <v>2</v>
      </c>
      <c r="J210">
        <v>10.25</v>
      </c>
      <c r="K210">
        <v>104.71</v>
      </c>
      <c r="L210" t="s">
        <v>49</v>
      </c>
      <c r="M210" t="s">
        <v>24</v>
      </c>
      <c r="N210">
        <v>19</v>
      </c>
      <c r="O210">
        <v>7</v>
      </c>
      <c r="P210" t="b">
        <v>1</v>
      </c>
      <c r="Q210">
        <v>7</v>
      </c>
      <c r="R210">
        <v>5</v>
      </c>
    </row>
    <row r="211" spans="1:18">
      <c r="A211" t="s">
        <v>465</v>
      </c>
      <c r="B211" t="s">
        <v>466</v>
      </c>
      <c r="C211" s="1">
        <v>44949</v>
      </c>
      <c r="D211">
        <v>48</v>
      </c>
      <c r="E211" t="s">
        <v>20</v>
      </c>
      <c r="F211" t="s">
        <v>36</v>
      </c>
      <c r="G211" t="s">
        <v>67</v>
      </c>
      <c r="H211">
        <v>113.93</v>
      </c>
      <c r="I211">
        <v>2</v>
      </c>
      <c r="J211">
        <v>0</v>
      </c>
      <c r="K211">
        <v>227.86</v>
      </c>
      <c r="L211" t="s">
        <v>29</v>
      </c>
      <c r="M211" t="s">
        <v>55</v>
      </c>
      <c r="N211">
        <v>13</v>
      </c>
      <c r="O211">
        <v>10</v>
      </c>
      <c r="P211" t="b">
        <v>1</v>
      </c>
      <c r="Q211">
        <v>3</v>
      </c>
      <c r="R211">
        <v>2</v>
      </c>
    </row>
    <row r="212" spans="1:18">
      <c r="A212" t="s">
        <v>467</v>
      </c>
      <c r="B212" t="s">
        <v>468</v>
      </c>
      <c r="C212" s="1">
        <v>44949</v>
      </c>
      <c r="D212">
        <v>59</v>
      </c>
      <c r="E212" t="s">
        <v>27</v>
      </c>
      <c r="F212" t="s">
        <v>178</v>
      </c>
      <c r="G212" t="s">
        <v>22</v>
      </c>
      <c r="H212">
        <v>112.82</v>
      </c>
      <c r="I212">
        <v>2</v>
      </c>
      <c r="J212">
        <v>0</v>
      </c>
      <c r="K212">
        <v>225.64</v>
      </c>
      <c r="L212" t="s">
        <v>23</v>
      </c>
      <c r="M212" t="s">
        <v>42</v>
      </c>
      <c r="N212">
        <v>3</v>
      </c>
      <c r="O212">
        <v>5</v>
      </c>
      <c r="P212" t="b">
        <v>0</v>
      </c>
      <c r="Q212">
        <v>6</v>
      </c>
      <c r="R212">
        <v>4</v>
      </c>
    </row>
    <row r="213" spans="1:18">
      <c r="A213" t="s">
        <v>469</v>
      </c>
      <c r="B213" t="s">
        <v>470</v>
      </c>
      <c r="C213" s="1">
        <v>44950</v>
      </c>
      <c r="D213">
        <v>21</v>
      </c>
      <c r="E213" t="s">
        <v>20</v>
      </c>
      <c r="F213" t="s">
        <v>178</v>
      </c>
      <c r="G213" t="s">
        <v>37</v>
      </c>
      <c r="H213">
        <v>4879.1400000000003</v>
      </c>
      <c r="I213">
        <v>1</v>
      </c>
      <c r="J213">
        <v>0</v>
      </c>
      <c r="K213">
        <v>4879.1400000000003</v>
      </c>
      <c r="L213" t="s">
        <v>23</v>
      </c>
      <c r="M213" t="s">
        <v>24</v>
      </c>
      <c r="N213">
        <v>8</v>
      </c>
      <c r="O213">
        <v>15</v>
      </c>
      <c r="P213" t="b">
        <v>1</v>
      </c>
      <c r="Q213">
        <v>5</v>
      </c>
      <c r="R213">
        <v>1</v>
      </c>
    </row>
    <row r="214" spans="1:18">
      <c r="A214" t="s">
        <v>471</v>
      </c>
      <c r="B214" t="s">
        <v>472</v>
      </c>
      <c r="C214" s="1">
        <v>44950</v>
      </c>
      <c r="D214">
        <v>39</v>
      </c>
      <c r="E214" t="s">
        <v>27</v>
      </c>
      <c r="F214" t="s">
        <v>83</v>
      </c>
      <c r="G214" t="s">
        <v>40</v>
      </c>
      <c r="H214">
        <v>656.63</v>
      </c>
      <c r="I214">
        <v>1</v>
      </c>
      <c r="J214">
        <v>0</v>
      </c>
      <c r="K214">
        <v>656.63</v>
      </c>
      <c r="L214" t="s">
        <v>29</v>
      </c>
      <c r="M214" t="s">
        <v>24</v>
      </c>
      <c r="N214">
        <v>7</v>
      </c>
      <c r="O214">
        <v>7</v>
      </c>
      <c r="P214" t="b">
        <v>0</v>
      </c>
      <c r="Q214">
        <v>11</v>
      </c>
      <c r="R214">
        <v>4</v>
      </c>
    </row>
    <row r="215" spans="1:18">
      <c r="A215" t="s">
        <v>473</v>
      </c>
      <c r="B215" t="s">
        <v>474</v>
      </c>
      <c r="C215" s="1">
        <v>44950</v>
      </c>
      <c r="D215">
        <v>28</v>
      </c>
      <c r="E215" t="s">
        <v>20</v>
      </c>
      <c r="F215" t="s">
        <v>36</v>
      </c>
      <c r="G215" t="s">
        <v>37</v>
      </c>
      <c r="H215">
        <v>953.09</v>
      </c>
      <c r="I215">
        <v>5</v>
      </c>
      <c r="J215">
        <v>0</v>
      </c>
      <c r="K215">
        <v>4765.45</v>
      </c>
      <c r="L215" t="s">
        <v>29</v>
      </c>
      <c r="M215" t="s">
        <v>42</v>
      </c>
      <c r="N215">
        <v>7</v>
      </c>
      <c r="O215">
        <v>5</v>
      </c>
      <c r="P215" t="b">
        <v>0</v>
      </c>
      <c r="Q215">
        <v>6</v>
      </c>
      <c r="R215">
        <v>2</v>
      </c>
    </row>
    <row r="216" spans="1:18">
      <c r="A216" t="s">
        <v>475</v>
      </c>
      <c r="B216" t="s">
        <v>476</v>
      </c>
      <c r="C216" s="1">
        <v>44950</v>
      </c>
      <c r="D216">
        <v>28</v>
      </c>
      <c r="E216" t="s">
        <v>20</v>
      </c>
      <c r="F216" t="s">
        <v>48</v>
      </c>
      <c r="G216" t="s">
        <v>70</v>
      </c>
      <c r="H216">
        <v>96.67</v>
      </c>
      <c r="I216">
        <v>2</v>
      </c>
      <c r="J216">
        <v>19.579999999999998</v>
      </c>
      <c r="K216">
        <v>173.76</v>
      </c>
      <c r="L216" t="s">
        <v>49</v>
      </c>
      <c r="M216" t="s">
        <v>24</v>
      </c>
      <c r="N216">
        <v>13</v>
      </c>
      <c r="O216">
        <v>13</v>
      </c>
      <c r="P216" t="b">
        <v>0</v>
      </c>
      <c r="Q216">
        <v>5</v>
      </c>
      <c r="R216">
        <v>5</v>
      </c>
    </row>
    <row r="217" spans="1:18">
      <c r="A217" t="s">
        <v>477</v>
      </c>
      <c r="B217" t="s">
        <v>478</v>
      </c>
      <c r="C217" s="1">
        <v>44950</v>
      </c>
      <c r="D217">
        <v>33</v>
      </c>
      <c r="E217" t="s">
        <v>20</v>
      </c>
      <c r="F217" t="s">
        <v>36</v>
      </c>
      <c r="G217" t="s">
        <v>40</v>
      </c>
      <c r="H217">
        <v>630.02</v>
      </c>
      <c r="I217">
        <v>4</v>
      </c>
      <c r="J217">
        <v>42.15</v>
      </c>
      <c r="K217">
        <v>2477.9299999999998</v>
      </c>
      <c r="L217" t="s">
        <v>23</v>
      </c>
      <c r="M217" t="s">
        <v>24</v>
      </c>
      <c r="N217">
        <v>36</v>
      </c>
      <c r="O217">
        <v>10</v>
      </c>
      <c r="P217" t="b">
        <v>1</v>
      </c>
      <c r="Q217">
        <v>10</v>
      </c>
      <c r="R217">
        <v>3</v>
      </c>
    </row>
    <row r="218" spans="1:18">
      <c r="A218" t="s">
        <v>479</v>
      </c>
      <c r="B218" t="s">
        <v>480</v>
      </c>
      <c r="C218" s="1">
        <v>44950</v>
      </c>
      <c r="D218">
        <v>25</v>
      </c>
      <c r="E218" t="s">
        <v>20</v>
      </c>
      <c r="F218" t="s">
        <v>48</v>
      </c>
      <c r="G218" t="s">
        <v>37</v>
      </c>
      <c r="H218">
        <v>929.21</v>
      </c>
      <c r="I218">
        <v>5</v>
      </c>
      <c r="J218">
        <v>0</v>
      </c>
      <c r="K218">
        <v>4646.05</v>
      </c>
      <c r="L218" t="s">
        <v>49</v>
      </c>
      <c r="M218" t="s">
        <v>24</v>
      </c>
      <c r="N218">
        <v>14</v>
      </c>
      <c r="O218">
        <v>10</v>
      </c>
      <c r="P218" t="b">
        <v>1</v>
      </c>
      <c r="Q218">
        <v>10</v>
      </c>
      <c r="R218">
        <v>5</v>
      </c>
    </row>
    <row r="219" spans="1:18">
      <c r="A219" t="s">
        <v>481</v>
      </c>
      <c r="B219" t="s">
        <v>482</v>
      </c>
      <c r="C219" s="1">
        <v>44950</v>
      </c>
      <c r="D219">
        <v>40</v>
      </c>
      <c r="E219" t="s">
        <v>20</v>
      </c>
      <c r="F219" t="s">
        <v>36</v>
      </c>
      <c r="G219" t="s">
        <v>67</v>
      </c>
      <c r="H219">
        <v>484.43</v>
      </c>
      <c r="I219">
        <v>1</v>
      </c>
      <c r="J219">
        <v>0</v>
      </c>
      <c r="K219">
        <v>484.43</v>
      </c>
      <c r="L219" t="s">
        <v>23</v>
      </c>
      <c r="M219" t="s">
        <v>24</v>
      </c>
      <c r="N219">
        <v>24</v>
      </c>
      <c r="O219">
        <v>6</v>
      </c>
      <c r="P219" t="b">
        <v>0</v>
      </c>
      <c r="Q219">
        <v>4</v>
      </c>
      <c r="R219">
        <v>3</v>
      </c>
    </row>
    <row r="220" spans="1:18">
      <c r="A220" t="s">
        <v>483</v>
      </c>
      <c r="B220" t="s">
        <v>484</v>
      </c>
      <c r="C220" s="1">
        <v>44950</v>
      </c>
      <c r="D220">
        <v>18</v>
      </c>
      <c r="E220" t="s">
        <v>20</v>
      </c>
      <c r="F220" t="s">
        <v>88</v>
      </c>
      <c r="G220" t="s">
        <v>33</v>
      </c>
      <c r="H220">
        <v>25.92</v>
      </c>
      <c r="I220">
        <v>2</v>
      </c>
      <c r="J220">
        <v>0</v>
      </c>
      <c r="K220">
        <v>51.84</v>
      </c>
      <c r="L220" t="s">
        <v>29</v>
      </c>
      <c r="M220" t="s">
        <v>42</v>
      </c>
      <c r="N220">
        <v>20</v>
      </c>
      <c r="O220">
        <v>6</v>
      </c>
      <c r="P220" t="b">
        <v>0</v>
      </c>
      <c r="Q220">
        <v>3</v>
      </c>
      <c r="R220">
        <v>4</v>
      </c>
    </row>
    <row r="221" spans="1:18">
      <c r="A221" t="s">
        <v>485</v>
      </c>
      <c r="B221" t="s">
        <v>486</v>
      </c>
      <c r="C221" s="1">
        <v>44950</v>
      </c>
      <c r="D221">
        <v>37</v>
      </c>
      <c r="E221" t="s">
        <v>20</v>
      </c>
      <c r="F221" t="s">
        <v>21</v>
      </c>
      <c r="G221" t="s">
        <v>54</v>
      </c>
      <c r="H221">
        <v>656.43</v>
      </c>
      <c r="I221">
        <v>2</v>
      </c>
      <c r="J221">
        <v>35.67</v>
      </c>
      <c r="K221">
        <v>1277.19</v>
      </c>
      <c r="L221" t="s">
        <v>29</v>
      </c>
      <c r="M221" t="s">
        <v>42</v>
      </c>
      <c r="N221">
        <v>1</v>
      </c>
      <c r="O221">
        <v>12</v>
      </c>
      <c r="P221" t="b">
        <v>1</v>
      </c>
      <c r="Q221">
        <v>5</v>
      </c>
      <c r="R221">
        <v>5</v>
      </c>
    </row>
    <row r="222" spans="1:18">
      <c r="A222" t="s">
        <v>487</v>
      </c>
      <c r="B222" t="s">
        <v>488</v>
      </c>
      <c r="C222" s="1">
        <v>44950</v>
      </c>
      <c r="D222">
        <v>45</v>
      </c>
      <c r="E222" t="s">
        <v>27</v>
      </c>
      <c r="F222" t="s">
        <v>178</v>
      </c>
      <c r="G222" t="s">
        <v>70</v>
      </c>
      <c r="H222">
        <v>24.48</v>
      </c>
      <c r="I222">
        <v>2</v>
      </c>
      <c r="J222">
        <v>6.69</v>
      </c>
      <c r="K222">
        <v>42.27</v>
      </c>
      <c r="L222" t="s">
        <v>23</v>
      </c>
      <c r="M222" t="s">
        <v>24</v>
      </c>
      <c r="N222">
        <v>13</v>
      </c>
      <c r="O222">
        <v>6</v>
      </c>
      <c r="P222" t="b">
        <v>1</v>
      </c>
      <c r="Q222">
        <v>8</v>
      </c>
      <c r="R222">
        <v>3</v>
      </c>
    </row>
    <row r="223" spans="1:18">
      <c r="A223" t="s">
        <v>489</v>
      </c>
      <c r="B223" t="s">
        <v>490</v>
      </c>
      <c r="C223" s="1">
        <v>44950</v>
      </c>
      <c r="D223">
        <v>41</v>
      </c>
      <c r="E223" t="s">
        <v>20</v>
      </c>
      <c r="F223" t="s">
        <v>32</v>
      </c>
      <c r="G223" t="s">
        <v>22</v>
      </c>
      <c r="H223">
        <v>114.64</v>
      </c>
      <c r="I223">
        <v>1</v>
      </c>
      <c r="J223">
        <v>0</v>
      </c>
      <c r="K223">
        <v>114.64</v>
      </c>
      <c r="L223" t="s">
        <v>29</v>
      </c>
      <c r="M223" t="s">
        <v>24</v>
      </c>
      <c r="N223">
        <v>1</v>
      </c>
      <c r="O223">
        <v>14</v>
      </c>
      <c r="P223" t="b">
        <v>1</v>
      </c>
      <c r="Q223">
        <v>4</v>
      </c>
      <c r="R223">
        <v>4</v>
      </c>
    </row>
    <row r="224" spans="1:18">
      <c r="A224" t="s">
        <v>491</v>
      </c>
      <c r="B224" t="s">
        <v>492</v>
      </c>
      <c r="C224" s="1">
        <v>44950</v>
      </c>
      <c r="D224">
        <v>48</v>
      </c>
      <c r="E224" t="s">
        <v>27</v>
      </c>
      <c r="F224" t="s">
        <v>32</v>
      </c>
      <c r="G224" t="s">
        <v>37</v>
      </c>
      <c r="H224">
        <v>475.66</v>
      </c>
      <c r="I224">
        <v>1</v>
      </c>
      <c r="J224">
        <v>0</v>
      </c>
      <c r="K224">
        <v>475.66</v>
      </c>
      <c r="L224" t="s">
        <v>41</v>
      </c>
      <c r="M224" t="s">
        <v>24</v>
      </c>
      <c r="N224">
        <v>4</v>
      </c>
      <c r="O224">
        <v>3</v>
      </c>
      <c r="P224" t="b">
        <v>1</v>
      </c>
      <c r="Q224">
        <v>16</v>
      </c>
      <c r="R224">
        <v>5</v>
      </c>
    </row>
    <row r="225" spans="1:18">
      <c r="A225" t="s">
        <v>493</v>
      </c>
      <c r="B225" t="s">
        <v>494</v>
      </c>
      <c r="C225" s="1">
        <v>44950</v>
      </c>
      <c r="D225">
        <v>31</v>
      </c>
      <c r="E225" t="s">
        <v>27</v>
      </c>
      <c r="F225" t="s">
        <v>36</v>
      </c>
      <c r="G225" t="s">
        <v>70</v>
      </c>
      <c r="H225">
        <v>39.770000000000003</v>
      </c>
      <c r="I225">
        <v>1</v>
      </c>
      <c r="J225">
        <v>0</v>
      </c>
      <c r="K225">
        <v>39.770000000000003</v>
      </c>
      <c r="L225" t="s">
        <v>49</v>
      </c>
      <c r="M225" t="s">
        <v>24</v>
      </c>
      <c r="N225">
        <v>12</v>
      </c>
      <c r="O225">
        <v>6</v>
      </c>
      <c r="P225" t="b">
        <v>0</v>
      </c>
      <c r="Q225">
        <v>9</v>
      </c>
      <c r="R225">
        <v>5</v>
      </c>
    </row>
    <row r="226" spans="1:18">
      <c r="A226" t="s">
        <v>495</v>
      </c>
      <c r="B226" t="s">
        <v>496</v>
      </c>
      <c r="C226" s="1">
        <v>44950</v>
      </c>
      <c r="D226">
        <v>26</v>
      </c>
      <c r="E226" t="s">
        <v>20</v>
      </c>
      <c r="F226" t="s">
        <v>48</v>
      </c>
      <c r="G226" t="s">
        <v>67</v>
      </c>
      <c r="H226">
        <v>529.51</v>
      </c>
      <c r="I226">
        <v>3</v>
      </c>
      <c r="J226">
        <v>114.28</v>
      </c>
      <c r="K226">
        <v>1474.25</v>
      </c>
      <c r="L226" t="s">
        <v>41</v>
      </c>
      <c r="M226" t="s">
        <v>24</v>
      </c>
      <c r="N226">
        <v>15</v>
      </c>
      <c r="O226">
        <v>9</v>
      </c>
      <c r="P226" t="b">
        <v>0</v>
      </c>
      <c r="Q226">
        <v>3</v>
      </c>
      <c r="R226">
        <v>5</v>
      </c>
    </row>
    <row r="227" spans="1:18">
      <c r="A227" t="s">
        <v>497</v>
      </c>
      <c r="B227" t="s">
        <v>498</v>
      </c>
      <c r="C227" s="1">
        <v>44950</v>
      </c>
      <c r="D227">
        <v>36</v>
      </c>
      <c r="E227" t="s">
        <v>20</v>
      </c>
      <c r="F227" t="s">
        <v>83</v>
      </c>
      <c r="G227" t="s">
        <v>40</v>
      </c>
      <c r="H227">
        <v>588.71</v>
      </c>
      <c r="I227">
        <v>2</v>
      </c>
      <c r="J227">
        <v>46.14</v>
      </c>
      <c r="K227">
        <v>1131.28</v>
      </c>
      <c r="L227" t="s">
        <v>49</v>
      </c>
      <c r="M227" t="s">
        <v>24</v>
      </c>
      <c r="N227">
        <v>20</v>
      </c>
      <c r="O227">
        <v>6</v>
      </c>
      <c r="P227" t="b">
        <v>1</v>
      </c>
      <c r="Q227">
        <v>4</v>
      </c>
      <c r="R227">
        <v>5</v>
      </c>
    </row>
    <row r="228" spans="1:18">
      <c r="A228" t="s">
        <v>499</v>
      </c>
      <c r="B228" t="s">
        <v>500</v>
      </c>
      <c r="C228" s="1">
        <v>44951</v>
      </c>
      <c r="D228">
        <v>32</v>
      </c>
      <c r="E228" t="s">
        <v>20</v>
      </c>
      <c r="F228" t="s">
        <v>48</v>
      </c>
      <c r="G228" t="s">
        <v>45</v>
      </c>
      <c r="H228">
        <v>270.97000000000003</v>
      </c>
      <c r="I228">
        <v>1</v>
      </c>
      <c r="J228">
        <v>0</v>
      </c>
      <c r="K228">
        <v>270.97000000000003</v>
      </c>
      <c r="L228" t="s">
        <v>29</v>
      </c>
      <c r="M228" t="s">
        <v>24</v>
      </c>
      <c r="N228">
        <v>12</v>
      </c>
      <c r="O228">
        <v>11</v>
      </c>
      <c r="P228" t="b">
        <v>0</v>
      </c>
      <c r="Q228">
        <v>9</v>
      </c>
      <c r="R228">
        <v>4</v>
      </c>
    </row>
    <row r="229" spans="1:18">
      <c r="A229" t="s">
        <v>501</v>
      </c>
      <c r="B229" t="s">
        <v>502</v>
      </c>
      <c r="C229" s="1">
        <v>44951</v>
      </c>
      <c r="D229">
        <v>45</v>
      </c>
      <c r="E229" t="s">
        <v>27</v>
      </c>
      <c r="F229" t="s">
        <v>32</v>
      </c>
      <c r="G229" t="s">
        <v>70</v>
      </c>
      <c r="H229">
        <v>72.72</v>
      </c>
      <c r="I229">
        <v>2</v>
      </c>
      <c r="J229">
        <v>0</v>
      </c>
      <c r="K229">
        <v>145.44</v>
      </c>
      <c r="L229" t="s">
        <v>49</v>
      </c>
      <c r="M229" t="s">
        <v>24</v>
      </c>
      <c r="N229">
        <v>12</v>
      </c>
      <c r="O229">
        <v>10</v>
      </c>
      <c r="P229" t="b">
        <v>0</v>
      </c>
      <c r="Q229">
        <v>8</v>
      </c>
      <c r="R229">
        <v>5</v>
      </c>
    </row>
    <row r="230" spans="1:18">
      <c r="A230" t="s">
        <v>503</v>
      </c>
      <c r="B230" t="s">
        <v>504</v>
      </c>
      <c r="C230" s="1">
        <v>44951</v>
      </c>
      <c r="D230">
        <v>28</v>
      </c>
      <c r="E230" t="s">
        <v>20</v>
      </c>
      <c r="F230" t="s">
        <v>48</v>
      </c>
      <c r="G230" t="s">
        <v>22</v>
      </c>
      <c r="H230">
        <v>252.88</v>
      </c>
      <c r="I230">
        <v>1</v>
      </c>
      <c r="J230">
        <v>0</v>
      </c>
      <c r="K230">
        <v>252.88</v>
      </c>
      <c r="L230" t="s">
        <v>23</v>
      </c>
      <c r="M230" t="s">
        <v>24</v>
      </c>
      <c r="N230">
        <v>14</v>
      </c>
      <c r="O230">
        <v>12</v>
      </c>
      <c r="P230" t="b">
        <v>0</v>
      </c>
      <c r="Q230">
        <v>2</v>
      </c>
      <c r="R230">
        <v>5</v>
      </c>
    </row>
    <row r="231" spans="1:18">
      <c r="A231" t="s">
        <v>505</v>
      </c>
      <c r="B231" t="s">
        <v>506</v>
      </c>
      <c r="C231" s="1">
        <v>44951</v>
      </c>
      <c r="D231">
        <v>48</v>
      </c>
      <c r="E231" t="s">
        <v>27</v>
      </c>
      <c r="F231" t="s">
        <v>32</v>
      </c>
      <c r="G231" t="s">
        <v>67</v>
      </c>
      <c r="H231">
        <v>1049.78</v>
      </c>
      <c r="I231">
        <v>2</v>
      </c>
      <c r="J231">
        <v>0</v>
      </c>
      <c r="K231">
        <v>2099.56</v>
      </c>
      <c r="L231" t="s">
        <v>49</v>
      </c>
      <c r="M231" t="s">
        <v>24</v>
      </c>
      <c r="N231">
        <v>10</v>
      </c>
      <c r="O231">
        <v>7</v>
      </c>
      <c r="P231" t="b">
        <v>1</v>
      </c>
      <c r="Q231">
        <v>11</v>
      </c>
      <c r="R231">
        <v>5</v>
      </c>
    </row>
    <row r="232" spans="1:18">
      <c r="A232" t="s">
        <v>507</v>
      </c>
      <c r="B232" t="s">
        <v>508</v>
      </c>
      <c r="C232" s="1">
        <v>44951</v>
      </c>
      <c r="D232">
        <v>35</v>
      </c>
      <c r="E232" t="s">
        <v>20</v>
      </c>
      <c r="F232" t="s">
        <v>36</v>
      </c>
      <c r="G232" t="s">
        <v>40</v>
      </c>
      <c r="H232">
        <v>457.88</v>
      </c>
      <c r="I232">
        <v>2</v>
      </c>
      <c r="J232">
        <v>0</v>
      </c>
      <c r="K232">
        <v>915.76</v>
      </c>
      <c r="L232" t="s">
        <v>29</v>
      </c>
      <c r="M232" t="s">
        <v>42</v>
      </c>
      <c r="N232">
        <v>5</v>
      </c>
      <c r="O232">
        <v>8</v>
      </c>
      <c r="P232" t="b">
        <v>1</v>
      </c>
      <c r="Q232">
        <v>6</v>
      </c>
      <c r="R232">
        <v>4</v>
      </c>
    </row>
    <row r="233" spans="1:18">
      <c r="A233" t="s">
        <v>509</v>
      </c>
      <c r="B233" t="s">
        <v>510</v>
      </c>
      <c r="C233" s="1">
        <v>44951</v>
      </c>
      <c r="D233">
        <v>29</v>
      </c>
      <c r="E233" t="s">
        <v>20</v>
      </c>
      <c r="F233" t="s">
        <v>36</v>
      </c>
      <c r="G233" t="s">
        <v>40</v>
      </c>
      <c r="H233">
        <v>293.77</v>
      </c>
      <c r="I233">
        <v>1</v>
      </c>
      <c r="J233">
        <v>0</v>
      </c>
      <c r="K233">
        <v>293.77</v>
      </c>
      <c r="L233" t="s">
        <v>99</v>
      </c>
      <c r="M233" t="s">
        <v>24</v>
      </c>
      <c r="N233">
        <v>17</v>
      </c>
      <c r="O233">
        <v>15</v>
      </c>
      <c r="P233" t="b">
        <v>1</v>
      </c>
      <c r="Q233">
        <v>9</v>
      </c>
      <c r="R233">
        <v>5</v>
      </c>
    </row>
    <row r="234" spans="1:18">
      <c r="A234" t="s">
        <v>511</v>
      </c>
      <c r="B234" t="s">
        <v>512</v>
      </c>
      <c r="C234" s="1">
        <v>44951</v>
      </c>
      <c r="D234">
        <v>25</v>
      </c>
      <c r="E234" t="s">
        <v>27</v>
      </c>
      <c r="F234" t="s">
        <v>36</v>
      </c>
      <c r="G234" t="s">
        <v>54</v>
      </c>
      <c r="H234">
        <v>186.51</v>
      </c>
      <c r="I234">
        <v>4</v>
      </c>
      <c r="J234">
        <v>54.02</v>
      </c>
      <c r="K234">
        <v>692.02</v>
      </c>
      <c r="L234" t="s">
        <v>29</v>
      </c>
      <c r="M234" t="s">
        <v>24</v>
      </c>
      <c r="N234">
        <v>4</v>
      </c>
      <c r="O234">
        <v>7</v>
      </c>
      <c r="P234" t="b">
        <v>0</v>
      </c>
      <c r="Q234">
        <v>11</v>
      </c>
      <c r="R234">
        <v>5</v>
      </c>
    </row>
    <row r="235" spans="1:18">
      <c r="A235" t="s">
        <v>513</v>
      </c>
      <c r="B235" t="s">
        <v>514</v>
      </c>
      <c r="C235" s="1">
        <v>44951</v>
      </c>
      <c r="D235">
        <v>21</v>
      </c>
      <c r="E235" t="s">
        <v>20</v>
      </c>
      <c r="F235" t="s">
        <v>83</v>
      </c>
      <c r="G235" t="s">
        <v>54</v>
      </c>
      <c r="H235">
        <v>242.04</v>
      </c>
      <c r="I235">
        <v>5</v>
      </c>
      <c r="J235">
        <v>0</v>
      </c>
      <c r="K235">
        <v>1210.2</v>
      </c>
      <c r="L235" t="s">
        <v>41</v>
      </c>
      <c r="M235" t="s">
        <v>42</v>
      </c>
      <c r="N235">
        <v>24</v>
      </c>
      <c r="O235">
        <v>9</v>
      </c>
      <c r="P235" t="b">
        <v>0</v>
      </c>
      <c r="Q235">
        <v>5</v>
      </c>
      <c r="R235">
        <v>4</v>
      </c>
    </row>
    <row r="236" spans="1:18">
      <c r="A236" t="s">
        <v>515</v>
      </c>
      <c r="B236" t="s">
        <v>516</v>
      </c>
      <c r="C236" s="1">
        <v>44952</v>
      </c>
      <c r="D236">
        <v>36</v>
      </c>
      <c r="E236" t="s">
        <v>20</v>
      </c>
      <c r="F236" t="s">
        <v>83</v>
      </c>
      <c r="G236" t="s">
        <v>45</v>
      </c>
      <c r="H236">
        <v>81.97</v>
      </c>
      <c r="I236">
        <v>2</v>
      </c>
      <c r="J236">
        <v>0</v>
      </c>
      <c r="K236">
        <v>163.94</v>
      </c>
      <c r="L236" t="s">
        <v>29</v>
      </c>
      <c r="M236" t="s">
        <v>24</v>
      </c>
      <c r="N236">
        <v>18</v>
      </c>
      <c r="O236">
        <v>11</v>
      </c>
      <c r="P236" t="b">
        <v>0</v>
      </c>
      <c r="Q236">
        <v>7</v>
      </c>
      <c r="R236">
        <v>1</v>
      </c>
    </row>
    <row r="237" spans="1:18">
      <c r="A237" t="s">
        <v>517</v>
      </c>
      <c r="B237" t="s">
        <v>518</v>
      </c>
      <c r="C237" s="1">
        <v>44952</v>
      </c>
      <c r="D237">
        <v>35</v>
      </c>
      <c r="E237" t="s">
        <v>27</v>
      </c>
      <c r="F237" t="s">
        <v>83</v>
      </c>
      <c r="G237" t="s">
        <v>22</v>
      </c>
      <c r="H237">
        <v>128.44999999999999</v>
      </c>
      <c r="I237">
        <v>1</v>
      </c>
      <c r="J237">
        <v>0</v>
      </c>
      <c r="K237">
        <v>128.44999999999999</v>
      </c>
      <c r="L237" t="s">
        <v>41</v>
      </c>
      <c r="M237" t="s">
        <v>42</v>
      </c>
      <c r="N237">
        <v>13</v>
      </c>
      <c r="O237">
        <v>7</v>
      </c>
      <c r="P237" t="b">
        <v>0</v>
      </c>
      <c r="Q237">
        <v>3</v>
      </c>
      <c r="R237">
        <v>4</v>
      </c>
    </row>
    <row r="238" spans="1:18">
      <c r="A238" t="s">
        <v>519</v>
      </c>
      <c r="B238" t="s">
        <v>520</v>
      </c>
      <c r="C238" s="1">
        <v>44952</v>
      </c>
      <c r="D238">
        <v>54</v>
      </c>
      <c r="E238" t="s">
        <v>27</v>
      </c>
      <c r="F238" t="s">
        <v>178</v>
      </c>
      <c r="G238" t="s">
        <v>45</v>
      </c>
      <c r="H238">
        <v>145.91999999999999</v>
      </c>
      <c r="I238">
        <v>5</v>
      </c>
      <c r="J238">
        <v>23.31</v>
      </c>
      <c r="K238">
        <v>706.29</v>
      </c>
      <c r="L238" t="s">
        <v>29</v>
      </c>
      <c r="M238" t="s">
        <v>24</v>
      </c>
      <c r="N238">
        <v>11</v>
      </c>
      <c r="O238">
        <v>12</v>
      </c>
      <c r="P238" t="b">
        <v>0</v>
      </c>
      <c r="Q238">
        <v>5</v>
      </c>
      <c r="R238">
        <v>4</v>
      </c>
    </row>
    <row r="239" spans="1:18">
      <c r="A239" t="s">
        <v>521</v>
      </c>
      <c r="B239" t="s">
        <v>522</v>
      </c>
      <c r="C239" s="1">
        <v>44952</v>
      </c>
      <c r="D239">
        <v>45</v>
      </c>
      <c r="E239" t="s">
        <v>20</v>
      </c>
      <c r="F239" t="s">
        <v>36</v>
      </c>
      <c r="G239" t="s">
        <v>54</v>
      </c>
      <c r="H239">
        <v>333.67</v>
      </c>
      <c r="I239">
        <v>1</v>
      </c>
      <c r="J239">
        <v>42.36</v>
      </c>
      <c r="K239">
        <v>291.31</v>
      </c>
      <c r="L239" t="s">
        <v>29</v>
      </c>
      <c r="M239" t="s">
        <v>24</v>
      </c>
      <c r="N239">
        <v>2</v>
      </c>
      <c r="O239">
        <v>11</v>
      </c>
      <c r="P239" t="b">
        <v>0</v>
      </c>
      <c r="Q239">
        <v>3</v>
      </c>
      <c r="R239">
        <v>5</v>
      </c>
    </row>
    <row r="240" spans="1:18">
      <c r="A240" t="s">
        <v>523</v>
      </c>
      <c r="B240" t="s">
        <v>524</v>
      </c>
      <c r="C240" s="1">
        <v>44952</v>
      </c>
      <c r="D240">
        <v>33</v>
      </c>
      <c r="E240" t="s">
        <v>20</v>
      </c>
      <c r="F240" t="s">
        <v>83</v>
      </c>
      <c r="G240" t="s">
        <v>67</v>
      </c>
      <c r="H240">
        <v>219.03</v>
      </c>
      <c r="I240">
        <v>3</v>
      </c>
      <c r="J240">
        <v>0</v>
      </c>
      <c r="K240">
        <v>657.09</v>
      </c>
      <c r="L240" t="s">
        <v>23</v>
      </c>
      <c r="M240" t="s">
        <v>42</v>
      </c>
      <c r="N240">
        <v>14</v>
      </c>
      <c r="O240">
        <v>10</v>
      </c>
      <c r="P240" t="b">
        <v>0</v>
      </c>
      <c r="Q240">
        <v>9</v>
      </c>
      <c r="R240">
        <v>1</v>
      </c>
    </row>
    <row r="241" spans="1:18">
      <c r="A241" t="s">
        <v>525</v>
      </c>
      <c r="B241" t="s">
        <v>526</v>
      </c>
      <c r="C241" s="1">
        <v>44952</v>
      </c>
      <c r="D241">
        <v>37</v>
      </c>
      <c r="E241" t="s">
        <v>20</v>
      </c>
      <c r="F241" t="s">
        <v>28</v>
      </c>
      <c r="G241" t="s">
        <v>40</v>
      </c>
      <c r="H241">
        <v>307.39999999999998</v>
      </c>
      <c r="I241">
        <v>4</v>
      </c>
      <c r="J241">
        <v>0</v>
      </c>
      <c r="K241">
        <v>1229.5999999999999</v>
      </c>
      <c r="L241" t="s">
        <v>99</v>
      </c>
      <c r="M241" t="s">
        <v>24</v>
      </c>
      <c r="N241">
        <v>11</v>
      </c>
      <c r="O241">
        <v>8</v>
      </c>
      <c r="P241" t="b">
        <v>0</v>
      </c>
      <c r="Q241">
        <v>6</v>
      </c>
      <c r="R241">
        <v>5</v>
      </c>
    </row>
    <row r="242" spans="1:18">
      <c r="A242" t="s">
        <v>527</v>
      </c>
      <c r="B242" t="s">
        <v>528</v>
      </c>
      <c r="C242" s="1">
        <v>44952</v>
      </c>
      <c r="D242">
        <v>39</v>
      </c>
      <c r="E242" t="s">
        <v>27</v>
      </c>
      <c r="F242" t="s">
        <v>36</v>
      </c>
      <c r="G242" t="s">
        <v>37</v>
      </c>
      <c r="H242">
        <v>1493.28</v>
      </c>
      <c r="I242">
        <v>1</v>
      </c>
      <c r="J242">
        <v>0</v>
      </c>
      <c r="K242">
        <v>1493.28</v>
      </c>
      <c r="L242" t="s">
        <v>29</v>
      </c>
      <c r="M242" t="s">
        <v>24</v>
      </c>
      <c r="N242">
        <v>8</v>
      </c>
      <c r="O242">
        <v>8</v>
      </c>
      <c r="P242" t="b">
        <v>1</v>
      </c>
      <c r="Q242">
        <v>7</v>
      </c>
      <c r="R242">
        <v>5</v>
      </c>
    </row>
    <row r="243" spans="1:18">
      <c r="A243" t="s">
        <v>529</v>
      </c>
      <c r="B243" t="s">
        <v>530</v>
      </c>
      <c r="C243" s="1">
        <v>44952</v>
      </c>
      <c r="D243">
        <v>18</v>
      </c>
      <c r="E243" t="s">
        <v>20</v>
      </c>
      <c r="F243" t="s">
        <v>83</v>
      </c>
      <c r="G243" t="s">
        <v>40</v>
      </c>
      <c r="H243">
        <v>118.11</v>
      </c>
      <c r="I243">
        <v>1</v>
      </c>
      <c r="J243">
        <v>0</v>
      </c>
      <c r="K243">
        <v>118.11</v>
      </c>
      <c r="L243" t="s">
        <v>29</v>
      </c>
      <c r="M243" t="s">
        <v>42</v>
      </c>
      <c r="N243">
        <v>45</v>
      </c>
      <c r="O243">
        <v>7</v>
      </c>
      <c r="P243" t="b">
        <v>1</v>
      </c>
      <c r="Q243">
        <v>2</v>
      </c>
      <c r="R243">
        <v>5</v>
      </c>
    </row>
    <row r="244" spans="1:18">
      <c r="A244" t="s">
        <v>531</v>
      </c>
      <c r="B244" t="s">
        <v>532</v>
      </c>
      <c r="C244" s="1">
        <v>44952</v>
      </c>
      <c r="D244">
        <v>34</v>
      </c>
      <c r="E244" t="s">
        <v>20</v>
      </c>
      <c r="F244" t="s">
        <v>32</v>
      </c>
      <c r="G244" t="s">
        <v>22</v>
      </c>
      <c r="H244">
        <v>412.45</v>
      </c>
      <c r="I244">
        <v>2</v>
      </c>
      <c r="J244">
        <v>0</v>
      </c>
      <c r="K244">
        <v>824.9</v>
      </c>
      <c r="L244" t="s">
        <v>99</v>
      </c>
      <c r="M244" t="s">
        <v>24</v>
      </c>
      <c r="N244">
        <v>30</v>
      </c>
      <c r="O244">
        <v>10</v>
      </c>
      <c r="P244" t="b">
        <v>1</v>
      </c>
      <c r="Q244">
        <v>2</v>
      </c>
      <c r="R244">
        <v>4</v>
      </c>
    </row>
    <row r="245" spans="1:18">
      <c r="A245" t="s">
        <v>533</v>
      </c>
      <c r="B245" t="s">
        <v>534</v>
      </c>
      <c r="C245" s="1">
        <v>44952</v>
      </c>
      <c r="D245">
        <v>47</v>
      </c>
      <c r="E245" t="s">
        <v>20</v>
      </c>
      <c r="F245" t="s">
        <v>21</v>
      </c>
      <c r="G245" t="s">
        <v>22</v>
      </c>
      <c r="H245">
        <v>101.84</v>
      </c>
      <c r="I245">
        <v>2</v>
      </c>
      <c r="J245">
        <v>0</v>
      </c>
      <c r="K245">
        <v>203.68</v>
      </c>
      <c r="L245" t="s">
        <v>29</v>
      </c>
      <c r="M245" t="s">
        <v>42</v>
      </c>
      <c r="N245">
        <v>16</v>
      </c>
      <c r="O245">
        <v>11</v>
      </c>
      <c r="P245" t="b">
        <v>1</v>
      </c>
      <c r="Q245">
        <v>3</v>
      </c>
      <c r="R245">
        <v>4</v>
      </c>
    </row>
    <row r="246" spans="1:18">
      <c r="A246" t="s">
        <v>535</v>
      </c>
      <c r="B246" t="s">
        <v>536</v>
      </c>
      <c r="C246" s="1">
        <v>44952</v>
      </c>
      <c r="D246">
        <v>26</v>
      </c>
      <c r="E246" t="s">
        <v>27</v>
      </c>
      <c r="F246" t="s">
        <v>48</v>
      </c>
      <c r="G246" t="s">
        <v>70</v>
      </c>
      <c r="H246">
        <v>36.97</v>
      </c>
      <c r="I246">
        <v>1</v>
      </c>
      <c r="J246">
        <v>0</v>
      </c>
      <c r="K246">
        <v>36.97</v>
      </c>
      <c r="L246" t="s">
        <v>23</v>
      </c>
      <c r="M246" t="s">
        <v>24</v>
      </c>
      <c r="N246">
        <v>12</v>
      </c>
      <c r="O246">
        <v>9</v>
      </c>
      <c r="P246" t="b">
        <v>1</v>
      </c>
      <c r="Q246">
        <v>3</v>
      </c>
      <c r="R246">
        <v>5</v>
      </c>
    </row>
    <row r="247" spans="1:18">
      <c r="A247" t="s">
        <v>537</v>
      </c>
      <c r="B247" t="s">
        <v>538</v>
      </c>
      <c r="C247" s="1">
        <v>44953</v>
      </c>
      <c r="D247">
        <v>41</v>
      </c>
      <c r="E247" t="s">
        <v>27</v>
      </c>
      <c r="F247" t="s">
        <v>83</v>
      </c>
      <c r="G247" t="s">
        <v>37</v>
      </c>
      <c r="H247">
        <v>606.28</v>
      </c>
      <c r="I247">
        <v>1</v>
      </c>
      <c r="J247">
        <v>0</v>
      </c>
      <c r="K247">
        <v>606.28</v>
      </c>
      <c r="L247" t="s">
        <v>29</v>
      </c>
      <c r="M247" t="s">
        <v>24</v>
      </c>
      <c r="N247">
        <v>33</v>
      </c>
      <c r="O247">
        <v>10</v>
      </c>
      <c r="P247" t="b">
        <v>1</v>
      </c>
      <c r="Q247">
        <v>4</v>
      </c>
      <c r="R247">
        <v>4</v>
      </c>
    </row>
    <row r="248" spans="1:18">
      <c r="A248" t="s">
        <v>539</v>
      </c>
      <c r="B248" t="s">
        <v>540</v>
      </c>
      <c r="C248" s="1">
        <v>44953</v>
      </c>
      <c r="D248">
        <v>45</v>
      </c>
      <c r="E248" t="s">
        <v>27</v>
      </c>
      <c r="F248" t="s">
        <v>48</v>
      </c>
      <c r="G248" t="s">
        <v>37</v>
      </c>
      <c r="H248">
        <v>1168.95</v>
      </c>
      <c r="I248">
        <v>1</v>
      </c>
      <c r="J248">
        <v>0</v>
      </c>
      <c r="K248">
        <v>1168.95</v>
      </c>
      <c r="L248" t="s">
        <v>29</v>
      </c>
      <c r="M248" t="s">
        <v>24</v>
      </c>
      <c r="N248">
        <v>14</v>
      </c>
      <c r="O248">
        <v>13</v>
      </c>
      <c r="P248" t="b">
        <v>1</v>
      </c>
      <c r="Q248">
        <v>3</v>
      </c>
      <c r="R248">
        <v>4</v>
      </c>
    </row>
    <row r="249" spans="1:18">
      <c r="A249" t="s">
        <v>541</v>
      </c>
      <c r="B249" t="s">
        <v>542</v>
      </c>
      <c r="C249" s="1">
        <v>44953</v>
      </c>
      <c r="D249">
        <v>18</v>
      </c>
      <c r="E249" t="s">
        <v>20</v>
      </c>
      <c r="F249" t="s">
        <v>36</v>
      </c>
      <c r="G249" t="s">
        <v>33</v>
      </c>
      <c r="H249">
        <v>73.45</v>
      </c>
      <c r="I249">
        <v>1</v>
      </c>
      <c r="J249">
        <v>0</v>
      </c>
      <c r="K249">
        <v>73.45</v>
      </c>
      <c r="L249" t="s">
        <v>23</v>
      </c>
      <c r="M249" t="s">
        <v>24</v>
      </c>
      <c r="N249">
        <v>7</v>
      </c>
      <c r="O249">
        <v>7</v>
      </c>
      <c r="P249" t="b">
        <v>0</v>
      </c>
      <c r="Q249">
        <v>5</v>
      </c>
      <c r="R249">
        <v>5</v>
      </c>
    </row>
    <row r="250" spans="1:18">
      <c r="A250" t="s">
        <v>543</v>
      </c>
      <c r="B250" t="s">
        <v>544</v>
      </c>
      <c r="C250" s="1">
        <v>44953</v>
      </c>
      <c r="D250">
        <v>33</v>
      </c>
      <c r="E250" t="s">
        <v>20</v>
      </c>
      <c r="F250" t="s">
        <v>83</v>
      </c>
      <c r="G250" t="s">
        <v>54</v>
      </c>
      <c r="H250">
        <v>301.27999999999997</v>
      </c>
      <c r="I250">
        <v>1</v>
      </c>
      <c r="J250">
        <v>20.45</v>
      </c>
      <c r="K250">
        <v>280.83</v>
      </c>
      <c r="L250" t="s">
        <v>41</v>
      </c>
      <c r="M250" t="s">
        <v>24</v>
      </c>
      <c r="N250">
        <v>31</v>
      </c>
      <c r="O250">
        <v>9</v>
      </c>
      <c r="P250" t="b">
        <v>1</v>
      </c>
      <c r="Q250">
        <v>4</v>
      </c>
      <c r="R250">
        <v>2</v>
      </c>
    </row>
    <row r="251" spans="1:18">
      <c r="A251" t="s">
        <v>545</v>
      </c>
      <c r="B251" t="s">
        <v>546</v>
      </c>
      <c r="C251" s="1">
        <v>44953</v>
      </c>
      <c r="D251">
        <v>32</v>
      </c>
      <c r="E251" t="s">
        <v>27</v>
      </c>
      <c r="F251" t="s">
        <v>88</v>
      </c>
      <c r="G251" t="s">
        <v>37</v>
      </c>
      <c r="H251">
        <v>584.24</v>
      </c>
      <c r="I251">
        <v>5</v>
      </c>
      <c r="J251">
        <v>75.17</v>
      </c>
      <c r="K251">
        <v>2846.03</v>
      </c>
      <c r="L251" t="s">
        <v>23</v>
      </c>
      <c r="M251" t="s">
        <v>24</v>
      </c>
      <c r="N251">
        <v>8</v>
      </c>
      <c r="O251">
        <v>7</v>
      </c>
      <c r="P251" t="b">
        <v>0</v>
      </c>
      <c r="Q251">
        <v>4</v>
      </c>
      <c r="R251">
        <v>2</v>
      </c>
    </row>
    <row r="252" spans="1:18">
      <c r="A252" t="s">
        <v>547</v>
      </c>
      <c r="B252" t="s">
        <v>548</v>
      </c>
      <c r="C252" s="1">
        <v>44953</v>
      </c>
      <c r="D252">
        <v>37</v>
      </c>
      <c r="E252" t="s">
        <v>20</v>
      </c>
      <c r="F252" t="s">
        <v>36</v>
      </c>
      <c r="G252" t="s">
        <v>45</v>
      </c>
      <c r="H252">
        <v>27.48</v>
      </c>
      <c r="I252">
        <v>1</v>
      </c>
      <c r="J252">
        <v>0</v>
      </c>
      <c r="K252">
        <v>27.48</v>
      </c>
      <c r="L252" t="s">
        <v>29</v>
      </c>
      <c r="M252" t="s">
        <v>42</v>
      </c>
      <c r="N252">
        <v>15</v>
      </c>
      <c r="O252">
        <v>5</v>
      </c>
      <c r="P252" t="b">
        <v>1</v>
      </c>
      <c r="Q252">
        <v>5</v>
      </c>
      <c r="R252">
        <v>3</v>
      </c>
    </row>
    <row r="253" spans="1:18">
      <c r="A253" t="s">
        <v>549</v>
      </c>
      <c r="B253" t="s">
        <v>550</v>
      </c>
      <c r="C253" s="1">
        <v>44953</v>
      </c>
      <c r="D253">
        <v>27</v>
      </c>
      <c r="E253" t="s">
        <v>20</v>
      </c>
      <c r="F253" t="s">
        <v>36</v>
      </c>
      <c r="G253" t="s">
        <v>40</v>
      </c>
      <c r="H253">
        <v>1015.66</v>
      </c>
      <c r="I253">
        <v>1</v>
      </c>
      <c r="J253">
        <v>0</v>
      </c>
      <c r="K253">
        <v>1015.66</v>
      </c>
      <c r="L253" t="s">
        <v>49</v>
      </c>
      <c r="M253" t="s">
        <v>24</v>
      </c>
      <c r="N253">
        <v>19</v>
      </c>
      <c r="O253">
        <v>12</v>
      </c>
      <c r="P253" t="b">
        <v>1</v>
      </c>
      <c r="Q253">
        <v>4</v>
      </c>
      <c r="R253">
        <v>5</v>
      </c>
    </row>
    <row r="254" spans="1:18">
      <c r="A254" t="s">
        <v>551</v>
      </c>
      <c r="B254" t="s">
        <v>552</v>
      </c>
      <c r="C254" s="1">
        <v>44953</v>
      </c>
      <c r="D254">
        <v>18</v>
      </c>
      <c r="E254" t="s">
        <v>27</v>
      </c>
      <c r="F254" t="s">
        <v>21</v>
      </c>
      <c r="G254" t="s">
        <v>70</v>
      </c>
      <c r="H254">
        <v>116.76</v>
      </c>
      <c r="I254">
        <v>3</v>
      </c>
      <c r="J254">
        <v>0</v>
      </c>
      <c r="K254">
        <v>350.28</v>
      </c>
      <c r="L254" t="s">
        <v>41</v>
      </c>
      <c r="M254" t="s">
        <v>24</v>
      </c>
      <c r="N254">
        <v>8</v>
      </c>
      <c r="O254">
        <v>15</v>
      </c>
      <c r="P254" t="b">
        <v>1</v>
      </c>
      <c r="Q254">
        <v>8</v>
      </c>
      <c r="R254">
        <v>4</v>
      </c>
    </row>
    <row r="255" spans="1:18">
      <c r="A255" t="s">
        <v>553</v>
      </c>
      <c r="B255" t="s">
        <v>554</v>
      </c>
      <c r="C255" s="1">
        <v>44953</v>
      </c>
      <c r="D255">
        <v>27</v>
      </c>
      <c r="E255" t="s">
        <v>27</v>
      </c>
      <c r="F255" t="s">
        <v>28</v>
      </c>
      <c r="G255" t="s">
        <v>37</v>
      </c>
      <c r="H255">
        <v>503.88</v>
      </c>
      <c r="I255">
        <v>5</v>
      </c>
      <c r="J255">
        <v>0</v>
      </c>
      <c r="K255">
        <v>2519.4</v>
      </c>
      <c r="L255" t="s">
        <v>49</v>
      </c>
      <c r="M255" t="s">
        <v>42</v>
      </c>
      <c r="N255">
        <v>14</v>
      </c>
      <c r="O255">
        <v>4</v>
      </c>
      <c r="P255" t="b">
        <v>1</v>
      </c>
      <c r="Q255">
        <v>7</v>
      </c>
      <c r="R255">
        <v>5</v>
      </c>
    </row>
    <row r="256" spans="1:18">
      <c r="A256" t="s">
        <v>555</v>
      </c>
      <c r="B256" t="s">
        <v>556</v>
      </c>
      <c r="C256" s="1">
        <v>44953</v>
      </c>
      <c r="D256">
        <v>27</v>
      </c>
      <c r="E256" t="s">
        <v>20</v>
      </c>
      <c r="F256" t="s">
        <v>48</v>
      </c>
      <c r="G256" t="s">
        <v>54</v>
      </c>
      <c r="H256">
        <v>820.57</v>
      </c>
      <c r="I256">
        <v>1</v>
      </c>
      <c r="J256">
        <v>0</v>
      </c>
      <c r="K256">
        <v>820.57</v>
      </c>
      <c r="L256" t="s">
        <v>23</v>
      </c>
      <c r="M256" t="s">
        <v>24</v>
      </c>
      <c r="N256">
        <v>21</v>
      </c>
      <c r="O256">
        <v>16</v>
      </c>
      <c r="P256" t="b">
        <v>1</v>
      </c>
      <c r="Q256">
        <v>4</v>
      </c>
      <c r="R256">
        <v>3</v>
      </c>
    </row>
    <row r="257" spans="1:18">
      <c r="A257" t="s">
        <v>557</v>
      </c>
      <c r="B257" t="s">
        <v>558</v>
      </c>
      <c r="C257" s="1">
        <v>44953</v>
      </c>
      <c r="D257">
        <v>38</v>
      </c>
      <c r="E257" t="s">
        <v>27</v>
      </c>
      <c r="F257" t="s">
        <v>83</v>
      </c>
      <c r="G257" t="s">
        <v>67</v>
      </c>
      <c r="H257">
        <v>839.72</v>
      </c>
      <c r="I257">
        <v>4</v>
      </c>
      <c r="J257">
        <v>122.08</v>
      </c>
      <c r="K257">
        <v>3236.8</v>
      </c>
      <c r="L257" t="s">
        <v>23</v>
      </c>
      <c r="M257" t="s">
        <v>24</v>
      </c>
      <c r="N257">
        <v>8</v>
      </c>
      <c r="O257">
        <v>10</v>
      </c>
      <c r="P257" t="b">
        <v>1</v>
      </c>
      <c r="Q257">
        <v>8</v>
      </c>
      <c r="R257">
        <v>5</v>
      </c>
    </row>
    <row r="258" spans="1:18">
      <c r="A258" t="s">
        <v>559</v>
      </c>
      <c r="B258" t="s">
        <v>560</v>
      </c>
      <c r="C258" s="1">
        <v>44953</v>
      </c>
      <c r="D258">
        <v>18</v>
      </c>
      <c r="E258" t="s">
        <v>20</v>
      </c>
      <c r="F258" t="s">
        <v>48</v>
      </c>
      <c r="G258" t="s">
        <v>22</v>
      </c>
      <c r="H258">
        <v>82.08</v>
      </c>
      <c r="I258">
        <v>1</v>
      </c>
      <c r="J258">
        <v>0</v>
      </c>
      <c r="K258">
        <v>82.08</v>
      </c>
      <c r="L258" t="s">
        <v>23</v>
      </c>
      <c r="M258" t="s">
        <v>24</v>
      </c>
      <c r="N258">
        <v>16</v>
      </c>
      <c r="O258">
        <v>11</v>
      </c>
      <c r="P258" t="b">
        <v>0</v>
      </c>
      <c r="Q258">
        <v>9</v>
      </c>
      <c r="R258">
        <v>1</v>
      </c>
    </row>
    <row r="259" spans="1:18">
      <c r="A259" t="s">
        <v>561</v>
      </c>
      <c r="B259" t="s">
        <v>562</v>
      </c>
      <c r="C259" s="1">
        <v>44953</v>
      </c>
      <c r="D259">
        <v>23</v>
      </c>
      <c r="E259" t="s">
        <v>20</v>
      </c>
      <c r="F259" t="s">
        <v>124</v>
      </c>
      <c r="G259" t="s">
        <v>54</v>
      </c>
      <c r="H259">
        <v>230.7</v>
      </c>
      <c r="I259">
        <v>2</v>
      </c>
      <c r="J259">
        <v>0</v>
      </c>
      <c r="K259">
        <v>461.4</v>
      </c>
      <c r="L259" t="s">
        <v>49</v>
      </c>
      <c r="M259" t="s">
        <v>42</v>
      </c>
      <c r="N259">
        <v>6</v>
      </c>
      <c r="O259">
        <v>12</v>
      </c>
      <c r="P259" t="b">
        <v>0</v>
      </c>
      <c r="Q259">
        <v>2</v>
      </c>
      <c r="R259">
        <v>3</v>
      </c>
    </row>
    <row r="260" spans="1:18">
      <c r="A260" t="s">
        <v>563</v>
      </c>
      <c r="B260" t="s">
        <v>564</v>
      </c>
      <c r="C260" s="1">
        <v>44953</v>
      </c>
      <c r="D260">
        <v>51</v>
      </c>
      <c r="E260" t="s">
        <v>27</v>
      </c>
      <c r="F260" t="s">
        <v>36</v>
      </c>
      <c r="G260" t="s">
        <v>22</v>
      </c>
      <c r="H260">
        <v>186.08</v>
      </c>
      <c r="I260">
        <v>4</v>
      </c>
      <c r="J260">
        <v>0</v>
      </c>
      <c r="K260">
        <v>744.32</v>
      </c>
      <c r="L260" t="s">
        <v>29</v>
      </c>
      <c r="M260" t="s">
        <v>24</v>
      </c>
      <c r="N260">
        <v>10</v>
      </c>
      <c r="O260">
        <v>8</v>
      </c>
      <c r="P260" t="b">
        <v>0</v>
      </c>
      <c r="Q260">
        <v>7</v>
      </c>
      <c r="R260">
        <v>4</v>
      </c>
    </row>
    <row r="261" spans="1:18">
      <c r="A261" t="s">
        <v>565</v>
      </c>
      <c r="B261" t="s">
        <v>566</v>
      </c>
      <c r="C261" s="1">
        <v>44953</v>
      </c>
      <c r="D261">
        <v>33</v>
      </c>
      <c r="E261" t="s">
        <v>20</v>
      </c>
      <c r="F261" t="s">
        <v>178</v>
      </c>
      <c r="G261" t="s">
        <v>70</v>
      </c>
      <c r="H261">
        <v>65.180000000000007</v>
      </c>
      <c r="I261">
        <v>5</v>
      </c>
      <c r="J261">
        <v>0</v>
      </c>
      <c r="K261">
        <v>325.89999999999998</v>
      </c>
      <c r="L261" t="s">
        <v>23</v>
      </c>
      <c r="M261" t="s">
        <v>42</v>
      </c>
      <c r="N261">
        <v>9</v>
      </c>
      <c r="O261">
        <v>10</v>
      </c>
      <c r="P261" t="b">
        <v>0</v>
      </c>
      <c r="Q261">
        <v>5</v>
      </c>
      <c r="R261">
        <v>1</v>
      </c>
    </row>
    <row r="262" spans="1:18">
      <c r="A262" t="s">
        <v>567</v>
      </c>
      <c r="B262" t="s">
        <v>568</v>
      </c>
      <c r="C262" s="1">
        <v>44954</v>
      </c>
      <c r="D262">
        <v>37</v>
      </c>
      <c r="E262" t="s">
        <v>27</v>
      </c>
      <c r="F262" t="s">
        <v>21</v>
      </c>
      <c r="G262" t="s">
        <v>22</v>
      </c>
      <c r="H262">
        <v>92.73</v>
      </c>
      <c r="I262">
        <v>1</v>
      </c>
      <c r="J262">
        <v>25</v>
      </c>
      <c r="K262">
        <v>67.73</v>
      </c>
      <c r="L262" t="s">
        <v>29</v>
      </c>
      <c r="M262" t="s">
        <v>42</v>
      </c>
      <c r="N262">
        <v>12</v>
      </c>
      <c r="O262">
        <v>3</v>
      </c>
      <c r="P262" t="b">
        <v>0</v>
      </c>
      <c r="Q262">
        <v>11</v>
      </c>
      <c r="R262">
        <v>2</v>
      </c>
    </row>
    <row r="263" spans="1:18">
      <c r="A263" t="s">
        <v>569</v>
      </c>
      <c r="B263" t="s">
        <v>570</v>
      </c>
      <c r="C263" s="1">
        <v>44954</v>
      </c>
      <c r="D263">
        <v>54</v>
      </c>
      <c r="E263" t="s">
        <v>20</v>
      </c>
      <c r="F263" t="s">
        <v>21</v>
      </c>
      <c r="G263" t="s">
        <v>22</v>
      </c>
      <c r="H263">
        <v>96.77</v>
      </c>
      <c r="I263">
        <v>4</v>
      </c>
      <c r="J263">
        <v>0</v>
      </c>
      <c r="K263">
        <v>387.08</v>
      </c>
      <c r="L263" t="s">
        <v>23</v>
      </c>
      <c r="M263" t="s">
        <v>24</v>
      </c>
      <c r="N263">
        <v>4</v>
      </c>
      <c r="O263">
        <v>8</v>
      </c>
      <c r="P263" t="b">
        <v>1</v>
      </c>
      <c r="Q263">
        <v>7</v>
      </c>
      <c r="R263">
        <v>4</v>
      </c>
    </row>
    <row r="264" spans="1:18">
      <c r="A264" t="s">
        <v>571</v>
      </c>
      <c r="B264" t="s">
        <v>572</v>
      </c>
      <c r="C264" s="1">
        <v>44954</v>
      </c>
      <c r="D264">
        <v>40</v>
      </c>
      <c r="E264" t="s">
        <v>27</v>
      </c>
      <c r="F264" t="s">
        <v>178</v>
      </c>
      <c r="G264" t="s">
        <v>70</v>
      </c>
      <c r="H264">
        <v>69.53</v>
      </c>
      <c r="I264">
        <v>2</v>
      </c>
      <c r="J264">
        <v>0</v>
      </c>
      <c r="K264">
        <v>139.06</v>
      </c>
      <c r="L264" t="s">
        <v>29</v>
      </c>
      <c r="M264" t="s">
        <v>42</v>
      </c>
      <c r="N264">
        <v>29</v>
      </c>
      <c r="O264">
        <v>9</v>
      </c>
      <c r="P264" t="b">
        <v>0</v>
      </c>
      <c r="Q264">
        <v>8</v>
      </c>
      <c r="R264">
        <v>3</v>
      </c>
    </row>
    <row r="265" spans="1:18">
      <c r="A265" t="s">
        <v>573</v>
      </c>
      <c r="B265" t="s">
        <v>574</v>
      </c>
      <c r="C265" s="1">
        <v>44954</v>
      </c>
      <c r="D265">
        <v>60</v>
      </c>
      <c r="E265" t="s">
        <v>27</v>
      </c>
      <c r="F265" t="s">
        <v>32</v>
      </c>
      <c r="G265" t="s">
        <v>33</v>
      </c>
      <c r="H265">
        <v>49.39</v>
      </c>
      <c r="I265">
        <v>1</v>
      </c>
      <c r="J265">
        <v>0</v>
      </c>
      <c r="K265">
        <v>49.39</v>
      </c>
      <c r="L265" t="s">
        <v>23</v>
      </c>
      <c r="M265" t="s">
        <v>55</v>
      </c>
      <c r="N265">
        <v>14</v>
      </c>
      <c r="O265">
        <v>12</v>
      </c>
      <c r="P265" t="b">
        <v>1</v>
      </c>
      <c r="Q265">
        <v>6</v>
      </c>
      <c r="R265">
        <v>4</v>
      </c>
    </row>
    <row r="266" spans="1:18">
      <c r="A266" t="s">
        <v>575</v>
      </c>
      <c r="B266" t="s">
        <v>576</v>
      </c>
      <c r="C266" s="1">
        <v>44954</v>
      </c>
      <c r="D266">
        <v>37</v>
      </c>
      <c r="E266" t="s">
        <v>20</v>
      </c>
      <c r="F266" t="s">
        <v>178</v>
      </c>
      <c r="G266" t="s">
        <v>40</v>
      </c>
      <c r="H266">
        <v>831.65</v>
      </c>
      <c r="I266">
        <v>2</v>
      </c>
      <c r="J266">
        <v>184.33</v>
      </c>
      <c r="K266">
        <v>1478.97</v>
      </c>
      <c r="L266" t="s">
        <v>23</v>
      </c>
      <c r="M266" t="s">
        <v>24</v>
      </c>
      <c r="N266">
        <v>24</v>
      </c>
      <c r="O266">
        <v>10</v>
      </c>
      <c r="P266" t="b">
        <v>1</v>
      </c>
      <c r="Q266">
        <v>6</v>
      </c>
      <c r="R266">
        <v>4</v>
      </c>
    </row>
    <row r="267" spans="1:18">
      <c r="A267" t="s">
        <v>577</v>
      </c>
      <c r="B267" t="s">
        <v>578</v>
      </c>
      <c r="C267" s="1">
        <v>44954</v>
      </c>
      <c r="D267">
        <v>47</v>
      </c>
      <c r="E267" t="s">
        <v>20</v>
      </c>
      <c r="F267" t="s">
        <v>124</v>
      </c>
      <c r="G267" t="s">
        <v>33</v>
      </c>
      <c r="H267">
        <v>45.81</v>
      </c>
      <c r="I267">
        <v>1</v>
      </c>
      <c r="J267">
        <v>0</v>
      </c>
      <c r="K267">
        <v>45.81</v>
      </c>
      <c r="L267" t="s">
        <v>29</v>
      </c>
      <c r="M267" t="s">
        <v>24</v>
      </c>
      <c r="N267">
        <v>19</v>
      </c>
      <c r="O267">
        <v>8</v>
      </c>
      <c r="P267" t="b">
        <v>0</v>
      </c>
      <c r="Q267">
        <v>5</v>
      </c>
      <c r="R267">
        <v>5</v>
      </c>
    </row>
    <row r="268" spans="1:18">
      <c r="A268" t="s">
        <v>579</v>
      </c>
      <c r="B268" t="s">
        <v>580</v>
      </c>
      <c r="C268" s="1">
        <v>44954</v>
      </c>
      <c r="D268">
        <v>32</v>
      </c>
      <c r="E268" t="s">
        <v>27</v>
      </c>
      <c r="F268" t="s">
        <v>36</v>
      </c>
      <c r="G268" t="s">
        <v>70</v>
      </c>
      <c r="H268">
        <v>56.2</v>
      </c>
      <c r="I268">
        <v>1</v>
      </c>
      <c r="J268">
        <v>6.23</v>
      </c>
      <c r="K268">
        <v>49.97</v>
      </c>
      <c r="L268" t="s">
        <v>99</v>
      </c>
      <c r="M268" t="s">
        <v>55</v>
      </c>
      <c r="N268">
        <v>4</v>
      </c>
      <c r="O268">
        <v>9</v>
      </c>
      <c r="P268" t="b">
        <v>1</v>
      </c>
      <c r="Q268">
        <v>8</v>
      </c>
      <c r="R268">
        <v>3</v>
      </c>
    </row>
    <row r="269" spans="1:18">
      <c r="A269" t="s">
        <v>581</v>
      </c>
      <c r="B269" t="s">
        <v>582</v>
      </c>
      <c r="C269" s="1">
        <v>44954</v>
      </c>
      <c r="D269">
        <v>54</v>
      </c>
      <c r="E269" t="s">
        <v>27</v>
      </c>
      <c r="F269" t="s">
        <v>36</v>
      </c>
      <c r="G269" t="s">
        <v>54</v>
      </c>
      <c r="H269">
        <v>431.67</v>
      </c>
      <c r="I269">
        <v>2</v>
      </c>
      <c r="J269">
        <v>0</v>
      </c>
      <c r="K269">
        <v>863.34</v>
      </c>
      <c r="L269" t="s">
        <v>49</v>
      </c>
      <c r="M269" t="s">
        <v>24</v>
      </c>
      <c r="N269">
        <v>9</v>
      </c>
      <c r="O269">
        <v>17</v>
      </c>
      <c r="P269" t="b">
        <v>1</v>
      </c>
      <c r="Q269">
        <v>3</v>
      </c>
      <c r="R269">
        <v>3</v>
      </c>
    </row>
    <row r="270" spans="1:18">
      <c r="A270" t="s">
        <v>583</v>
      </c>
      <c r="B270" t="s">
        <v>584</v>
      </c>
      <c r="C270" s="1">
        <v>44955</v>
      </c>
      <c r="D270">
        <v>51</v>
      </c>
      <c r="E270" t="s">
        <v>27</v>
      </c>
      <c r="F270" t="s">
        <v>28</v>
      </c>
      <c r="G270" t="s">
        <v>70</v>
      </c>
      <c r="H270">
        <v>13.38</v>
      </c>
      <c r="I270">
        <v>1</v>
      </c>
      <c r="J270">
        <v>2.36</v>
      </c>
      <c r="K270">
        <v>11.02</v>
      </c>
      <c r="L270" t="s">
        <v>41</v>
      </c>
      <c r="M270" t="s">
        <v>24</v>
      </c>
      <c r="N270">
        <v>11</v>
      </c>
      <c r="O270">
        <v>9</v>
      </c>
      <c r="P270" t="b">
        <v>1</v>
      </c>
      <c r="Q270">
        <v>5</v>
      </c>
      <c r="R270">
        <v>1</v>
      </c>
    </row>
    <row r="271" spans="1:18">
      <c r="A271" t="s">
        <v>585</v>
      </c>
      <c r="B271" t="s">
        <v>586</v>
      </c>
      <c r="C271" s="1">
        <v>44955</v>
      </c>
      <c r="D271">
        <v>34</v>
      </c>
      <c r="E271" t="s">
        <v>27</v>
      </c>
      <c r="F271" t="s">
        <v>36</v>
      </c>
      <c r="G271" t="s">
        <v>45</v>
      </c>
      <c r="H271">
        <v>150.19</v>
      </c>
      <c r="I271">
        <v>1</v>
      </c>
      <c r="J271">
        <v>0</v>
      </c>
      <c r="K271">
        <v>150.19</v>
      </c>
      <c r="L271" t="s">
        <v>23</v>
      </c>
      <c r="M271" t="s">
        <v>24</v>
      </c>
      <c r="N271">
        <v>31</v>
      </c>
      <c r="O271">
        <v>4</v>
      </c>
      <c r="P271" t="b">
        <v>1</v>
      </c>
      <c r="Q271">
        <v>1</v>
      </c>
      <c r="R271">
        <v>4</v>
      </c>
    </row>
    <row r="272" spans="1:18">
      <c r="A272" t="s">
        <v>587</v>
      </c>
      <c r="B272" t="s">
        <v>588</v>
      </c>
      <c r="C272" s="1">
        <v>44955</v>
      </c>
      <c r="D272">
        <v>33</v>
      </c>
      <c r="E272" t="s">
        <v>27</v>
      </c>
      <c r="F272" t="s">
        <v>32</v>
      </c>
      <c r="G272" t="s">
        <v>40</v>
      </c>
      <c r="H272">
        <v>252.02</v>
      </c>
      <c r="I272">
        <v>2</v>
      </c>
      <c r="J272">
        <v>46.12</v>
      </c>
      <c r="K272">
        <v>457.92</v>
      </c>
      <c r="L272" t="s">
        <v>49</v>
      </c>
      <c r="M272" t="s">
        <v>24</v>
      </c>
      <c r="N272">
        <v>15</v>
      </c>
      <c r="O272">
        <v>7</v>
      </c>
      <c r="P272" t="b">
        <v>0</v>
      </c>
      <c r="Q272">
        <v>7</v>
      </c>
      <c r="R272">
        <v>5</v>
      </c>
    </row>
    <row r="273" spans="1:18">
      <c r="A273" t="s">
        <v>589</v>
      </c>
      <c r="B273" t="s">
        <v>590</v>
      </c>
      <c r="C273" s="1">
        <v>44955</v>
      </c>
      <c r="D273">
        <v>40</v>
      </c>
      <c r="E273" t="s">
        <v>20</v>
      </c>
      <c r="F273" t="s">
        <v>124</v>
      </c>
      <c r="G273" t="s">
        <v>70</v>
      </c>
      <c r="H273">
        <v>64.040000000000006</v>
      </c>
      <c r="I273">
        <v>3</v>
      </c>
      <c r="J273">
        <v>18.47</v>
      </c>
      <c r="K273">
        <v>173.65</v>
      </c>
      <c r="L273" t="s">
        <v>23</v>
      </c>
      <c r="M273" t="s">
        <v>42</v>
      </c>
      <c r="N273">
        <v>16</v>
      </c>
      <c r="O273">
        <v>10</v>
      </c>
      <c r="P273" t="b">
        <v>0</v>
      </c>
      <c r="Q273">
        <v>18</v>
      </c>
      <c r="R273">
        <v>2</v>
      </c>
    </row>
    <row r="274" spans="1:18">
      <c r="A274" t="s">
        <v>591</v>
      </c>
      <c r="B274" t="s">
        <v>592</v>
      </c>
      <c r="C274" s="1">
        <v>44955</v>
      </c>
      <c r="D274">
        <v>56</v>
      </c>
      <c r="E274" t="s">
        <v>27</v>
      </c>
      <c r="F274" t="s">
        <v>32</v>
      </c>
      <c r="G274" t="s">
        <v>33</v>
      </c>
      <c r="H274">
        <v>40.83</v>
      </c>
      <c r="I274">
        <v>2</v>
      </c>
      <c r="J274">
        <v>0</v>
      </c>
      <c r="K274">
        <v>81.66</v>
      </c>
      <c r="L274" t="s">
        <v>23</v>
      </c>
      <c r="M274" t="s">
        <v>55</v>
      </c>
      <c r="N274">
        <v>11</v>
      </c>
      <c r="O274">
        <v>7</v>
      </c>
      <c r="P274" t="b">
        <v>1</v>
      </c>
      <c r="Q274">
        <v>2</v>
      </c>
      <c r="R274">
        <v>2</v>
      </c>
    </row>
    <row r="275" spans="1:18">
      <c r="A275" t="s">
        <v>593</v>
      </c>
      <c r="B275" t="s">
        <v>594</v>
      </c>
      <c r="C275" s="1">
        <v>44955</v>
      </c>
      <c r="D275">
        <v>33</v>
      </c>
      <c r="E275" t="s">
        <v>20</v>
      </c>
      <c r="F275" t="s">
        <v>48</v>
      </c>
      <c r="G275" t="s">
        <v>37</v>
      </c>
      <c r="H275">
        <v>5164.6400000000003</v>
      </c>
      <c r="I275">
        <v>3</v>
      </c>
      <c r="J275">
        <v>1394.26</v>
      </c>
      <c r="K275">
        <v>14099.66</v>
      </c>
      <c r="L275" t="s">
        <v>23</v>
      </c>
      <c r="M275" t="s">
        <v>24</v>
      </c>
      <c r="N275">
        <v>11</v>
      </c>
      <c r="O275">
        <v>8</v>
      </c>
      <c r="P275" t="b">
        <v>1</v>
      </c>
      <c r="Q275">
        <v>5</v>
      </c>
      <c r="R275">
        <v>1</v>
      </c>
    </row>
    <row r="276" spans="1:18">
      <c r="A276" t="s">
        <v>595</v>
      </c>
      <c r="B276" t="s">
        <v>596</v>
      </c>
      <c r="C276" s="1">
        <v>44955</v>
      </c>
      <c r="D276">
        <v>58</v>
      </c>
      <c r="E276" t="s">
        <v>27</v>
      </c>
      <c r="F276" t="s">
        <v>66</v>
      </c>
      <c r="G276" t="s">
        <v>37</v>
      </c>
      <c r="H276">
        <v>1263.25</v>
      </c>
      <c r="I276">
        <v>1</v>
      </c>
      <c r="J276">
        <v>0</v>
      </c>
      <c r="K276">
        <v>1263.25</v>
      </c>
      <c r="L276" t="s">
        <v>99</v>
      </c>
      <c r="M276" t="s">
        <v>24</v>
      </c>
      <c r="N276">
        <v>34</v>
      </c>
      <c r="O276">
        <v>8</v>
      </c>
      <c r="P276" t="b">
        <v>0</v>
      </c>
      <c r="Q276">
        <v>4</v>
      </c>
      <c r="R276">
        <v>5</v>
      </c>
    </row>
    <row r="277" spans="1:18">
      <c r="A277" t="s">
        <v>597</v>
      </c>
      <c r="B277" t="s">
        <v>598</v>
      </c>
      <c r="C277" s="1">
        <v>44955</v>
      </c>
      <c r="D277">
        <v>18</v>
      </c>
      <c r="E277" t="s">
        <v>20</v>
      </c>
      <c r="F277" t="s">
        <v>28</v>
      </c>
      <c r="G277" t="s">
        <v>45</v>
      </c>
      <c r="H277">
        <v>52.51</v>
      </c>
      <c r="I277">
        <v>3</v>
      </c>
      <c r="J277">
        <v>0</v>
      </c>
      <c r="K277">
        <v>157.53</v>
      </c>
      <c r="L277" t="s">
        <v>29</v>
      </c>
      <c r="M277" t="s">
        <v>24</v>
      </c>
      <c r="N277">
        <v>37</v>
      </c>
      <c r="O277">
        <v>12</v>
      </c>
      <c r="P277" t="b">
        <v>0</v>
      </c>
      <c r="Q277">
        <v>1</v>
      </c>
      <c r="R277">
        <v>5</v>
      </c>
    </row>
    <row r="278" spans="1:18">
      <c r="A278" t="s">
        <v>599</v>
      </c>
      <c r="B278" t="s">
        <v>600</v>
      </c>
      <c r="C278" s="1">
        <v>44955</v>
      </c>
      <c r="D278">
        <v>18</v>
      </c>
      <c r="E278" t="s">
        <v>27</v>
      </c>
      <c r="F278" t="s">
        <v>36</v>
      </c>
      <c r="G278" t="s">
        <v>33</v>
      </c>
      <c r="H278">
        <v>79.510000000000005</v>
      </c>
      <c r="I278">
        <v>4</v>
      </c>
      <c r="J278">
        <v>0</v>
      </c>
      <c r="K278">
        <v>318.04000000000002</v>
      </c>
      <c r="L278" t="s">
        <v>23</v>
      </c>
      <c r="M278" t="s">
        <v>42</v>
      </c>
      <c r="N278">
        <v>5</v>
      </c>
      <c r="O278">
        <v>9</v>
      </c>
      <c r="P278" t="b">
        <v>1</v>
      </c>
      <c r="Q278">
        <v>5</v>
      </c>
      <c r="R278">
        <v>1</v>
      </c>
    </row>
    <row r="279" spans="1:18">
      <c r="A279" t="s">
        <v>601</v>
      </c>
      <c r="B279" t="s">
        <v>602</v>
      </c>
      <c r="C279" s="1">
        <v>44955</v>
      </c>
      <c r="D279">
        <v>38</v>
      </c>
      <c r="E279" t="s">
        <v>27</v>
      </c>
      <c r="F279" t="s">
        <v>21</v>
      </c>
      <c r="G279" t="s">
        <v>22</v>
      </c>
      <c r="H279">
        <v>222.64</v>
      </c>
      <c r="I279">
        <v>1</v>
      </c>
      <c r="J279">
        <v>0</v>
      </c>
      <c r="K279">
        <v>222.64</v>
      </c>
      <c r="L279" t="s">
        <v>29</v>
      </c>
      <c r="M279" t="s">
        <v>24</v>
      </c>
      <c r="N279">
        <v>6</v>
      </c>
      <c r="O279">
        <v>12</v>
      </c>
      <c r="P279" t="b">
        <v>0</v>
      </c>
      <c r="Q279">
        <v>7</v>
      </c>
      <c r="R279">
        <v>3</v>
      </c>
    </row>
    <row r="280" spans="1:18">
      <c r="A280" t="s">
        <v>603</v>
      </c>
      <c r="B280" t="s">
        <v>604</v>
      </c>
      <c r="C280" s="1">
        <v>44956</v>
      </c>
      <c r="D280">
        <v>19</v>
      </c>
      <c r="E280" t="s">
        <v>20</v>
      </c>
      <c r="F280" t="s">
        <v>36</v>
      </c>
      <c r="G280" t="s">
        <v>33</v>
      </c>
      <c r="H280">
        <v>17.809999999999999</v>
      </c>
      <c r="I280">
        <v>1</v>
      </c>
      <c r="J280">
        <v>1.41</v>
      </c>
      <c r="K280">
        <v>16.399999999999999</v>
      </c>
      <c r="L280" t="s">
        <v>23</v>
      </c>
      <c r="M280" t="s">
        <v>24</v>
      </c>
      <c r="N280">
        <v>17</v>
      </c>
      <c r="O280">
        <v>11</v>
      </c>
      <c r="P280" t="b">
        <v>1</v>
      </c>
      <c r="Q280">
        <v>6</v>
      </c>
      <c r="R280">
        <v>5</v>
      </c>
    </row>
    <row r="281" spans="1:18">
      <c r="A281" t="s">
        <v>605</v>
      </c>
      <c r="B281" t="s">
        <v>606</v>
      </c>
      <c r="C281" s="1">
        <v>44956</v>
      </c>
      <c r="D281">
        <v>31</v>
      </c>
      <c r="E281" t="s">
        <v>27</v>
      </c>
      <c r="F281" t="s">
        <v>36</v>
      </c>
      <c r="G281" t="s">
        <v>33</v>
      </c>
      <c r="H281">
        <v>71.28</v>
      </c>
      <c r="I281">
        <v>1</v>
      </c>
      <c r="J281">
        <v>0</v>
      </c>
      <c r="K281">
        <v>71.28</v>
      </c>
      <c r="L281" t="s">
        <v>99</v>
      </c>
      <c r="M281" t="s">
        <v>55</v>
      </c>
      <c r="N281">
        <v>12</v>
      </c>
      <c r="O281">
        <v>7</v>
      </c>
      <c r="P281" t="b">
        <v>1</v>
      </c>
      <c r="Q281">
        <v>5</v>
      </c>
      <c r="R281">
        <v>5</v>
      </c>
    </row>
    <row r="282" spans="1:18">
      <c r="A282" t="s">
        <v>607</v>
      </c>
      <c r="B282" t="s">
        <v>608</v>
      </c>
      <c r="C282" s="1">
        <v>44956</v>
      </c>
      <c r="D282">
        <v>60</v>
      </c>
      <c r="E282" t="s">
        <v>20</v>
      </c>
      <c r="F282" t="s">
        <v>32</v>
      </c>
      <c r="G282" t="s">
        <v>40</v>
      </c>
      <c r="H282">
        <v>785.55</v>
      </c>
      <c r="I282">
        <v>1</v>
      </c>
      <c r="J282">
        <v>0</v>
      </c>
      <c r="K282">
        <v>785.55</v>
      </c>
      <c r="L282" t="s">
        <v>29</v>
      </c>
      <c r="M282" t="s">
        <v>24</v>
      </c>
      <c r="N282">
        <v>1</v>
      </c>
      <c r="O282">
        <v>11</v>
      </c>
      <c r="P282" t="b">
        <v>1</v>
      </c>
      <c r="Q282">
        <v>9</v>
      </c>
      <c r="R282">
        <v>4</v>
      </c>
    </row>
    <row r="283" spans="1:18">
      <c r="A283" t="s">
        <v>609</v>
      </c>
      <c r="B283" t="s">
        <v>610</v>
      </c>
      <c r="C283" s="1">
        <v>44956</v>
      </c>
      <c r="D283">
        <v>41</v>
      </c>
      <c r="E283" t="s">
        <v>27</v>
      </c>
      <c r="F283" t="s">
        <v>28</v>
      </c>
      <c r="G283" t="s">
        <v>22</v>
      </c>
      <c r="H283">
        <v>221.16</v>
      </c>
      <c r="I283">
        <v>2</v>
      </c>
      <c r="J283">
        <v>0</v>
      </c>
      <c r="K283">
        <v>442.32</v>
      </c>
      <c r="L283" t="s">
        <v>41</v>
      </c>
      <c r="M283" t="s">
        <v>42</v>
      </c>
      <c r="N283">
        <v>9</v>
      </c>
      <c r="O283">
        <v>2</v>
      </c>
      <c r="P283" t="b">
        <v>0</v>
      </c>
      <c r="Q283">
        <v>10</v>
      </c>
      <c r="R283">
        <v>4</v>
      </c>
    </row>
    <row r="284" spans="1:18">
      <c r="A284" t="s">
        <v>611</v>
      </c>
      <c r="B284" t="s">
        <v>612</v>
      </c>
      <c r="C284" s="1">
        <v>44956</v>
      </c>
      <c r="D284">
        <v>41</v>
      </c>
      <c r="E284" t="s">
        <v>20</v>
      </c>
      <c r="F284" t="s">
        <v>36</v>
      </c>
      <c r="G284" t="s">
        <v>22</v>
      </c>
      <c r="H284">
        <v>238.51</v>
      </c>
      <c r="I284">
        <v>1</v>
      </c>
      <c r="J284">
        <v>0</v>
      </c>
      <c r="K284">
        <v>238.51</v>
      </c>
      <c r="L284" t="s">
        <v>29</v>
      </c>
      <c r="M284" t="s">
        <v>24</v>
      </c>
      <c r="N284">
        <v>11</v>
      </c>
      <c r="O284">
        <v>16</v>
      </c>
      <c r="P284" t="b">
        <v>1</v>
      </c>
      <c r="Q284">
        <v>7</v>
      </c>
      <c r="R284">
        <v>1</v>
      </c>
    </row>
    <row r="285" spans="1:18">
      <c r="A285" t="s">
        <v>613</v>
      </c>
      <c r="B285" t="s">
        <v>614</v>
      </c>
      <c r="C285" s="1">
        <v>44956</v>
      </c>
      <c r="D285">
        <v>33</v>
      </c>
      <c r="E285" t="s">
        <v>20</v>
      </c>
      <c r="F285" t="s">
        <v>66</v>
      </c>
      <c r="G285" t="s">
        <v>40</v>
      </c>
      <c r="H285">
        <v>235.02</v>
      </c>
      <c r="I285">
        <v>2</v>
      </c>
      <c r="J285">
        <v>0</v>
      </c>
      <c r="K285">
        <v>470.04</v>
      </c>
      <c r="L285" t="s">
        <v>23</v>
      </c>
      <c r="M285" t="s">
        <v>55</v>
      </c>
      <c r="N285">
        <v>11</v>
      </c>
      <c r="O285">
        <v>13</v>
      </c>
      <c r="P285" t="b">
        <v>1</v>
      </c>
      <c r="Q285">
        <v>12</v>
      </c>
      <c r="R285">
        <v>4</v>
      </c>
    </row>
    <row r="286" spans="1:18">
      <c r="A286" t="s">
        <v>615</v>
      </c>
      <c r="B286" t="s">
        <v>616</v>
      </c>
      <c r="C286" s="1">
        <v>44956</v>
      </c>
      <c r="D286">
        <v>27</v>
      </c>
      <c r="E286" t="s">
        <v>20</v>
      </c>
      <c r="F286" t="s">
        <v>21</v>
      </c>
      <c r="G286" t="s">
        <v>22</v>
      </c>
      <c r="H286">
        <v>190.94</v>
      </c>
      <c r="I286">
        <v>4</v>
      </c>
      <c r="J286">
        <v>28.38</v>
      </c>
      <c r="K286">
        <v>735.38</v>
      </c>
      <c r="L286" t="s">
        <v>49</v>
      </c>
      <c r="M286" t="s">
        <v>42</v>
      </c>
      <c r="N286">
        <v>19</v>
      </c>
      <c r="O286">
        <v>5</v>
      </c>
      <c r="P286" t="b">
        <v>1</v>
      </c>
      <c r="Q286">
        <v>6</v>
      </c>
      <c r="R286">
        <v>5</v>
      </c>
    </row>
    <row r="287" spans="1:18">
      <c r="A287" t="s">
        <v>617</v>
      </c>
      <c r="B287" t="s">
        <v>618</v>
      </c>
      <c r="C287" s="1">
        <v>44956</v>
      </c>
      <c r="D287">
        <v>31</v>
      </c>
      <c r="E287" t="s">
        <v>20</v>
      </c>
      <c r="F287" t="s">
        <v>36</v>
      </c>
      <c r="G287" t="s">
        <v>22</v>
      </c>
      <c r="H287">
        <v>110.26</v>
      </c>
      <c r="I287">
        <v>1</v>
      </c>
      <c r="J287">
        <v>0</v>
      </c>
      <c r="K287">
        <v>110.26</v>
      </c>
      <c r="L287" t="s">
        <v>29</v>
      </c>
      <c r="M287" t="s">
        <v>24</v>
      </c>
      <c r="N287">
        <v>1</v>
      </c>
      <c r="O287">
        <v>10</v>
      </c>
      <c r="P287" t="b">
        <v>1</v>
      </c>
      <c r="Q287">
        <v>4</v>
      </c>
      <c r="R287">
        <v>5</v>
      </c>
    </row>
    <row r="288" spans="1:18">
      <c r="A288" t="s">
        <v>619</v>
      </c>
      <c r="B288" t="s">
        <v>620</v>
      </c>
      <c r="C288" s="1">
        <v>44956</v>
      </c>
      <c r="D288">
        <v>49</v>
      </c>
      <c r="E288" t="s">
        <v>20</v>
      </c>
      <c r="F288" t="s">
        <v>178</v>
      </c>
      <c r="G288" t="s">
        <v>45</v>
      </c>
      <c r="H288">
        <v>178.19</v>
      </c>
      <c r="I288">
        <v>2</v>
      </c>
      <c r="J288">
        <v>0</v>
      </c>
      <c r="K288">
        <v>356.38</v>
      </c>
      <c r="L288" t="s">
        <v>23</v>
      </c>
      <c r="M288" t="s">
        <v>24</v>
      </c>
      <c r="N288">
        <v>16</v>
      </c>
      <c r="O288">
        <v>9</v>
      </c>
      <c r="P288" t="b">
        <v>1</v>
      </c>
      <c r="Q288">
        <v>4</v>
      </c>
      <c r="R288">
        <v>3</v>
      </c>
    </row>
    <row r="289" spans="1:18">
      <c r="A289" t="s">
        <v>621</v>
      </c>
      <c r="B289" t="s">
        <v>622</v>
      </c>
      <c r="C289" s="1">
        <v>44957</v>
      </c>
      <c r="D289">
        <v>40</v>
      </c>
      <c r="E289" t="s">
        <v>20</v>
      </c>
      <c r="F289" t="s">
        <v>36</v>
      </c>
      <c r="G289" t="s">
        <v>40</v>
      </c>
      <c r="H289">
        <v>178.93</v>
      </c>
      <c r="I289">
        <v>1</v>
      </c>
      <c r="J289">
        <v>15.22</v>
      </c>
      <c r="K289">
        <v>163.71</v>
      </c>
      <c r="L289" t="s">
        <v>29</v>
      </c>
      <c r="M289" t="s">
        <v>24</v>
      </c>
      <c r="N289">
        <v>15</v>
      </c>
      <c r="O289">
        <v>8</v>
      </c>
      <c r="P289" t="b">
        <v>1</v>
      </c>
      <c r="Q289">
        <v>10</v>
      </c>
      <c r="R289">
        <v>4</v>
      </c>
    </row>
    <row r="290" spans="1:18">
      <c r="A290" t="s">
        <v>623</v>
      </c>
      <c r="B290" t="s">
        <v>624</v>
      </c>
      <c r="C290" s="1">
        <v>44957</v>
      </c>
      <c r="D290">
        <v>18</v>
      </c>
      <c r="E290" t="s">
        <v>27</v>
      </c>
      <c r="F290" t="s">
        <v>36</v>
      </c>
      <c r="G290" t="s">
        <v>22</v>
      </c>
      <c r="H290">
        <v>158.02000000000001</v>
      </c>
      <c r="I290">
        <v>1</v>
      </c>
      <c r="J290">
        <v>21.85</v>
      </c>
      <c r="K290">
        <v>136.16999999999999</v>
      </c>
      <c r="L290" t="s">
        <v>29</v>
      </c>
      <c r="M290" t="s">
        <v>42</v>
      </c>
      <c r="N290">
        <v>36</v>
      </c>
      <c r="O290">
        <v>9</v>
      </c>
      <c r="P290" t="b">
        <v>0</v>
      </c>
      <c r="Q290">
        <v>9</v>
      </c>
      <c r="R290">
        <v>1</v>
      </c>
    </row>
    <row r="291" spans="1:18">
      <c r="A291" t="s">
        <v>625</v>
      </c>
      <c r="B291" t="s">
        <v>626</v>
      </c>
      <c r="C291" s="1">
        <v>44957</v>
      </c>
      <c r="D291">
        <v>22</v>
      </c>
      <c r="E291" t="s">
        <v>27</v>
      </c>
      <c r="F291" t="s">
        <v>36</v>
      </c>
      <c r="G291" t="s">
        <v>54</v>
      </c>
      <c r="H291">
        <v>485.83</v>
      </c>
      <c r="I291">
        <v>1</v>
      </c>
      <c r="J291">
        <v>0</v>
      </c>
      <c r="K291">
        <v>485.83</v>
      </c>
      <c r="L291" t="s">
        <v>29</v>
      </c>
      <c r="M291" t="s">
        <v>24</v>
      </c>
      <c r="N291">
        <v>24</v>
      </c>
      <c r="O291">
        <v>12</v>
      </c>
      <c r="P291" t="b">
        <v>1</v>
      </c>
      <c r="Q291">
        <v>6</v>
      </c>
      <c r="R291">
        <v>4</v>
      </c>
    </row>
    <row r="292" spans="1:18">
      <c r="A292" t="s">
        <v>627</v>
      </c>
      <c r="B292" t="s">
        <v>628</v>
      </c>
      <c r="C292" s="1">
        <v>44957</v>
      </c>
      <c r="D292">
        <v>43</v>
      </c>
      <c r="E292" t="s">
        <v>20</v>
      </c>
      <c r="F292" t="s">
        <v>48</v>
      </c>
      <c r="G292" t="s">
        <v>45</v>
      </c>
      <c r="H292">
        <v>28.39</v>
      </c>
      <c r="I292">
        <v>1</v>
      </c>
      <c r="J292">
        <v>0</v>
      </c>
      <c r="K292">
        <v>28.39</v>
      </c>
      <c r="L292" t="s">
        <v>29</v>
      </c>
      <c r="M292" t="s">
        <v>24</v>
      </c>
      <c r="N292">
        <v>13</v>
      </c>
      <c r="O292">
        <v>10</v>
      </c>
      <c r="P292" t="b">
        <v>1</v>
      </c>
      <c r="Q292">
        <v>12</v>
      </c>
      <c r="R292">
        <v>5</v>
      </c>
    </row>
    <row r="293" spans="1:18">
      <c r="A293" t="s">
        <v>629</v>
      </c>
      <c r="B293" t="s">
        <v>630</v>
      </c>
      <c r="C293" s="1">
        <v>44957</v>
      </c>
      <c r="D293">
        <v>42</v>
      </c>
      <c r="E293" t="s">
        <v>27</v>
      </c>
      <c r="F293" t="s">
        <v>36</v>
      </c>
      <c r="G293" t="s">
        <v>54</v>
      </c>
      <c r="H293">
        <v>274.43</v>
      </c>
      <c r="I293">
        <v>3</v>
      </c>
      <c r="J293">
        <v>47.04</v>
      </c>
      <c r="K293">
        <v>776.25</v>
      </c>
      <c r="L293" t="s">
        <v>23</v>
      </c>
      <c r="M293" t="s">
        <v>24</v>
      </c>
      <c r="N293">
        <v>27</v>
      </c>
      <c r="O293">
        <v>9</v>
      </c>
      <c r="P293" t="b">
        <v>1</v>
      </c>
      <c r="Q293">
        <v>12</v>
      </c>
      <c r="R293">
        <v>4</v>
      </c>
    </row>
    <row r="294" spans="1:18">
      <c r="A294" t="s">
        <v>631</v>
      </c>
      <c r="B294" t="s">
        <v>632</v>
      </c>
      <c r="C294" s="1">
        <v>44957</v>
      </c>
      <c r="D294">
        <v>43</v>
      </c>
      <c r="E294" t="s">
        <v>27</v>
      </c>
      <c r="F294" t="s">
        <v>178</v>
      </c>
      <c r="G294" t="s">
        <v>33</v>
      </c>
      <c r="H294">
        <v>76.5</v>
      </c>
      <c r="I294">
        <v>1</v>
      </c>
      <c r="J294">
        <v>6.92</v>
      </c>
      <c r="K294">
        <v>69.58</v>
      </c>
      <c r="L294" t="s">
        <v>29</v>
      </c>
      <c r="M294" t="s">
        <v>42</v>
      </c>
      <c r="N294">
        <v>16</v>
      </c>
      <c r="O294">
        <v>12</v>
      </c>
      <c r="P294" t="b">
        <v>0</v>
      </c>
      <c r="Q294">
        <v>5</v>
      </c>
      <c r="R294">
        <v>4</v>
      </c>
    </row>
    <row r="295" spans="1:18">
      <c r="A295" t="s">
        <v>633</v>
      </c>
      <c r="B295" t="s">
        <v>634</v>
      </c>
      <c r="C295" s="1">
        <v>44957</v>
      </c>
      <c r="D295">
        <v>38</v>
      </c>
      <c r="E295" t="s">
        <v>20</v>
      </c>
      <c r="F295" t="s">
        <v>36</v>
      </c>
      <c r="G295" t="s">
        <v>54</v>
      </c>
      <c r="H295">
        <v>66.84</v>
      </c>
      <c r="I295">
        <v>4</v>
      </c>
      <c r="J295">
        <v>0</v>
      </c>
      <c r="K295">
        <v>267.36</v>
      </c>
      <c r="L295" t="s">
        <v>29</v>
      </c>
      <c r="M295" t="s">
        <v>42</v>
      </c>
      <c r="N295">
        <v>27</v>
      </c>
      <c r="O295">
        <v>7</v>
      </c>
      <c r="P295" t="b">
        <v>0</v>
      </c>
      <c r="Q295">
        <v>5</v>
      </c>
      <c r="R295">
        <v>4</v>
      </c>
    </row>
    <row r="296" spans="1:18">
      <c r="A296" t="s">
        <v>635</v>
      </c>
      <c r="B296" t="s">
        <v>636</v>
      </c>
      <c r="C296" s="1">
        <v>44957</v>
      </c>
      <c r="D296">
        <v>38</v>
      </c>
      <c r="E296" t="s">
        <v>20</v>
      </c>
      <c r="F296" t="s">
        <v>21</v>
      </c>
      <c r="G296" t="s">
        <v>67</v>
      </c>
      <c r="H296">
        <v>589.21</v>
      </c>
      <c r="I296">
        <v>2</v>
      </c>
      <c r="J296">
        <v>0</v>
      </c>
      <c r="K296">
        <v>1178.42</v>
      </c>
      <c r="L296" t="s">
        <v>23</v>
      </c>
      <c r="M296" t="s">
        <v>24</v>
      </c>
      <c r="N296">
        <v>12</v>
      </c>
      <c r="O296">
        <v>6</v>
      </c>
      <c r="P296" t="b">
        <v>1</v>
      </c>
      <c r="Q296">
        <v>7</v>
      </c>
      <c r="R296">
        <v>5</v>
      </c>
    </row>
    <row r="297" spans="1:18">
      <c r="A297" t="s">
        <v>637</v>
      </c>
      <c r="B297" t="s">
        <v>638</v>
      </c>
      <c r="C297" s="1">
        <v>44957</v>
      </c>
      <c r="D297">
        <v>32</v>
      </c>
      <c r="E297" t="s">
        <v>27</v>
      </c>
      <c r="F297" t="s">
        <v>36</v>
      </c>
      <c r="G297" t="s">
        <v>33</v>
      </c>
      <c r="H297">
        <v>61.49</v>
      </c>
      <c r="I297">
        <v>5</v>
      </c>
      <c r="J297">
        <v>0</v>
      </c>
      <c r="K297">
        <v>307.45</v>
      </c>
      <c r="L297" t="s">
        <v>29</v>
      </c>
      <c r="M297" t="s">
        <v>42</v>
      </c>
      <c r="N297">
        <v>11</v>
      </c>
      <c r="O297">
        <v>6</v>
      </c>
      <c r="P297" t="b">
        <v>0</v>
      </c>
      <c r="Q297">
        <v>4</v>
      </c>
      <c r="R297">
        <v>4</v>
      </c>
    </row>
    <row r="298" spans="1:18">
      <c r="A298" t="s">
        <v>639</v>
      </c>
      <c r="B298" t="s">
        <v>640</v>
      </c>
      <c r="C298" s="1">
        <v>44957</v>
      </c>
      <c r="D298">
        <v>44</v>
      </c>
      <c r="E298" t="s">
        <v>20</v>
      </c>
      <c r="F298" t="s">
        <v>88</v>
      </c>
      <c r="G298" t="s">
        <v>70</v>
      </c>
      <c r="H298">
        <v>38.979999999999997</v>
      </c>
      <c r="I298">
        <v>4</v>
      </c>
      <c r="J298">
        <v>0</v>
      </c>
      <c r="K298">
        <v>155.91999999999999</v>
      </c>
      <c r="L298" t="s">
        <v>29</v>
      </c>
      <c r="M298" t="s">
        <v>24</v>
      </c>
      <c r="N298">
        <v>4</v>
      </c>
      <c r="O298">
        <v>12</v>
      </c>
      <c r="P298" t="b">
        <v>0</v>
      </c>
      <c r="Q298">
        <v>7</v>
      </c>
      <c r="R298">
        <v>5</v>
      </c>
    </row>
    <row r="299" spans="1:18">
      <c r="A299" t="s">
        <v>641</v>
      </c>
      <c r="B299" t="s">
        <v>642</v>
      </c>
      <c r="C299" s="1">
        <v>44957</v>
      </c>
      <c r="D299">
        <v>48</v>
      </c>
      <c r="E299" t="s">
        <v>20</v>
      </c>
      <c r="F299" t="s">
        <v>178</v>
      </c>
      <c r="G299" t="s">
        <v>45</v>
      </c>
      <c r="H299">
        <v>42.57</v>
      </c>
      <c r="I299">
        <v>1</v>
      </c>
      <c r="J299">
        <v>11.98</v>
      </c>
      <c r="K299">
        <v>30.59</v>
      </c>
      <c r="L299" t="s">
        <v>99</v>
      </c>
      <c r="M299" t="s">
        <v>24</v>
      </c>
      <c r="N299">
        <v>22</v>
      </c>
      <c r="O299">
        <v>7</v>
      </c>
      <c r="P299" t="b">
        <v>0</v>
      </c>
      <c r="Q299">
        <v>4</v>
      </c>
      <c r="R299">
        <v>5</v>
      </c>
    </row>
    <row r="300" spans="1:18">
      <c r="A300" t="s">
        <v>643</v>
      </c>
      <c r="B300" t="s">
        <v>644</v>
      </c>
      <c r="C300" s="1">
        <v>44957</v>
      </c>
      <c r="D300">
        <v>38</v>
      </c>
      <c r="E300" t="s">
        <v>27</v>
      </c>
      <c r="F300" t="s">
        <v>36</v>
      </c>
      <c r="G300" t="s">
        <v>45</v>
      </c>
      <c r="H300">
        <v>187.86</v>
      </c>
      <c r="I300">
        <v>1</v>
      </c>
      <c r="J300">
        <v>49.94</v>
      </c>
      <c r="K300">
        <v>137.91999999999999</v>
      </c>
      <c r="L300" t="s">
        <v>99</v>
      </c>
      <c r="M300" t="s">
        <v>42</v>
      </c>
      <c r="N300">
        <v>17</v>
      </c>
      <c r="O300">
        <v>12</v>
      </c>
      <c r="P300" t="b">
        <v>1</v>
      </c>
      <c r="Q300">
        <v>5</v>
      </c>
      <c r="R300">
        <v>5</v>
      </c>
    </row>
    <row r="301" spans="1:18">
      <c r="A301" t="s">
        <v>645</v>
      </c>
      <c r="B301" t="s">
        <v>646</v>
      </c>
      <c r="C301" s="1">
        <v>44957</v>
      </c>
      <c r="D301">
        <v>35</v>
      </c>
      <c r="E301" t="s">
        <v>27</v>
      </c>
      <c r="F301" t="s">
        <v>178</v>
      </c>
      <c r="G301" t="s">
        <v>67</v>
      </c>
      <c r="H301">
        <v>118.78</v>
      </c>
      <c r="I301">
        <v>1</v>
      </c>
      <c r="J301">
        <v>0</v>
      </c>
      <c r="K301">
        <v>118.78</v>
      </c>
      <c r="L301" t="s">
        <v>23</v>
      </c>
      <c r="M301" t="s">
        <v>24</v>
      </c>
      <c r="N301">
        <v>3</v>
      </c>
      <c r="O301">
        <v>13</v>
      </c>
      <c r="P301" t="b">
        <v>1</v>
      </c>
      <c r="Q301">
        <v>6</v>
      </c>
      <c r="R301">
        <v>3</v>
      </c>
    </row>
    <row r="302" spans="1:18">
      <c r="A302" t="s">
        <v>647</v>
      </c>
      <c r="B302" t="s">
        <v>648</v>
      </c>
      <c r="C302" s="1">
        <v>44957</v>
      </c>
      <c r="D302">
        <v>35</v>
      </c>
      <c r="E302" t="s">
        <v>20</v>
      </c>
      <c r="F302" t="s">
        <v>88</v>
      </c>
      <c r="G302" t="s">
        <v>70</v>
      </c>
      <c r="H302">
        <v>51.94</v>
      </c>
      <c r="I302">
        <v>1</v>
      </c>
      <c r="J302">
        <v>14.38</v>
      </c>
      <c r="K302">
        <v>37.56</v>
      </c>
      <c r="L302" t="s">
        <v>49</v>
      </c>
      <c r="M302" t="s">
        <v>42</v>
      </c>
      <c r="N302">
        <v>1</v>
      </c>
      <c r="O302">
        <v>8</v>
      </c>
      <c r="P302" t="b">
        <v>0</v>
      </c>
      <c r="Q302">
        <v>7</v>
      </c>
      <c r="R302">
        <v>3</v>
      </c>
    </row>
    <row r="303" spans="1:18">
      <c r="A303" t="s">
        <v>649</v>
      </c>
      <c r="B303" t="s">
        <v>650</v>
      </c>
      <c r="C303" s="1">
        <v>44958</v>
      </c>
      <c r="D303">
        <v>18</v>
      </c>
      <c r="E303" t="s">
        <v>20</v>
      </c>
      <c r="F303" t="s">
        <v>32</v>
      </c>
      <c r="G303" t="s">
        <v>37</v>
      </c>
      <c r="H303">
        <v>1201.31</v>
      </c>
      <c r="I303">
        <v>1</v>
      </c>
      <c r="J303">
        <v>177.05</v>
      </c>
      <c r="K303">
        <v>1024.26</v>
      </c>
      <c r="L303" t="s">
        <v>29</v>
      </c>
      <c r="M303" t="s">
        <v>42</v>
      </c>
      <c r="N303">
        <v>20</v>
      </c>
      <c r="O303">
        <v>10</v>
      </c>
      <c r="P303" t="b">
        <v>1</v>
      </c>
      <c r="Q303">
        <v>12</v>
      </c>
      <c r="R303">
        <v>5</v>
      </c>
    </row>
    <row r="304" spans="1:18">
      <c r="A304" t="s">
        <v>651</v>
      </c>
      <c r="B304" t="s">
        <v>652</v>
      </c>
      <c r="C304" s="1">
        <v>44958</v>
      </c>
      <c r="D304">
        <v>20</v>
      </c>
      <c r="E304" t="s">
        <v>27</v>
      </c>
      <c r="F304" t="s">
        <v>48</v>
      </c>
      <c r="G304" t="s">
        <v>67</v>
      </c>
      <c r="H304">
        <v>419.96</v>
      </c>
      <c r="I304">
        <v>5</v>
      </c>
      <c r="J304">
        <v>0</v>
      </c>
      <c r="K304">
        <v>2099.8000000000002</v>
      </c>
      <c r="L304" t="s">
        <v>99</v>
      </c>
      <c r="M304" t="s">
        <v>42</v>
      </c>
      <c r="N304">
        <v>30</v>
      </c>
      <c r="O304">
        <v>14</v>
      </c>
      <c r="P304" t="b">
        <v>0</v>
      </c>
      <c r="Q304">
        <v>6</v>
      </c>
      <c r="R304">
        <v>5</v>
      </c>
    </row>
    <row r="305" spans="1:18">
      <c r="A305" t="s">
        <v>653</v>
      </c>
      <c r="B305" t="s">
        <v>654</v>
      </c>
      <c r="C305" s="1">
        <v>44958</v>
      </c>
      <c r="D305">
        <v>23</v>
      </c>
      <c r="E305" t="s">
        <v>27</v>
      </c>
      <c r="F305" t="s">
        <v>21</v>
      </c>
      <c r="G305" t="s">
        <v>33</v>
      </c>
      <c r="H305">
        <v>61.2</v>
      </c>
      <c r="I305">
        <v>2</v>
      </c>
      <c r="J305">
        <v>0</v>
      </c>
      <c r="K305">
        <v>122.4</v>
      </c>
      <c r="L305" t="s">
        <v>23</v>
      </c>
      <c r="M305" t="s">
        <v>24</v>
      </c>
      <c r="N305">
        <v>8</v>
      </c>
      <c r="O305">
        <v>11</v>
      </c>
      <c r="P305" t="b">
        <v>1</v>
      </c>
      <c r="Q305">
        <v>4</v>
      </c>
      <c r="R305">
        <v>5</v>
      </c>
    </row>
    <row r="306" spans="1:18">
      <c r="A306" t="s">
        <v>655</v>
      </c>
      <c r="B306" t="s">
        <v>656</v>
      </c>
      <c r="C306" s="1">
        <v>44958</v>
      </c>
      <c r="D306">
        <v>33</v>
      </c>
      <c r="E306" t="s">
        <v>27</v>
      </c>
      <c r="F306" t="s">
        <v>21</v>
      </c>
      <c r="G306" t="s">
        <v>70</v>
      </c>
      <c r="H306">
        <v>43.59</v>
      </c>
      <c r="I306">
        <v>2</v>
      </c>
      <c r="J306">
        <v>0</v>
      </c>
      <c r="K306">
        <v>87.18</v>
      </c>
      <c r="L306" t="s">
        <v>49</v>
      </c>
      <c r="M306" t="s">
        <v>24</v>
      </c>
      <c r="N306">
        <v>5</v>
      </c>
      <c r="O306">
        <v>8</v>
      </c>
      <c r="P306" t="b">
        <v>1</v>
      </c>
      <c r="Q306">
        <v>10</v>
      </c>
      <c r="R306">
        <v>4</v>
      </c>
    </row>
    <row r="307" spans="1:18">
      <c r="A307" t="s">
        <v>657</v>
      </c>
      <c r="B307" t="s">
        <v>658</v>
      </c>
      <c r="C307" s="1">
        <v>44958</v>
      </c>
      <c r="D307">
        <v>51</v>
      </c>
      <c r="E307" t="s">
        <v>27</v>
      </c>
      <c r="F307" t="s">
        <v>178</v>
      </c>
      <c r="G307" t="s">
        <v>70</v>
      </c>
      <c r="H307">
        <v>80.38</v>
      </c>
      <c r="I307">
        <v>2</v>
      </c>
      <c r="J307">
        <v>4.2300000000000004</v>
      </c>
      <c r="K307">
        <v>156.53</v>
      </c>
      <c r="L307" t="s">
        <v>29</v>
      </c>
      <c r="M307" t="s">
        <v>24</v>
      </c>
      <c r="N307">
        <v>2</v>
      </c>
      <c r="O307">
        <v>10</v>
      </c>
      <c r="P307" t="b">
        <v>1</v>
      </c>
      <c r="Q307">
        <v>4</v>
      </c>
      <c r="R307">
        <v>5</v>
      </c>
    </row>
    <row r="308" spans="1:18">
      <c r="A308" t="s">
        <v>659</v>
      </c>
      <c r="B308" t="s">
        <v>660</v>
      </c>
      <c r="C308" s="1">
        <v>44958</v>
      </c>
      <c r="D308">
        <v>33</v>
      </c>
      <c r="E308" t="s">
        <v>20</v>
      </c>
      <c r="F308" t="s">
        <v>66</v>
      </c>
      <c r="G308" t="s">
        <v>22</v>
      </c>
      <c r="H308">
        <v>247.72</v>
      </c>
      <c r="I308">
        <v>1</v>
      </c>
      <c r="J308">
        <v>0</v>
      </c>
      <c r="K308">
        <v>247.72</v>
      </c>
      <c r="L308" t="s">
        <v>41</v>
      </c>
      <c r="M308" t="s">
        <v>55</v>
      </c>
      <c r="N308">
        <v>54</v>
      </c>
      <c r="O308">
        <v>10</v>
      </c>
      <c r="P308" t="b">
        <v>1</v>
      </c>
      <c r="Q308">
        <v>8</v>
      </c>
      <c r="R308">
        <v>5</v>
      </c>
    </row>
    <row r="309" spans="1:18">
      <c r="A309" t="s">
        <v>661</v>
      </c>
      <c r="B309" t="s">
        <v>662</v>
      </c>
      <c r="C309" s="1">
        <v>44958</v>
      </c>
      <c r="D309">
        <v>48</v>
      </c>
      <c r="E309" t="s">
        <v>20</v>
      </c>
      <c r="F309" t="s">
        <v>48</v>
      </c>
      <c r="G309" t="s">
        <v>22</v>
      </c>
      <c r="H309">
        <v>368.72</v>
      </c>
      <c r="I309">
        <v>1</v>
      </c>
      <c r="J309">
        <v>0</v>
      </c>
      <c r="K309">
        <v>368.72</v>
      </c>
      <c r="L309" t="s">
        <v>23</v>
      </c>
      <c r="M309" t="s">
        <v>42</v>
      </c>
      <c r="N309">
        <v>15</v>
      </c>
      <c r="O309">
        <v>8</v>
      </c>
      <c r="P309" t="b">
        <v>0</v>
      </c>
      <c r="Q309">
        <v>5</v>
      </c>
      <c r="R309">
        <v>3</v>
      </c>
    </row>
    <row r="310" spans="1:18">
      <c r="A310" t="s">
        <v>663</v>
      </c>
      <c r="B310" t="s">
        <v>664</v>
      </c>
      <c r="C310" s="1">
        <v>44958</v>
      </c>
      <c r="D310">
        <v>42</v>
      </c>
      <c r="E310" t="s">
        <v>20</v>
      </c>
      <c r="F310" t="s">
        <v>124</v>
      </c>
      <c r="G310" t="s">
        <v>54</v>
      </c>
      <c r="H310">
        <v>394.76</v>
      </c>
      <c r="I310">
        <v>1</v>
      </c>
      <c r="J310">
        <v>0</v>
      </c>
      <c r="K310">
        <v>394.76</v>
      </c>
      <c r="L310" t="s">
        <v>23</v>
      </c>
      <c r="M310" t="s">
        <v>24</v>
      </c>
      <c r="N310">
        <v>21</v>
      </c>
      <c r="O310">
        <v>13</v>
      </c>
      <c r="P310" t="b">
        <v>1</v>
      </c>
      <c r="Q310">
        <v>3</v>
      </c>
      <c r="R310">
        <v>5</v>
      </c>
    </row>
    <row r="311" spans="1:18">
      <c r="A311" t="s">
        <v>665</v>
      </c>
      <c r="B311" t="s">
        <v>666</v>
      </c>
      <c r="C311" s="1">
        <v>44958</v>
      </c>
      <c r="D311">
        <v>41</v>
      </c>
      <c r="E311" t="s">
        <v>20</v>
      </c>
      <c r="F311" t="s">
        <v>83</v>
      </c>
      <c r="G311" t="s">
        <v>40</v>
      </c>
      <c r="H311">
        <v>367.76</v>
      </c>
      <c r="I311">
        <v>2</v>
      </c>
      <c r="J311">
        <v>0</v>
      </c>
      <c r="K311">
        <v>735.52</v>
      </c>
      <c r="L311" t="s">
        <v>29</v>
      </c>
      <c r="M311" t="s">
        <v>55</v>
      </c>
      <c r="N311">
        <v>3</v>
      </c>
      <c r="O311">
        <v>7</v>
      </c>
      <c r="P311" t="b">
        <v>1</v>
      </c>
      <c r="Q311">
        <v>8</v>
      </c>
      <c r="R311">
        <v>3</v>
      </c>
    </row>
    <row r="312" spans="1:18">
      <c r="A312" t="s">
        <v>667</v>
      </c>
      <c r="B312" t="s">
        <v>668</v>
      </c>
      <c r="C312" s="1">
        <v>44958</v>
      </c>
      <c r="D312">
        <v>18</v>
      </c>
      <c r="E312" t="s">
        <v>20</v>
      </c>
      <c r="F312" t="s">
        <v>28</v>
      </c>
      <c r="G312" t="s">
        <v>67</v>
      </c>
      <c r="H312">
        <v>278.52999999999997</v>
      </c>
      <c r="I312">
        <v>4</v>
      </c>
      <c r="J312">
        <v>0</v>
      </c>
      <c r="K312">
        <v>1114.1199999999999</v>
      </c>
      <c r="L312" t="s">
        <v>29</v>
      </c>
      <c r="M312" t="s">
        <v>24</v>
      </c>
      <c r="N312">
        <v>7</v>
      </c>
      <c r="O312">
        <v>7</v>
      </c>
      <c r="P312" t="b">
        <v>0</v>
      </c>
      <c r="Q312">
        <v>2</v>
      </c>
      <c r="R312">
        <v>5</v>
      </c>
    </row>
    <row r="313" spans="1:18">
      <c r="A313" t="s">
        <v>669</v>
      </c>
      <c r="B313" t="s">
        <v>670</v>
      </c>
      <c r="C313" s="1">
        <v>44958</v>
      </c>
      <c r="D313">
        <v>41</v>
      </c>
      <c r="E313" t="s">
        <v>27</v>
      </c>
      <c r="F313" t="s">
        <v>32</v>
      </c>
      <c r="G313" t="s">
        <v>40</v>
      </c>
      <c r="H313">
        <v>249.14</v>
      </c>
      <c r="I313">
        <v>5</v>
      </c>
      <c r="J313">
        <v>51.02</v>
      </c>
      <c r="K313">
        <v>1194.68</v>
      </c>
      <c r="L313" t="s">
        <v>29</v>
      </c>
      <c r="M313" t="s">
        <v>24</v>
      </c>
      <c r="N313">
        <v>12</v>
      </c>
      <c r="O313">
        <v>6</v>
      </c>
      <c r="P313" t="b">
        <v>0</v>
      </c>
      <c r="Q313">
        <v>9</v>
      </c>
      <c r="R313">
        <v>4</v>
      </c>
    </row>
    <row r="314" spans="1:18">
      <c r="A314" t="s">
        <v>671</v>
      </c>
      <c r="B314" t="s">
        <v>672</v>
      </c>
      <c r="C314" s="1">
        <v>44959</v>
      </c>
      <c r="D314">
        <v>59</v>
      </c>
      <c r="E314" t="s">
        <v>27</v>
      </c>
      <c r="F314" t="s">
        <v>83</v>
      </c>
      <c r="G314" t="s">
        <v>45</v>
      </c>
      <c r="H314">
        <v>64.72</v>
      </c>
      <c r="I314">
        <v>1</v>
      </c>
      <c r="J314">
        <v>0</v>
      </c>
      <c r="K314">
        <v>64.72</v>
      </c>
      <c r="L314" t="s">
        <v>23</v>
      </c>
      <c r="M314" t="s">
        <v>55</v>
      </c>
      <c r="N314">
        <v>7</v>
      </c>
      <c r="O314">
        <v>8</v>
      </c>
      <c r="P314" t="b">
        <v>1</v>
      </c>
      <c r="Q314">
        <v>8</v>
      </c>
      <c r="R314">
        <v>5</v>
      </c>
    </row>
    <row r="315" spans="1:18">
      <c r="A315" t="s">
        <v>673</v>
      </c>
      <c r="B315" t="s">
        <v>674</v>
      </c>
      <c r="C315" s="1">
        <v>44959</v>
      </c>
      <c r="D315">
        <v>44</v>
      </c>
      <c r="E315" t="s">
        <v>27</v>
      </c>
      <c r="F315" t="s">
        <v>36</v>
      </c>
      <c r="G315" t="s">
        <v>45</v>
      </c>
      <c r="H315">
        <v>132.63</v>
      </c>
      <c r="I315">
        <v>1</v>
      </c>
      <c r="J315">
        <v>15.04</v>
      </c>
      <c r="K315">
        <v>117.59</v>
      </c>
      <c r="L315" t="s">
        <v>29</v>
      </c>
      <c r="M315" t="s">
        <v>42</v>
      </c>
      <c r="N315">
        <v>13</v>
      </c>
      <c r="O315">
        <v>11</v>
      </c>
      <c r="P315" t="b">
        <v>0</v>
      </c>
      <c r="Q315">
        <v>10</v>
      </c>
      <c r="R315">
        <v>5</v>
      </c>
    </row>
    <row r="316" spans="1:18">
      <c r="A316" t="s">
        <v>675</v>
      </c>
      <c r="B316" t="s">
        <v>676</v>
      </c>
      <c r="C316" s="1">
        <v>44959</v>
      </c>
      <c r="D316">
        <v>30</v>
      </c>
      <c r="E316" t="s">
        <v>20</v>
      </c>
      <c r="F316" t="s">
        <v>36</v>
      </c>
      <c r="G316" t="s">
        <v>70</v>
      </c>
      <c r="H316">
        <v>49.54</v>
      </c>
      <c r="I316">
        <v>1</v>
      </c>
      <c r="J316">
        <v>0</v>
      </c>
      <c r="K316">
        <v>49.54</v>
      </c>
      <c r="L316" t="s">
        <v>49</v>
      </c>
      <c r="M316" t="s">
        <v>42</v>
      </c>
      <c r="N316">
        <v>14</v>
      </c>
      <c r="O316">
        <v>11</v>
      </c>
      <c r="P316" t="b">
        <v>1</v>
      </c>
      <c r="Q316">
        <v>5</v>
      </c>
      <c r="R316">
        <v>5</v>
      </c>
    </row>
    <row r="317" spans="1:18">
      <c r="A317" t="s">
        <v>677</v>
      </c>
      <c r="B317" t="s">
        <v>678</v>
      </c>
      <c r="C317" s="1">
        <v>44959</v>
      </c>
      <c r="D317">
        <v>34</v>
      </c>
      <c r="E317" t="s">
        <v>20</v>
      </c>
      <c r="F317" t="s">
        <v>32</v>
      </c>
      <c r="G317" t="s">
        <v>37</v>
      </c>
      <c r="H317">
        <v>1563.53</v>
      </c>
      <c r="I317">
        <v>3</v>
      </c>
      <c r="J317">
        <v>0</v>
      </c>
      <c r="K317">
        <v>4690.59</v>
      </c>
      <c r="L317" t="s">
        <v>41</v>
      </c>
      <c r="M317" t="s">
        <v>42</v>
      </c>
      <c r="N317">
        <v>5</v>
      </c>
      <c r="O317">
        <v>8</v>
      </c>
      <c r="P317" t="b">
        <v>1</v>
      </c>
      <c r="Q317">
        <v>7</v>
      </c>
      <c r="R317">
        <v>4</v>
      </c>
    </row>
    <row r="318" spans="1:18">
      <c r="A318" t="s">
        <v>679</v>
      </c>
      <c r="B318" t="s">
        <v>680</v>
      </c>
      <c r="C318" s="1">
        <v>44959</v>
      </c>
      <c r="D318">
        <v>34</v>
      </c>
      <c r="E318" t="s">
        <v>20</v>
      </c>
      <c r="F318" t="s">
        <v>36</v>
      </c>
      <c r="G318" t="s">
        <v>67</v>
      </c>
      <c r="H318">
        <v>1613.69</v>
      </c>
      <c r="I318">
        <v>4</v>
      </c>
      <c r="J318">
        <v>0</v>
      </c>
      <c r="K318">
        <v>6454.76</v>
      </c>
      <c r="L318" t="s">
        <v>29</v>
      </c>
      <c r="M318" t="s">
        <v>42</v>
      </c>
      <c r="N318">
        <v>9</v>
      </c>
      <c r="O318">
        <v>8</v>
      </c>
      <c r="P318" t="b">
        <v>0</v>
      </c>
      <c r="Q318">
        <v>7</v>
      </c>
      <c r="R318">
        <v>4</v>
      </c>
    </row>
    <row r="319" spans="1:18">
      <c r="A319" t="s">
        <v>681</v>
      </c>
      <c r="B319" t="s">
        <v>682</v>
      </c>
      <c r="C319" s="1">
        <v>44959</v>
      </c>
      <c r="D319">
        <v>42</v>
      </c>
      <c r="E319" t="s">
        <v>20</v>
      </c>
      <c r="F319" t="s">
        <v>124</v>
      </c>
      <c r="G319" t="s">
        <v>54</v>
      </c>
      <c r="H319">
        <v>167.43</v>
      </c>
      <c r="I319">
        <v>1</v>
      </c>
      <c r="J319">
        <v>0</v>
      </c>
      <c r="K319">
        <v>167.43</v>
      </c>
      <c r="L319" t="s">
        <v>29</v>
      </c>
      <c r="M319" t="s">
        <v>42</v>
      </c>
      <c r="N319">
        <v>18</v>
      </c>
      <c r="O319">
        <v>7</v>
      </c>
      <c r="P319" t="b">
        <v>0</v>
      </c>
      <c r="Q319">
        <v>11</v>
      </c>
      <c r="R319">
        <v>4</v>
      </c>
    </row>
    <row r="320" spans="1:18">
      <c r="A320" t="s">
        <v>683</v>
      </c>
      <c r="B320" t="s">
        <v>684</v>
      </c>
      <c r="C320" s="1">
        <v>44959</v>
      </c>
      <c r="D320">
        <v>34</v>
      </c>
      <c r="E320" t="s">
        <v>20</v>
      </c>
      <c r="F320" t="s">
        <v>48</v>
      </c>
      <c r="G320" t="s">
        <v>67</v>
      </c>
      <c r="H320">
        <v>580</v>
      </c>
      <c r="I320">
        <v>1</v>
      </c>
      <c r="J320">
        <v>0</v>
      </c>
      <c r="K320">
        <v>580</v>
      </c>
      <c r="L320" t="s">
        <v>41</v>
      </c>
      <c r="M320" t="s">
        <v>24</v>
      </c>
      <c r="N320">
        <v>8</v>
      </c>
      <c r="O320">
        <v>8</v>
      </c>
      <c r="P320" t="b">
        <v>0</v>
      </c>
      <c r="Q320">
        <v>3</v>
      </c>
      <c r="R320">
        <v>5</v>
      </c>
    </row>
    <row r="321" spans="1:18">
      <c r="A321" t="s">
        <v>685</v>
      </c>
      <c r="B321" t="s">
        <v>686</v>
      </c>
      <c r="C321" s="1">
        <v>44959</v>
      </c>
      <c r="D321">
        <v>39</v>
      </c>
      <c r="E321" t="s">
        <v>27</v>
      </c>
      <c r="F321" t="s">
        <v>36</v>
      </c>
      <c r="G321" t="s">
        <v>33</v>
      </c>
      <c r="H321">
        <v>102.74</v>
      </c>
      <c r="I321">
        <v>3</v>
      </c>
      <c r="J321">
        <v>0</v>
      </c>
      <c r="K321">
        <v>308.22000000000003</v>
      </c>
      <c r="L321" t="s">
        <v>49</v>
      </c>
      <c r="M321" t="s">
        <v>24</v>
      </c>
      <c r="N321">
        <v>16</v>
      </c>
      <c r="O321">
        <v>15</v>
      </c>
      <c r="P321" t="b">
        <v>0</v>
      </c>
      <c r="Q321">
        <v>6</v>
      </c>
      <c r="R321">
        <v>1</v>
      </c>
    </row>
    <row r="322" spans="1:18">
      <c r="A322" t="s">
        <v>687</v>
      </c>
      <c r="B322" t="s">
        <v>688</v>
      </c>
      <c r="C322" s="1">
        <v>44959</v>
      </c>
      <c r="D322">
        <v>34</v>
      </c>
      <c r="E322" t="s">
        <v>129</v>
      </c>
      <c r="F322" t="s">
        <v>21</v>
      </c>
      <c r="G322" t="s">
        <v>40</v>
      </c>
      <c r="H322">
        <v>1046.76</v>
      </c>
      <c r="I322">
        <v>2</v>
      </c>
      <c r="J322">
        <v>0</v>
      </c>
      <c r="K322">
        <v>2093.52</v>
      </c>
      <c r="L322" t="s">
        <v>49</v>
      </c>
      <c r="M322" t="s">
        <v>55</v>
      </c>
      <c r="N322">
        <v>5</v>
      </c>
      <c r="O322">
        <v>7</v>
      </c>
      <c r="P322" t="b">
        <v>1</v>
      </c>
      <c r="Q322">
        <v>5</v>
      </c>
      <c r="R322">
        <v>4</v>
      </c>
    </row>
    <row r="323" spans="1:18">
      <c r="A323" t="s">
        <v>689</v>
      </c>
      <c r="B323" t="s">
        <v>690</v>
      </c>
      <c r="C323" s="1">
        <v>44959</v>
      </c>
      <c r="D323">
        <v>33</v>
      </c>
      <c r="E323" t="s">
        <v>27</v>
      </c>
      <c r="F323" t="s">
        <v>48</v>
      </c>
      <c r="G323" t="s">
        <v>70</v>
      </c>
      <c r="H323">
        <v>31.44</v>
      </c>
      <c r="I323">
        <v>1</v>
      </c>
      <c r="J323">
        <v>0</v>
      </c>
      <c r="K323">
        <v>31.44</v>
      </c>
      <c r="L323" t="s">
        <v>49</v>
      </c>
      <c r="M323" t="s">
        <v>24</v>
      </c>
      <c r="N323">
        <v>10</v>
      </c>
      <c r="O323">
        <v>6</v>
      </c>
      <c r="P323" t="b">
        <v>1</v>
      </c>
      <c r="Q323">
        <v>7</v>
      </c>
      <c r="R323">
        <v>3</v>
      </c>
    </row>
    <row r="324" spans="1:18">
      <c r="A324" t="s">
        <v>691</v>
      </c>
      <c r="B324" t="s">
        <v>692</v>
      </c>
      <c r="C324" s="1">
        <v>44959</v>
      </c>
      <c r="D324">
        <v>44</v>
      </c>
      <c r="E324" t="s">
        <v>27</v>
      </c>
      <c r="F324" t="s">
        <v>32</v>
      </c>
      <c r="G324" t="s">
        <v>33</v>
      </c>
      <c r="H324">
        <v>76.58</v>
      </c>
      <c r="I324">
        <v>2</v>
      </c>
      <c r="J324">
        <v>0</v>
      </c>
      <c r="K324">
        <v>153.16</v>
      </c>
      <c r="L324" t="s">
        <v>99</v>
      </c>
      <c r="M324" t="s">
        <v>42</v>
      </c>
      <c r="N324">
        <v>19</v>
      </c>
      <c r="O324">
        <v>12</v>
      </c>
      <c r="P324" t="b">
        <v>1</v>
      </c>
      <c r="Q324">
        <v>7</v>
      </c>
      <c r="R324">
        <v>2</v>
      </c>
    </row>
    <row r="325" spans="1:18">
      <c r="A325" t="s">
        <v>693</v>
      </c>
      <c r="B325" t="s">
        <v>694</v>
      </c>
      <c r="C325" s="1">
        <v>44959</v>
      </c>
      <c r="D325">
        <v>37</v>
      </c>
      <c r="E325" t="s">
        <v>27</v>
      </c>
      <c r="F325" t="s">
        <v>36</v>
      </c>
      <c r="G325" t="s">
        <v>54</v>
      </c>
      <c r="H325">
        <v>114.14</v>
      </c>
      <c r="I325">
        <v>2</v>
      </c>
      <c r="J325">
        <v>0</v>
      </c>
      <c r="K325">
        <v>228.28</v>
      </c>
      <c r="L325" t="s">
        <v>99</v>
      </c>
      <c r="M325" t="s">
        <v>24</v>
      </c>
      <c r="N325">
        <v>5</v>
      </c>
      <c r="O325">
        <v>10</v>
      </c>
      <c r="P325" t="b">
        <v>1</v>
      </c>
      <c r="Q325">
        <v>9</v>
      </c>
      <c r="R325">
        <v>5</v>
      </c>
    </row>
    <row r="326" spans="1:18">
      <c r="A326" t="s">
        <v>695</v>
      </c>
      <c r="B326" t="s">
        <v>696</v>
      </c>
      <c r="C326" s="1">
        <v>44960</v>
      </c>
      <c r="D326">
        <v>28</v>
      </c>
      <c r="E326" t="s">
        <v>20</v>
      </c>
      <c r="F326" t="s">
        <v>36</v>
      </c>
      <c r="G326" t="s">
        <v>70</v>
      </c>
      <c r="H326">
        <v>76.709999999999994</v>
      </c>
      <c r="I326">
        <v>5</v>
      </c>
      <c r="J326">
        <v>0</v>
      </c>
      <c r="K326">
        <v>383.55</v>
      </c>
      <c r="L326" t="s">
        <v>29</v>
      </c>
      <c r="M326" t="s">
        <v>24</v>
      </c>
      <c r="N326">
        <v>14</v>
      </c>
      <c r="O326">
        <v>8</v>
      </c>
      <c r="P326" t="b">
        <v>1</v>
      </c>
      <c r="Q326">
        <v>10</v>
      </c>
      <c r="R326">
        <v>5</v>
      </c>
    </row>
    <row r="327" spans="1:18">
      <c r="A327" t="s">
        <v>697</v>
      </c>
      <c r="B327" t="s">
        <v>698</v>
      </c>
      <c r="C327" s="1">
        <v>44960</v>
      </c>
      <c r="D327">
        <v>51</v>
      </c>
      <c r="E327" t="s">
        <v>20</v>
      </c>
      <c r="F327" t="s">
        <v>36</v>
      </c>
      <c r="G327" t="s">
        <v>54</v>
      </c>
      <c r="H327">
        <v>179.02</v>
      </c>
      <c r="I327">
        <v>4</v>
      </c>
      <c r="J327">
        <v>0</v>
      </c>
      <c r="K327">
        <v>716.08</v>
      </c>
      <c r="L327" t="s">
        <v>23</v>
      </c>
      <c r="M327" t="s">
        <v>24</v>
      </c>
      <c r="N327">
        <v>30</v>
      </c>
      <c r="O327">
        <v>10</v>
      </c>
      <c r="P327" t="b">
        <v>1</v>
      </c>
      <c r="Q327">
        <v>3</v>
      </c>
      <c r="R327">
        <v>2</v>
      </c>
    </row>
    <row r="328" spans="1:18">
      <c r="A328" t="s">
        <v>699</v>
      </c>
      <c r="B328" t="s">
        <v>700</v>
      </c>
      <c r="C328" s="1">
        <v>44960</v>
      </c>
      <c r="D328">
        <v>29</v>
      </c>
      <c r="E328" t="s">
        <v>27</v>
      </c>
      <c r="F328" t="s">
        <v>83</v>
      </c>
      <c r="G328" t="s">
        <v>33</v>
      </c>
      <c r="H328">
        <v>51.69</v>
      </c>
      <c r="I328">
        <v>3</v>
      </c>
      <c r="J328">
        <v>2.68</v>
      </c>
      <c r="K328">
        <v>152.38999999999999</v>
      </c>
      <c r="L328" t="s">
        <v>99</v>
      </c>
      <c r="M328" t="s">
        <v>42</v>
      </c>
      <c r="N328">
        <v>13</v>
      </c>
      <c r="O328">
        <v>9</v>
      </c>
      <c r="P328" t="b">
        <v>1</v>
      </c>
      <c r="Q328">
        <v>3</v>
      </c>
      <c r="R328">
        <v>5</v>
      </c>
    </row>
    <row r="329" spans="1:18">
      <c r="A329" t="s">
        <v>701</v>
      </c>
      <c r="B329" t="s">
        <v>702</v>
      </c>
      <c r="C329" s="1">
        <v>44960</v>
      </c>
      <c r="D329">
        <v>62</v>
      </c>
      <c r="E329" t="s">
        <v>20</v>
      </c>
      <c r="F329" t="s">
        <v>36</v>
      </c>
      <c r="G329" t="s">
        <v>54</v>
      </c>
      <c r="H329">
        <v>692.89</v>
      </c>
      <c r="I329">
        <v>1</v>
      </c>
      <c r="J329">
        <v>0</v>
      </c>
      <c r="K329">
        <v>692.89</v>
      </c>
      <c r="L329" t="s">
        <v>99</v>
      </c>
      <c r="M329" t="s">
        <v>24</v>
      </c>
      <c r="N329">
        <v>36</v>
      </c>
      <c r="O329">
        <v>8</v>
      </c>
      <c r="P329" t="b">
        <v>1</v>
      </c>
      <c r="Q329">
        <v>5</v>
      </c>
      <c r="R329">
        <v>4</v>
      </c>
    </row>
    <row r="330" spans="1:18">
      <c r="A330" t="s">
        <v>703</v>
      </c>
      <c r="B330" t="s">
        <v>704</v>
      </c>
      <c r="C330" s="1">
        <v>44960</v>
      </c>
      <c r="D330">
        <v>63</v>
      </c>
      <c r="E330" t="s">
        <v>20</v>
      </c>
      <c r="F330" t="s">
        <v>83</v>
      </c>
      <c r="G330" t="s">
        <v>45</v>
      </c>
      <c r="H330">
        <v>124.94</v>
      </c>
      <c r="I330">
        <v>2</v>
      </c>
      <c r="J330">
        <v>26.52</v>
      </c>
      <c r="K330">
        <v>223.36</v>
      </c>
      <c r="L330" t="s">
        <v>49</v>
      </c>
      <c r="M330" t="s">
        <v>24</v>
      </c>
      <c r="N330">
        <v>25</v>
      </c>
      <c r="O330">
        <v>10</v>
      </c>
      <c r="P330" t="b">
        <v>1</v>
      </c>
      <c r="Q330">
        <v>5</v>
      </c>
      <c r="R330">
        <v>5</v>
      </c>
    </row>
    <row r="331" spans="1:18">
      <c r="A331" t="s">
        <v>705</v>
      </c>
      <c r="B331" t="s">
        <v>706</v>
      </c>
      <c r="C331" s="1">
        <v>44960</v>
      </c>
      <c r="D331">
        <v>32</v>
      </c>
      <c r="E331" t="s">
        <v>27</v>
      </c>
      <c r="F331" t="s">
        <v>32</v>
      </c>
      <c r="G331" t="s">
        <v>33</v>
      </c>
      <c r="H331">
        <v>54.08</v>
      </c>
      <c r="I331">
        <v>5</v>
      </c>
      <c r="J331">
        <v>0</v>
      </c>
      <c r="K331">
        <v>270.39999999999998</v>
      </c>
      <c r="L331" t="s">
        <v>29</v>
      </c>
      <c r="M331" t="s">
        <v>55</v>
      </c>
      <c r="N331">
        <v>22</v>
      </c>
      <c r="O331">
        <v>10</v>
      </c>
      <c r="P331" t="b">
        <v>1</v>
      </c>
      <c r="Q331">
        <v>11</v>
      </c>
      <c r="R331">
        <v>1</v>
      </c>
    </row>
    <row r="332" spans="1:18">
      <c r="A332" t="s">
        <v>707</v>
      </c>
      <c r="B332" t="s">
        <v>708</v>
      </c>
      <c r="C332" s="1">
        <v>44960</v>
      </c>
      <c r="D332">
        <v>18</v>
      </c>
      <c r="E332" t="s">
        <v>20</v>
      </c>
      <c r="F332" t="s">
        <v>36</v>
      </c>
      <c r="G332" t="s">
        <v>40</v>
      </c>
      <c r="H332">
        <v>117.22</v>
      </c>
      <c r="I332">
        <v>2</v>
      </c>
      <c r="J332">
        <v>0</v>
      </c>
      <c r="K332">
        <v>234.44</v>
      </c>
      <c r="L332" t="s">
        <v>23</v>
      </c>
      <c r="M332" t="s">
        <v>55</v>
      </c>
      <c r="N332">
        <v>17</v>
      </c>
      <c r="O332">
        <v>8</v>
      </c>
      <c r="P332" t="b">
        <v>0</v>
      </c>
      <c r="Q332">
        <v>3</v>
      </c>
      <c r="R332">
        <v>4</v>
      </c>
    </row>
    <row r="333" spans="1:18">
      <c r="A333" t="s">
        <v>709</v>
      </c>
      <c r="B333" t="s">
        <v>710</v>
      </c>
      <c r="C333" s="1">
        <v>44961</v>
      </c>
      <c r="D333">
        <v>28</v>
      </c>
      <c r="E333" t="s">
        <v>20</v>
      </c>
      <c r="F333" t="s">
        <v>124</v>
      </c>
      <c r="G333" t="s">
        <v>37</v>
      </c>
      <c r="H333">
        <v>3602.91</v>
      </c>
      <c r="I333">
        <v>5</v>
      </c>
      <c r="J333">
        <v>0</v>
      </c>
      <c r="K333">
        <v>18014.55</v>
      </c>
      <c r="L333" t="s">
        <v>29</v>
      </c>
      <c r="M333" t="s">
        <v>42</v>
      </c>
      <c r="N333">
        <v>16</v>
      </c>
      <c r="O333">
        <v>13</v>
      </c>
      <c r="P333" t="b">
        <v>1</v>
      </c>
      <c r="Q333">
        <v>4</v>
      </c>
      <c r="R333">
        <v>5</v>
      </c>
    </row>
    <row r="334" spans="1:18">
      <c r="A334" t="s">
        <v>711</v>
      </c>
      <c r="B334" t="s">
        <v>712</v>
      </c>
      <c r="C334" s="1">
        <v>44961</v>
      </c>
      <c r="D334">
        <v>44</v>
      </c>
      <c r="E334" t="s">
        <v>20</v>
      </c>
      <c r="F334" t="s">
        <v>36</v>
      </c>
      <c r="G334" t="s">
        <v>22</v>
      </c>
      <c r="H334">
        <v>341.09</v>
      </c>
      <c r="I334">
        <v>2</v>
      </c>
      <c r="J334">
        <v>0</v>
      </c>
      <c r="K334">
        <v>682.18</v>
      </c>
      <c r="L334" t="s">
        <v>23</v>
      </c>
      <c r="M334" t="s">
        <v>42</v>
      </c>
      <c r="N334">
        <v>15</v>
      </c>
      <c r="O334">
        <v>11</v>
      </c>
      <c r="P334" t="b">
        <v>0</v>
      </c>
      <c r="Q334">
        <v>7</v>
      </c>
      <c r="R334">
        <v>1</v>
      </c>
    </row>
    <row r="335" spans="1:18">
      <c r="A335" t="s">
        <v>713</v>
      </c>
      <c r="B335" t="s">
        <v>714</v>
      </c>
      <c r="C335" s="1">
        <v>44961</v>
      </c>
      <c r="D335">
        <v>38</v>
      </c>
      <c r="E335" t="s">
        <v>27</v>
      </c>
      <c r="F335" t="s">
        <v>21</v>
      </c>
      <c r="G335" t="s">
        <v>45</v>
      </c>
      <c r="H335">
        <v>135.88</v>
      </c>
      <c r="I335">
        <v>4</v>
      </c>
      <c r="J335">
        <v>16.14</v>
      </c>
      <c r="K335">
        <v>527.38</v>
      </c>
      <c r="L335" t="s">
        <v>29</v>
      </c>
      <c r="M335" t="s">
        <v>42</v>
      </c>
      <c r="N335">
        <v>13</v>
      </c>
      <c r="O335">
        <v>15</v>
      </c>
      <c r="P335" t="b">
        <v>0</v>
      </c>
      <c r="Q335">
        <v>7</v>
      </c>
      <c r="R335">
        <v>4</v>
      </c>
    </row>
    <row r="336" spans="1:18">
      <c r="A336" t="s">
        <v>715</v>
      </c>
      <c r="B336" t="s">
        <v>716</v>
      </c>
      <c r="C336" s="1">
        <v>44961</v>
      </c>
      <c r="D336">
        <v>40</v>
      </c>
      <c r="E336" t="s">
        <v>20</v>
      </c>
      <c r="F336" t="s">
        <v>36</v>
      </c>
      <c r="G336" t="s">
        <v>70</v>
      </c>
      <c r="H336">
        <v>19.37</v>
      </c>
      <c r="I336">
        <v>1</v>
      </c>
      <c r="J336">
        <v>0</v>
      </c>
      <c r="K336">
        <v>19.37</v>
      </c>
      <c r="L336" t="s">
        <v>49</v>
      </c>
      <c r="M336" t="s">
        <v>24</v>
      </c>
      <c r="N336">
        <v>16</v>
      </c>
      <c r="O336">
        <v>12</v>
      </c>
      <c r="P336" t="b">
        <v>1</v>
      </c>
      <c r="Q336">
        <v>2</v>
      </c>
      <c r="R336">
        <v>4</v>
      </c>
    </row>
    <row r="337" spans="1:18">
      <c r="A337" t="s">
        <v>717</v>
      </c>
      <c r="B337" t="s">
        <v>718</v>
      </c>
      <c r="C337" s="1">
        <v>44961</v>
      </c>
      <c r="D337">
        <v>46</v>
      </c>
      <c r="E337" t="s">
        <v>27</v>
      </c>
      <c r="F337" t="s">
        <v>28</v>
      </c>
      <c r="G337" t="s">
        <v>37</v>
      </c>
      <c r="H337">
        <v>2222.5</v>
      </c>
      <c r="I337">
        <v>4</v>
      </c>
      <c r="J337">
        <v>0</v>
      </c>
      <c r="K337">
        <v>8890</v>
      </c>
      <c r="L337" t="s">
        <v>49</v>
      </c>
      <c r="M337" t="s">
        <v>42</v>
      </c>
      <c r="N337">
        <v>4</v>
      </c>
      <c r="O337">
        <v>10</v>
      </c>
      <c r="P337" t="b">
        <v>1</v>
      </c>
      <c r="Q337">
        <v>6</v>
      </c>
      <c r="R337">
        <v>5</v>
      </c>
    </row>
    <row r="338" spans="1:18">
      <c r="A338" t="s">
        <v>719</v>
      </c>
      <c r="B338" t="s">
        <v>720</v>
      </c>
      <c r="C338" s="1">
        <v>44961</v>
      </c>
      <c r="D338">
        <v>23</v>
      </c>
      <c r="E338" t="s">
        <v>27</v>
      </c>
      <c r="F338" t="s">
        <v>32</v>
      </c>
      <c r="G338" t="s">
        <v>45</v>
      </c>
      <c r="H338">
        <v>109.83</v>
      </c>
      <c r="I338">
        <v>2</v>
      </c>
      <c r="J338">
        <v>30.49</v>
      </c>
      <c r="K338">
        <v>189.17</v>
      </c>
      <c r="L338" t="s">
        <v>23</v>
      </c>
      <c r="M338" t="s">
        <v>24</v>
      </c>
      <c r="N338">
        <v>23</v>
      </c>
      <c r="O338">
        <v>5</v>
      </c>
      <c r="P338" t="b">
        <v>0</v>
      </c>
      <c r="Q338">
        <v>4</v>
      </c>
      <c r="R338">
        <v>4</v>
      </c>
    </row>
    <row r="339" spans="1:18">
      <c r="A339" t="s">
        <v>721</v>
      </c>
      <c r="B339" t="s">
        <v>722</v>
      </c>
      <c r="C339" s="1">
        <v>44961</v>
      </c>
      <c r="D339">
        <v>38</v>
      </c>
      <c r="E339" t="s">
        <v>20</v>
      </c>
      <c r="F339" t="s">
        <v>48</v>
      </c>
      <c r="G339" t="s">
        <v>22</v>
      </c>
      <c r="H339">
        <v>79.3</v>
      </c>
      <c r="I339">
        <v>2</v>
      </c>
      <c r="J339">
        <v>0</v>
      </c>
      <c r="K339">
        <v>158.6</v>
      </c>
      <c r="L339" t="s">
        <v>29</v>
      </c>
      <c r="M339" t="s">
        <v>55</v>
      </c>
      <c r="N339">
        <v>31</v>
      </c>
      <c r="O339">
        <v>7</v>
      </c>
      <c r="P339" t="b">
        <v>0</v>
      </c>
      <c r="Q339">
        <v>8</v>
      </c>
      <c r="R339">
        <v>3</v>
      </c>
    </row>
    <row r="340" spans="1:18">
      <c r="A340" t="s">
        <v>723</v>
      </c>
      <c r="B340" t="s">
        <v>724</v>
      </c>
      <c r="C340" s="1">
        <v>44961</v>
      </c>
      <c r="D340">
        <v>18</v>
      </c>
      <c r="E340" t="s">
        <v>20</v>
      </c>
      <c r="F340" t="s">
        <v>36</v>
      </c>
      <c r="G340" t="s">
        <v>37</v>
      </c>
      <c r="H340">
        <v>342.48</v>
      </c>
      <c r="I340">
        <v>1</v>
      </c>
      <c r="J340">
        <v>0</v>
      </c>
      <c r="K340">
        <v>342.48</v>
      </c>
      <c r="L340" t="s">
        <v>29</v>
      </c>
      <c r="M340" t="s">
        <v>24</v>
      </c>
      <c r="N340">
        <v>6</v>
      </c>
      <c r="O340">
        <v>9</v>
      </c>
      <c r="P340" t="b">
        <v>1</v>
      </c>
      <c r="Q340">
        <v>12</v>
      </c>
      <c r="R340">
        <v>5</v>
      </c>
    </row>
    <row r="341" spans="1:18">
      <c r="A341" t="s">
        <v>725</v>
      </c>
      <c r="B341" t="s">
        <v>726</v>
      </c>
      <c r="C341" s="1">
        <v>44961</v>
      </c>
      <c r="D341">
        <v>59</v>
      </c>
      <c r="E341" t="s">
        <v>20</v>
      </c>
      <c r="F341" t="s">
        <v>21</v>
      </c>
      <c r="G341" t="s">
        <v>22</v>
      </c>
      <c r="H341">
        <v>78.11</v>
      </c>
      <c r="I341">
        <v>1</v>
      </c>
      <c r="J341">
        <v>0</v>
      </c>
      <c r="K341">
        <v>78.11</v>
      </c>
      <c r="L341" t="s">
        <v>29</v>
      </c>
      <c r="M341" t="s">
        <v>24</v>
      </c>
      <c r="N341">
        <v>15</v>
      </c>
      <c r="O341">
        <v>7</v>
      </c>
      <c r="P341" t="b">
        <v>0</v>
      </c>
      <c r="Q341">
        <v>18</v>
      </c>
      <c r="R341">
        <v>5</v>
      </c>
    </row>
    <row r="342" spans="1:18">
      <c r="A342" t="s">
        <v>727</v>
      </c>
      <c r="B342" t="s">
        <v>728</v>
      </c>
      <c r="C342" s="1">
        <v>44961</v>
      </c>
      <c r="D342">
        <v>32</v>
      </c>
      <c r="E342" t="s">
        <v>20</v>
      </c>
      <c r="F342" t="s">
        <v>178</v>
      </c>
      <c r="G342" t="s">
        <v>67</v>
      </c>
      <c r="H342">
        <v>349.92</v>
      </c>
      <c r="I342">
        <v>1</v>
      </c>
      <c r="J342">
        <v>0</v>
      </c>
      <c r="K342">
        <v>349.92</v>
      </c>
      <c r="L342" t="s">
        <v>49</v>
      </c>
      <c r="M342" t="s">
        <v>24</v>
      </c>
      <c r="N342">
        <v>12</v>
      </c>
      <c r="O342">
        <v>7</v>
      </c>
      <c r="P342" t="b">
        <v>1</v>
      </c>
      <c r="Q342">
        <v>3</v>
      </c>
      <c r="R342">
        <v>5</v>
      </c>
    </row>
    <row r="343" spans="1:18">
      <c r="A343" t="s">
        <v>729</v>
      </c>
      <c r="B343" t="s">
        <v>730</v>
      </c>
      <c r="C343" s="1">
        <v>44961</v>
      </c>
      <c r="D343">
        <v>40</v>
      </c>
      <c r="E343" t="s">
        <v>20</v>
      </c>
      <c r="F343" t="s">
        <v>36</v>
      </c>
      <c r="G343" t="s">
        <v>67</v>
      </c>
      <c r="H343">
        <v>440.83</v>
      </c>
      <c r="I343">
        <v>2</v>
      </c>
      <c r="J343">
        <v>0</v>
      </c>
      <c r="K343">
        <v>881.66</v>
      </c>
      <c r="L343" t="s">
        <v>29</v>
      </c>
      <c r="M343" t="s">
        <v>42</v>
      </c>
      <c r="N343">
        <v>3</v>
      </c>
      <c r="O343">
        <v>11</v>
      </c>
      <c r="P343" t="b">
        <v>1</v>
      </c>
      <c r="Q343">
        <v>4</v>
      </c>
      <c r="R343">
        <v>1</v>
      </c>
    </row>
    <row r="344" spans="1:18">
      <c r="A344" t="s">
        <v>731</v>
      </c>
      <c r="B344" t="s">
        <v>732</v>
      </c>
      <c r="C344" s="1">
        <v>44962</v>
      </c>
      <c r="D344">
        <v>35</v>
      </c>
      <c r="E344" t="s">
        <v>27</v>
      </c>
      <c r="F344" t="s">
        <v>48</v>
      </c>
      <c r="G344" t="s">
        <v>67</v>
      </c>
      <c r="H344">
        <v>205.05</v>
      </c>
      <c r="I344">
        <v>2</v>
      </c>
      <c r="J344">
        <v>0</v>
      </c>
      <c r="K344">
        <v>410.1</v>
      </c>
      <c r="L344" t="s">
        <v>29</v>
      </c>
      <c r="M344" t="s">
        <v>42</v>
      </c>
      <c r="N344">
        <v>22</v>
      </c>
      <c r="O344">
        <v>6</v>
      </c>
      <c r="P344" t="b">
        <v>1</v>
      </c>
      <c r="Q344">
        <v>5</v>
      </c>
      <c r="R344">
        <v>5</v>
      </c>
    </row>
    <row r="345" spans="1:18">
      <c r="A345" t="s">
        <v>733</v>
      </c>
      <c r="B345" t="s">
        <v>734</v>
      </c>
      <c r="C345" s="1">
        <v>44962</v>
      </c>
      <c r="D345">
        <v>36</v>
      </c>
      <c r="E345" t="s">
        <v>20</v>
      </c>
      <c r="F345" t="s">
        <v>36</v>
      </c>
      <c r="G345" t="s">
        <v>54</v>
      </c>
      <c r="H345">
        <v>165.02</v>
      </c>
      <c r="I345">
        <v>1</v>
      </c>
      <c r="J345">
        <v>0</v>
      </c>
      <c r="K345">
        <v>165.02</v>
      </c>
      <c r="L345" t="s">
        <v>49</v>
      </c>
      <c r="M345" t="s">
        <v>42</v>
      </c>
      <c r="N345">
        <v>7</v>
      </c>
      <c r="O345">
        <v>13</v>
      </c>
      <c r="P345" t="b">
        <v>1</v>
      </c>
      <c r="Q345">
        <v>3</v>
      </c>
      <c r="R345">
        <v>2</v>
      </c>
    </row>
    <row r="346" spans="1:18">
      <c r="A346" t="s">
        <v>735</v>
      </c>
      <c r="B346" t="s">
        <v>736</v>
      </c>
      <c r="C346" s="1">
        <v>44962</v>
      </c>
      <c r="D346">
        <v>40</v>
      </c>
      <c r="E346" t="s">
        <v>20</v>
      </c>
      <c r="F346" t="s">
        <v>48</v>
      </c>
      <c r="G346" t="s">
        <v>40</v>
      </c>
      <c r="H346">
        <v>493.49</v>
      </c>
      <c r="I346">
        <v>2</v>
      </c>
      <c r="J346">
        <v>0</v>
      </c>
      <c r="K346">
        <v>986.98</v>
      </c>
      <c r="L346" t="s">
        <v>29</v>
      </c>
      <c r="M346" t="s">
        <v>24</v>
      </c>
      <c r="N346">
        <v>18</v>
      </c>
      <c r="O346">
        <v>9</v>
      </c>
      <c r="P346" t="b">
        <v>1</v>
      </c>
      <c r="Q346">
        <v>4</v>
      </c>
      <c r="R346">
        <v>3</v>
      </c>
    </row>
    <row r="347" spans="1:18">
      <c r="A347" t="s">
        <v>737</v>
      </c>
      <c r="B347" t="s">
        <v>738</v>
      </c>
      <c r="C347" s="1">
        <v>44962</v>
      </c>
      <c r="D347">
        <v>45</v>
      </c>
      <c r="E347" t="s">
        <v>20</v>
      </c>
      <c r="F347" t="s">
        <v>124</v>
      </c>
      <c r="G347" t="s">
        <v>54</v>
      </c>
      <c r="H347">
        <v>21.76</v>
      </c>
      <c r="I347">
        <v>1</v>
      </c>
      <c r="J347">
        <v>0</v>
      </c>
      <c r="K347">
        <v>21.76</v>
      </c>
      <c r="L347" t="s">
        <v>99</v>
      </c>
      <c r="M347" t="s">
        <v>42</v>
      </c>
      <c r="N347">
        <v>8</v>
      </c>
      <c r="O347">
        <v>9</v>
      </c>
      <c r="P347" t="b">
        <v>0</v>
      </c>
      <c r="Q347">
        <v>9</v>
      </c>
      <c r="R347">
        <v>4</v>
      </c>
    </row>
    <row r="348" spans="1:18">
      <c r="A348" t="s">
        <v>739</v>
      </c>
      <c r="B348" t="s">
        <v>740</v>
      </c>
      <c r="C348" s="1">
        <v>44962</v>
      </c>
      <c r="D348">
        <v>53</v>
      </c>
      <c r="E348" t="s">
        <v>20</v>
      </c>
      <c r="F348" t="s">
        <v>36</v>
      </c>
      <c r="G348" t="s">
        <v>40</v>
      </c>
      <c r="H348">
        <v>288.88</v>
      </c>
      <c r="I348">
        <v>1</v>
      </c>
      <c r="J348">
        <v>71.209999999999994</v>
      </c>
      <c r="K348">
        <v>217.67</v>
      </c>
      <c r="L348" t="s">
        <v>29</v>
      </c>
      <c r="M348" t="s">
        <v>24</v>
      </c>
      <c r="N348">
        <v>29</v>
      </c>
      <c r="O348">
        <v>9</v>
      </c>
      <c r="P348" t="b">
        <v>1</v>
      </c>
      <c r="Q348">
        <v>12</v>
      </c>
      <c r="R348">
        <v>3</v>
      </c>
    </row>
    <row r="349" spans="1:18">
      <c r="A349" t="s">
        <v>741</v>
      </c>
      <c r="B349" t="s">
        <v>742</v>
      </c>
      <c r="C349" s="1">
        <v>44962</v>
      </c>
      <c r="D349">
        <v>20</v>
      </c>
      <c r="E349" t="s">
        <v>27</v>
      </c>
      <c r="F349" t="s">
        <v>28</v>
      </c>
      <c r="G349" t="s">
        <v>67</v>
      </c>
      <c r="H349">
        <v>1119.96</v>
      </c>
      <c r="I349">
        <v>1</v>
      </c>
      <c r="J349">
        <v>0</v>
      </c>
      <c r="K349">
        <v>1119.96</v>
      </c>
      <c r="L349" t="s">
        <v>99</v>
      </c>
      <c r="M349" t="s">
        <v>42</v>
      </c>
      <c r="N349">
        <v>16</v>
      </c>
      <c r="O349">
        <v>12</v>
      </c>
      <c r="P349" t="b">
        <v>0</v>
      </c>
      <c r="Q349">
        <v>5</v>
      </c>
      <c r="R349">
        <v>5</v>
      </c>
    </row>
    <row r="350" spans="1:18">
      <c r="A350" t="s">
        <v>743</v>
      </c>
      <c r="B350" t="s">
        <v>744</v>
      </c>
      <c r="C350" s="1">
        <v>44962</v>
      </c>
      <c r="D350">
        <v>18</v>
      </c>
      <c r="E350" t="s">
        <v>20</v>
      </c>
      <c r="F350" t="s">
        <v>21</v>
      </c>
      <c r="G350" t="s">
        <v>40</v>
      </c>
      <c r="H350">
        <v>1125.06</v>
      </c>
      <c r="I350">
        <v>3</v>
      </c>
      <c r="J350">
        <v>0</v>
      </c>
      <c r="K350">
        <v>3375.18</v>
      </c>
      <c r="L350" t="s">
        <v>99</v>
      </c>
      <c r="M350" t="s">
        <v>42</v>
      </c>
      <c r="N350">
        <v>5</v>
      </c>
      <c r="O350">
        <v>7</v>
      </c>
      <c r="P350" t="b">
        <v>1</v>
      </c>
      <c r="Q350">
        <v>14</v>
      </c>
      <c r="R350">
        <v>5</v>
      </c>
    </row>
    <row r="351" spans="1:18">
      <c r="A351" t="s">
        <v>745</v>
      </c>
      <c r="B351" t="s">
        <v>746</v>
      </c>
      <c r="C351" s="1">
        <v>44962</v>
      </c>
      <c r="D351">
        <v>29</v>
      </c>
      <c r="E351" t="s">
        <v>27</v>
      </c>
      <c r="F351" t="s">
        <v>124</v>
      </c>
      <c r="G351" t="s">
        <v>70</v>
      </c>
      <c r="H351">
        <v>62.04</v>
      </c>
      <c r="I351">
        <v>2</v>
      </c>
      <c r="J351">
        <v>10.07</v>
      </c>
      <c r="K351">
        <v>114.01</v>
      </c>
      <c r="L351" t="s">
        <v>29</v>
      </c>
      <c r="M351" t="s">
        <v>24</v>
      </c>
      <c r="N351">
        <v>9</v>
      </c>
      <c r="O351">
        <v>11</v>
      </c>
      <c r="P351" t="b">
        <v>1</v>
      </c>
      <c r="Q351">
        <v>6</v>
      </c>
      <c r="R351">
        <v>5</v>
      </c>
    </row>
    <row r="352" spans="1:18">
      <c r="A352" t="s">
        <v>747</v>
      </c>
      <c r="B352" t="s">
        <v>748</v>
      </c>
      <c r="C352" s="1">
        <v>44962</v>
      </c>
      <c r="D352">
        <v>46</v>
      </c>
      <c r="E352" t="s">
        <v>20</v>
      </c>
      <c r="F352" t="s">
        <v>48</v>
      </c>
      <c r="G352" t="s">
        <v>70</v>
      </c>
      <c r="H352">
        <v>58.17</v>
      </c>
      <c r="I352">
        <v>1</v>
      </c>
      <c r="J352">
        <v>11.02</v>
      </c>
      <c r="K352">
        <v>47.15</v>
      </c>
      <c r="L352" t="s">
        <v>49</v>
      </c>
      <c r="M352" t="s">
        <v>24</v>
      </c>
      <c r="N352">
        <v>8</v>
      </c>
      <c r="O352">
        <v>6</v>
      </c>
      <c r="P352" t="b">
        <v>1</v>
      </c>
      <c r="Q352">
        <v>13</v>
      </c>
      <c r="R352">
        <v>5</v>
      </c>
    </row>
    <row r="353" spans="1:18">
      <c r="A353" t="s">
        <v>749</v>
      </c>
      <c r="B353" t="s">
        <v>750</v>
      </c>
      <c r="C353" s="1">
        <v>44962</v>
      </c>
      <c r="D353">
        <v>18</v>
      </c>
      <c r="E353" t="s">
        <v>129</v>
      </c>
      <c r="F353" t="s">
        <v>36</v>
      </c>
      <c r="G353" t="s">
        <v>37</v>
      </c>
      <c r="H353">
        <v>1456.73</v>
      </c>
      <c r="I353">
        <v>1</v>
      </c>
      <c r="J353">
        <v>0</v>
      </c>
      <c r="K353">
        <v>1456.73</v>
      </c>
      <c r="L353" t="s">
        <v>23</v>
      </c>
      <c r="M353" t="s">
        <v>42</v>
      </c>
      <c r="N353">
        <v>13</v>
      </c>
      <c r="O353">
        <v>8</v>
      </c>
      <c r="P353" t="b">
        <v>1</v>
      </c>
      <c r="Q353">
        <v>3</v>
      </c>
      <c r="R353">
        <v>3</v>
      </c>
    </row>
    <row r="354" spans="1:18">
      <c r="A354" t="s">
        <v>751</v>
      </c>
      <c r="B354" t="s">
        <v>752</v>
      </c>
      <c r="C354" s="1">
        <v>44962</v>
      </c>
      <c r="D354">
        <v>23</v>
      </c>
      <c r="E354" t="s">
        <v>20</v>
      </c>
      <c r="F354" t="s">
        <v>21</v>
      </c>
      <c r="G354" t="s">
        <v>33</v>
      </c>
      <c r="H354">
        <v>141.88</v>
      </c>
      <c r="I354">
        <v>1</v>
      </c>
      <c r="J354">
        <v>0</v>
      </c>
      <c r="K354">
        <v>141.88</v>
      </c>
      <c r="L354" t="s">
        <v>23</v>
      </c>
      <c r="M354" t="s">
        <v>55</v>
      </c>
      <c r="N354">
        <v>8</v>
      </c>
      <c r="O354">
        <v>10</v>
      </c>
      <c r="P354" t="b">
        <v>0</v>
      </c>
      <c r="Q354">
        <v>8</v>
      </c>
      <c r="R354">
        <v>3</v>
      </c>
    </row>
    <row r="355" spans="1:18">
      <c r="A355" t="s">
        <v>753</v>
      </c>
      <c r="B355" t="s">
        <v>754</v>
      </c>
      <c r="C355" s="1">
        <v>44962</v>
      </c>
      <c r="D355">
        <v>18</v>
      </c>
      <c r="E355" t="s">
        <v>20</v>
      </c>
      <c r="F355" t="s">
        <v>48</v>
      </c>
      <c r="G355" t="s">
        <v>54</v>
      </c>
      <c r="H355">
        <v>135.83000000000001</v>
      </c>
      <c r="I355">
        <v>2</v>
      </c>
      <c r="J355">
        <v>0</v>
      </c>
      <c r="K355">
        <v>271.66000000000003</v>
      </c>
      <c r="L355" t="s">
        <v>49</v>
      </c>
      <c r="M355" t="s">
        <v>24</v>
      </c>
      <c r="N355">
        <v>38</v>
      </c>
      <c r="O355">
        <v>11</v>
      </c>
      <c r="P355" t="b">
        <v>1</v>
      </c>
      <c r="Q355">
        <v>13</v>
      </c>
      <c r="R355">
        <v>4</v>
      </c>
    </row>
    <row r="356" spans="1:18">
      <c r="A356" t="s">
        <v>755</v>
      </c>
      <c r="B356" t="s">
        <v>756</v>
      </c>
      <c r="C356" s="1">
        <v>44962</v>
      </c>
      <c r="D356">
        <v>52</v>
      </c>
      <c r="E356" t="s">
        <v>20</v>
      </c>
      <c r="F356" t="s">
        <v>32</v>
      </c>
      <c r="G356" t="s">
        <v>70</v>
      </c>
      <c r="H356">
        <v>58.63</v>
      </c>
      <c r="I356">
        <v>1</v>
      </c>
      <c r="J356">
        <v>0</v>
      </c>
      <c r="K356">
        <v>58.63</v>
      </c>
      <c r="L356" t="s">
        <v>23</v>
      </c>
      <c r="M356" t="s">
        <v>24</v>
      </c>
      <c r="N356">
        <v>12</v>
      </c>
      <c r="O356">
        <v>6</v>
      </c>
      <c r="P356" t="b">
        <v>1</v>
      </c>
      <c r="Q356">
        <v>2</v>
      </c>
      <c r="R356">
        <v>4</v>
      </c>
    </row>
    <row r="357" spans="1:18">
      <c r="A357" t="s">
        <v>757</v>
      </c>
      <c r="B357" t="s">
        <v>758</v>
      </c>
      <c r="C357" s="1">
        <v>44962</v>
      </c>
      <c r="D357">
        <v>35</v>
      </c>
      <c r="E357" t="s">
        <v>27</v>
      </c>
      <c r="F357" t="s">
        <v>66</v>
      </c>
      <c r="G357" t="s">
        <v>67</v>
      </c>
      <c r="H357">
        <v>1647.31</v>
      </c>
      <c r="I357">
        <v>3</v>
      </c>
      <c r="J357">
        <v>201.73</v>
      </c>
      <c r="K357">
        <v>4740.2</v>
      </c>
      <c r="L357" t="s">
        <v>49</v>
      </c>
      <c r="M357" t="s">
        <v>42</v>
      </c>
      <c r="N357">
        <v>16</v>
      </c>
      <c r="O357">
        <v>11</v>
      </c>
      <c r="P357" t="b">
        <v>0</v>
      </c>
      <c r="Q357">
        <v>4</v>
      </c>
      <c r="R357">
        <v>4</v>
      </c>
    </row>
    <row r="358" spans="1:18">
      <c r="A358" t="s">
        <v>759</v>
      </c>
      <c r="B358" t="s">
        <v>760</v>
      </c>
      <c r="C358" s="1">
        <v>44962</v>
      </c>
      <c r="D358">
        <v>33</v>
      </c>
      <c r="E358" t="s">
        <v>20</v>
      </c>
      <c r="F358" t="s">
        <v>178</v>
      </c>
      <c r="G358" t="s">
        <v>67</v>
      </c>
      <c r="H358">
        <v>112.61</v>
      </c>
      <c r="I358">
        <v>3</v>
      </c>
      <c r="J358">
        <v>0</v>
      </c>
      <c r="K358">
        <v>337.83</v>
      </c>
      <c r="L358" t="s">
        <v>29</v>
      </c>
      <c r="M358" t="s">
        <v>42</v>
      </c>
      <c r="N358">
        <v>39</v>
      </c>
      <c r="O358">
        <v>10</v>
      </c>
      <c r="P358" t="b">
        <v>0</v>
      </c>
      <c r="Q358">
        <v>4</v>
      </c>
      <c r="R358">
        <v>3</v>
      </c>
    </row>
    <row r="359" spans="1:18">
      <c r="A359" t="s">
        <v>761</v>
      </c>
      <c r="B359" t="s">
        <v>762</v>
      </c>
      <c r="C359" s="1">
        <v>44962</v>
      </c>
      <c r="D359">
        <v>25</v>
      </c>
      <c r="E359" t="s">
        <v>20</v>
      </c>
      <c r="F359" t="s">
        <v>88</v>
      </c>
      <c r="G359" t="s">
        <v>37</v>
      </c>
      <c r="H359">
        <v>773.84</v>
      </c>
      <c r="I359">
        <v>1</v>
      </c>
      <c r="J359">
        <v>0</v>
      </c>
      <c r="K359">
        <v>773.84</v>
      </c>
      <c r="L359" t="s">
        <v>29</v>
      </c>
      <c r="M359" t="s">
        <v>24</v>
      </c>
      <c r="N359">
        <v>2</v>
      </c>
      <c r="O359">
        <v>6</v>
      </c>
      <c r="P359" t="b">
        <v>0</v>
      </c>
      <c r="Q359">
        <v>7</v>
      </c>
      <c r="R359">
        <v>5</v>
      </c>
    </row>
    <row r="360" spans="1:18">
      <c r="A360" t="s">
        <v>763</v>
      </c>
      <c r="B360" t="s">
        <v>764</v>
      </c>
      <c r="C360" s="1">
        <v>44963</v>
      </c>
      <c r="D360">
        <v>39</v>
      </c>
      <c r="E360" t="s">
        <v>27</v>
      </c>
      <c r="F360" t="s">
        <v>88</v>
      </c>
      <c r="G360" t="s">
        <v>70</v>
      </c>
      <c r="H360">
        <v>27.2</v>
      </c>
      <c r="I360">
        <v>3</v>
      </c>
      <c r="J360">
        <v>0</v>
      </c>
      <c r="K360">
        <v>81.599999999999994</v>
      </c>
      <c r="L360" t="s">
        <v>49</v>
      </c>
      <c r="M360" t="s">
        <v>24</v>
      </c>
      <c r="N360">
        <v>10</v>
      </c>
      <c r="O360">
        <v>10</v>
      </c>
      <c r="P360" t="b">
        <v>1</v>
      </c>
      <c r="Q360">
        <v>6</v>
      </c>
      <c r="R360">
        <v>1</v>
      </c>
    </row>
    <row r="361" spans="1:18">
      <c r="A361" t="s">
        <v>765</v>
      </c>
      <c r="B361" t="s">
        <v>766</v>
      </c>
      <c r="C361" s="1">
        <v>44963</v>
      </c>
      <c r="D361">
        <v>30</v>
      </c>
      <c r="E361" t="s">
        <v>27</v>
      </c>
      <c r="F361" t="s">
        <v>28</v>
      </c>
      <c r="G361" t="s">
        <v>40</v>
      </c>
      <c r="H361">
        <v>367.4</v>
      </c>
      <c r="I361">
        <v>2</v>
      </c>
      <c r="J361">
        <v>0</v>
      </c>
      <c r="K361">
        <v>734.8</v>
      </c>
      <c r="L361" t="s">
        <v>49</v>
      </c>
      <c r="M361" t="s">
        <v>24</v>
      </c>
      <c r="N361">
        <v>22</v>
      </c>
      <c r="O361">
        <v>9</v>
      </c>
      <c r="P361" t="b">
        <v>1</v>
      </c>
      <c r="Q361">
        <v>7</v>
      </c>
      <c r="R361">
        <v>5</v>
      </c>
    </row>
    <row r="362" spans="1:18">
      <c r="A362" t="s">
        <v>767</v>
      </c>
      <c r="B362" t="s">
        <v>768</v>
      </c>
      <c r="C362" s="1">
        <v>44963</v>
      </c>
      <c r="D362">
        <v>22</v>
      </c>
      <c r="E362" t="s">
        <v>27</v>
      </c>
      <c r="F362" t="s">
        <v>83</v>
      </c>
      <c r="G362" t="s">
        <v>33</v>
      </c>
      <c r="H362">
        <v>64.099999999999994</v>
      </c>
      <c r="I362">
        <v>1</v>
      </c>
      <c r="J362">
        <v>0</v>
      </c>
      <c r="K362">
        <v>64.099999999999994</v>
      </c>
      <c r="L362" t="s">
        <v>29</v>
      </c>
      <c r="M362" t="s">
        <v>24</v>
      </c>
      <c r="N362">
        <v>27</v>
      </c>
      <c r="O362">
        <v>10</v>
      </c>
      <c r="P362" t="b">
        <v>0</v>
      </c>
      <c r="Q362">
        <v>5</v>
      </c>
      <c r="R362">
        <v>4</v>
      </c>
    </row>
    <row r="363" spans="1:18">
      <c r="A363" t="s">
        <v>769</v>
      </c>
      <c r="B363" t="s">
        <v>770</v>
      </c>
      <c r="C363" s="1">
        <v>44963</v>
      </c>
      <c r="D363">
        <v>18</v>
      </c>
      <c r="E363" t="s">
        <v>27</v>
      </c>
      <c r="F363" t="s">
        <v>32</v>
      </c>
      <c r="G363" t="s">
        <v>22</v>
      </c>
      <c r="H363">
        <v>58.38</v>
      </c>
      <c r="I363">
        <v>4</v>
      </c>
      <c r="J363">
        <v>0</v>
      </c>
      <c r="K363">
        <v>233.52</v>
      </c>
      <c r="L363" t="s">
        <v>29</v>
      </c>
      <c r="M363" t="s">
        <v>24</v>
      </c>
      <c r="N363">
        <v>12</v>
      </c>
      <c r="O363">
        <v>11</v>
      </c>
      <c r="P363" t="b">
        <v>0</v>
      </c>
      <c r="Q363">
        <v>3</v>
      </c>
      <c r="R363">
        <v>5</v>
      </c>
    </row>
    <row r="364" spans="1:18">
      <c r="A364" t="s">
        <v>771</v>
      </c>
      <c r="B364" t="s">
        <v>772</v>
      </c>
      <c r="C364" s="1">
        <v>44963</v>
      </c>
      <c r="D364">
        <v>20</v>
      </c>
      <c r="E364" t="s">
        <v>27</v>
      </c>
      <c r="F364" t="s">
        <v>88</v>
      </c>
      <c r="G364" t="s">
        <v>22</v>
      </c>
      <c r="H364">
        <v>99.99</v>
      </c>
      <c r="I364">
        <v>5</v>
      </c>
      <c r="J364">
        <v>17.62</v>
      </c>
      <c r="K364">
        <v>482.33</v>
      </c>
      <c r="L364" t="s">
        <v>41</v>
      </c>
      <c r="M364" t="s">
        <v>42</v>
      </c>
      <c r="N364">
        <v>17</v>
      </c>
      <c r="O364">
        <v>8</v>
      </c>
      <c r="P364" t="b">
        <v>1</v>
      </c>
      <c r="Q364">
        <v>1</v>
      </c>
      <c r="R364">
        <v>4</v>
      </c>
    </row>
    <row r="365" spans="1:18">
      <c r="A365" t="s">
        <v>773</v>
      </c>
      <c r="B365" t="s">
        <v>774</v>
      </c>
      <c r="C365" s="1">
        <v>44963</v>
      </c>
      <c r="D365">
        <v>34</v>
      </c>
      <c r="E365" t="s">
        <v>20</v>
      </c>
      <c r="F365" t="s">
        <v>88</v>
      </c>
      <c r="G365" t="s">
        <v>54</v>
      </c>
      <c r="H365">
        <v>751.59</v>
      </c>
      <c r="I365">
        <v>5</v>
      </c>
      <c r="J365">
        <v>0</v>
      </c>
      <c r="K365">
        <v>3757.95</v>
      </c>
      <c r="L365" t="s">
        <v>23</v>
      </c>
      <c r="M365" t="s">
        <v>24</v>
      </c>
      <c r="N365">
        <v>10</v>
      </c>
      <c r="O365">
        <v>5</v>
      </c>
      <c r="P365" t="b">
        <v>1</v>
      </c>
      <c r="Q365">
        <v>4</v>
      </c>
      <c r="R365">
        <v>3</v>
      </c>
    </row>
    <row r="366" spans="1:18">
      <c r="A366" t="s">
        <v>775</v>
      </c>
      <c r="B366" t="s">
        <v>776</v>
      </c>
      <c r="C366" s="1">
        <v>44963</v>
      </c>
      <c r="D366">
        <v>42</v>
      </c>
      <c r="E366" t="s">
        <v>20</v>
      </c>
      <c r="F366" t="s">
        <v>21</v>
      </c>
      <c r="G366" t="s">
        <v>54</v>
      </c>
      <c r="H366">
        <v>254.32</v>
      </c>
      <c r="I366">
        <v>2</v>
      </c>
      <c r="J366">
        <v>0</v>
      </c>
      <c r="K366">
        <v>508.64</v>
      </c>
      <c r="L366" t="s">
        <v>29</v>
      </c>
      <c r="M366" t="s">
        <v>42</v>
      </c>
      <c r="N366">
        <v>6</v>
      </c>
      <c r="O366">
        <v>7</v>
      </c>
      <c r="P366" t="b">
        <v>1</v>
      </c>
      <c r="Q366">
        <v>4</v>
      </c>
      <c r="R366">
        <v>5</v>
      </c>
    </row>
    <row r="367" spans="1:18">
      <c r="A367" t="s">
        <v>777</v>
      </c>
      <c r="B367" t="s">
        <v>778</v>
      </c>
      <c r="C367" s="1">
        <v>44963</v>
      </c>
      <c r="D367">
        <v>33</v>
      </c>
      <c r="E367" t="s">
        <v>20</v>
      </c>
      <c r="F367" t="s">
        <v>36</v>
      </c>
      <c r="G367" t="s">
        <v>70</v>
      </c>
      <c r="H367">
        <v>50.17</v>
      </c>
      <c r="I367">
        <v>4</v>
      </c>
      <c r="J367">
        <v>0</v>
      </c>
      <c r="K367">
        <v>200.68</v>
      </c>
      <c r="L367" t="s">
        <v>29</v>
      </c>
      <c r="M367" t="s">
        <v>24</v>
      </c>
      <c r="N367">
        <v>6</v>
      </c>
      <c r="O367">
        <v>10</v>
      </c>
      <c r="P367" t="b">
        <v>1</v>
      </c>
      <c r="Q367">
        <v>3</v>
      </c>
      <c r="R367">
        <v>4</v>
      </c>
    </row>
    <row r="368" spans="1:18">
      <c r="A368" t="s">
        <v>779</v>
      </c>
      <c r="B368" t="s">
        <v>780</v>
      </c>
      <c r="C368" s="1">
        <v>44964</v>
      </c>
      <c r="D368">
        <v>50</v>
      </c>
      <c r="E368" t="s">
        <v>20</v>
      </c>
      <c r="F368" t="s">
        <v>83</v>
      </c>
      <c r="G368" t="s">
        <v>67</v>
      </c>
      <c r="H368">
        <v>330.96</v>
      </c>
      <c r="I368">
        <v>4</v>
      </c>
      <c r="J368">
        <v>0</v>
      </c>
      <c r="K368">
        <v>1323.84</v>
      </c>
      <c r="L368" t="s">
        <v>29</v>
      </c>
      <c r="M368" t="s">
        <v>24</v>
      </c>
      <c r="N368">
        <v>14</v>
      </c>
      <c r="O368">
        <v>4</v>
      </c>
      <c r="P368" t="b">
        <v>0</v>
      </c>
      <c r="Q368">
        <v>5</v>
      </c>
      <c r="R368">
        <v>3</v>
      </c>
    </row>
    <row r="369" spans="1:18">
      <c r="A369" t="s">
        <v>781</v>
      </c>
      <c r="B369" t="s">
        <v>782</v>
      </c>
      <c r="C369" s="1">
        <v>44964</v>
      </c>
      <c r="D369">
        <v>28</v>
      </c>
      <c r="E369" t="s">
        <v>20</v>
      </c>
      <c r="F369" t="s">
        <v>83</v>
      </c>
      <c r="G369" t="s">
        <v>67</v>
      </c>
      <c r="H369">
        <v>711.42</v>
      </c>
      <c r="I369">
        <v>3</v>
      </c>
      <c r="J369">
        <v>0</v>
      </c>
      <c r="K369">
        <v>2134.2600000000002</v>
      </c>
      <c r="L369" t="s">
        <v>49</v>
      </c>
      <c r="M369" t="s">
        <v>24</v>
      </c>
      <c r="N369">
        <v>16</v>
      </c>
      <c r="O369">
        <v>9</v>
      </c>
      <c r="P369" t="b">
        <v>0</v>
      </c>
      <c r="Q369">
        <v>11</v>
      </c>
      <c r="R369">
        <v>5</v>
      </c>
    </row>
    <row r="370" spans="1:18">
      <c r="A370" t="s">
        <v>783</v>
      </c>
      <c r="B370" t="s">
        <v>784</v>
      </c>
      <c r="C370" s="1">
        <v>44964</v>
      </c>
      <c r="D370">
        <v>18</v>
      </c>
      <c r="E370" t="s">
        <v>20</v>
      </c>
      <c r="F370" t="s">
        <v>36</v>
      </c>
      <c r="G370" t="s">
        <v>33</v>
      </c>
      <c r="H370">
        <v>89.31</v>
      </c>
      <c r="I370">
        <v>5</v>
      </c>
      <c r="J370">
        <v>8.0299999999999994</v>
      </c>
      <c r="K370">
        <v>438.52</v>
      </c>
      <c r="L370" t="s">
        <v>29</v>
      </c>
      <c r="M370" t="s">
        <v>42</v>
      </c>
      <c r="N370">
        <v>9</v>
      </c>
      <c r="O370">
        <v>7</v>
      </c>
      <c r="P370" t="b">
        <v>0</v>
      </c>
      <c r="Q370">
        <v>13</v>
      </c>
      <c r="R370">
        <v>4</v>
      </c>
    </row>
    <row r="371" spans="1:18">
      <c r="A371" t="s">
        <v>785</v>
      </c>
      <c r="B371" t="s">
        <v>786</v>
      </c>
      <c r="C371" s="1">
        <v>44964</v>
      </c>
      <c r="D371">
        <v>47</v>
      </c>
      <c r="E371" t="s">
        <v>20</v>
      </c>
      <c r="F371" t="s">
        <v>32</v>
      </c>
      <c r="G371" t="s">
        <v>67</v>
      </c>
      <c r="H371">
        <v>988.13</v>
      </c>
      <c r="I371">
        <v>2</v>
      </c>
      <c r="J371">
        <v>180.34</v>
      </c>
      <c r="K371">
        <v>1795.92</v>
      </c>
      <c r="L371" t="s">
        <v>29</v>
      </c>
      <c r="M371" t="s">
        <v>42</v>
      </c>
      <c r="N371">
        <v>26</v>
      </c>
      <c r="O371">
        <v>14</v>
      </c>
      <c r="P371" t="b">
        <v>0</v>
      </c>
      <c r="Q371">
        <v>11</v>
      </c>
      <c r="R371">
        <v>4</v>
      </c>
    </row>
    <row r="372" spans="1:18">
      <c r="A372" t="s">
        <v>787</v>
      </c>
      <c r="B372" t="s">
        <v>788</v>
      </c>
      <c r="C372" s="1">
        <v>44964</v>
      </c>
      <c r="D372">
        <v>30</v>
      </c>
      <c r="E372" t="s">
        <v>27</v>
      </c>
      <c r="F372" t="s">
        <v>32</v>
      </c>
      <c r="G372" t="s">
        <v>67</v>
      </c>
      <c r="H372">
        <v>688.78</v>
      </c>
      <c r="I372">
        <v>1</v>
      </c>
      <c r="J372">
        <v>64.900000000000006</v>
      </c>
      <c r="K372">
        <v>623.88</v>
      </c>
      <c r="L372" t="s">
        <v>23</v>
      </c>
      <c r="M372" t="s">
        <v>55</v>
      </c>
      <c r="N372">
        <v>4</v>
      </c>
      <c r="O372">
        <v>10</v>
      </c>
      <c r="P372" t="b">
        <v>1</v>
      </c>
      <c r="Q372">
        <v>5</v>
      </c>
      <c r="R372">
        <v>5</v>
      </c>
    </row>
    <row r="373" spans="1:18">
      <c r="A373" t="s">
        <v>789</v>
      </c>
      <c r="B373" t="s">
        <v>790</v>
      </c>
      <c r="C373" s="1">
        <v>44964</v>
      </c>
      <c r="D373">
        <v>45</v>
      </c>
      <c r="E373" t="s">
        <v>20</v>
      </c>
      <c r="F373" t="s">
        <v>21</v>
      </c>
      <c r="G373" t="s">
        <v>45</v>
      </c>
      <c r="H373">
        <v>49.17</v>
      </c>
      <c r="I373">
        <v>1</v>
      </c>
      <c r="J373">
        <v>0</v>
      </c>
      <c r="K373">
        <v>49.17</v>
      </c>
      <c r="L373" t="s">
        <v>99</v>
      </c>
      <c r="M373" t="s">
        <v>42</v>
      </c>
      <c r="N373">
        <v>30</v>
      </c>
      <c r="O373">
        <v>16</v>
      </c>
      <c r="P373" t="b">
        <v>1</v>
      </c>
      <c r="Q373">
        <v>5</v>
      </c>
      <c r="R373">
        <v>5</v>
      </c>
    </row>
    <row r="374" spans="1:18">
      <c r="A374" t="s">
        <v>791</v>
      </c>
      <c r="B374" t="s">
        <v>792</v>
      </c>
      <c r="C374" s="1">
        <v>44964</v>
      </c>
      <c r="D374">
        <v>54</v>
      </c>
      <c r="E374" t="s">
        <v>20</v>
      </c>
      <c r="F374" t="s">
        <v>66</v>
      </c>
      <c r="G374" t="s">
        <v>45</v>
      </c>
      <c r="H374">
        <v>92.6</v>
      </c>
      <c r="I374">
        <v>1</v>
      </c>
      <c r="J374">
        <v>0</v>
      </c>
      <c r="K374">
        <v>92.6</v>
      </c>
      <c r="L374" t="s">
        <v>29</v>
      </c>
      <c r="M374" t="s">
        <v>24</v>
      </c>
      <c r="N374">
        <v>16</v>
      </c>
      <c r="O374">
        <v>9</v>
      </c>
      <c r="P374" t="b">
        <v>1</v>
      </c>
      <c r="Q374">
        <v>12</v>
      </c>
      <c r="R374">
        <v>2</v>
      </c>
    </row>
    <row r="375" spans="1:18">
      <c r="A375" t="s">
        <v>793</v>
      </c>
      <c r="B375" t="s">
        <v>794</v>
      </c>
      <c r="C375" s="1">
        <v>44964</v>
      </c>
      <c r="D375">
        <v>27</v>
      </c>
      <c r="E375" t="s">
        <v>129</v>
      </c>
      <c r="F375" t="s">
        <v>36</v>
      </c>
      <c r="G375" t="s">
        <v>45</v>
      </c>
      <c r="H375">
        <v>43.62</v>
      </c>
      <c r="I375">
        <v>5</v>
      </c>
      <c r="J375">
        <v>6.81</v>
      </c>
      <c r="K375">
        <v>211.29</v>
      </c>
      <c r="L375" t="s">
        <v>29</v>
      </c>
      <c r="M375" t="s">
        <v>24</v>
      </c>
      <c r="N375">
        <v>15</v>
      </c>
      <c r="O375">
        <v>10</v>
      </c>
      <c r="P375" t="b">
        <v>1</v>
      </c>
      <c r="Q375">
        <v>6</v>
      </c>
      <c r="R375">
        <v>5</v>
      </c>
    </row>
    <row r="376" spans="1:18">
      <c r="A376" t="s">
        <v>795</v>
      </c>
      <c r="B376" t="s">
        <v>796</v>
      </c>
      <c r="C376" s="1">
        <v>44964</v>
      </c>
      <c r="D376">
        <v>18</v>
      </c>
      <c r="E376" t="s">
        <v>27</v>
      </c>
      <c r="F376" t="s">
        <v>83</v>
      </c>
      <c r="G376" t="s">
        <v>54</v>
      </c>
      <c r="H376">
        <v>45.04</v>
      </c>
      <c r="I376">
        <v>5</v>
      </c>
      <c r="J376">
        <v>0</v>
      </c>
      <c r="K376">
        <v>225.2</v>
      </c>
      <c r="L376" t="s">
        <v>23</v>
      </c>
      <c r="M376" t="s">
        <v>24</v>
      </c>
      <c r="N376">
        <v>5</v>
      </c>
      <c r="O376">
        <v>3</v>
      </c>
      <c r="P376" t="b">
        <v>0</v>
      </c>
      <c r="Q376">
        <v>7</v>
      </c>
      <c r="R376">
        <v>3</v>
      </c>
    </row>
    <row r="377" spans="1:18">
      <c r="A377" t="s">
        <v>797</v>
      </c>
      <c r="B377" t="s">
        <v>798</v>
      </c>
      <c r="C377" s="1">
        <v>44964</v>
      </c>
      <c r="D377">
        <v>19</v>
      </c>
      <c r="E377" t="s">
        <v>20</v>
      </c>
      <c r="F377" t="s">
        <v>124</v>
      </c>
      <c r="G377" t="s">
        <v>70</v>
      </c>
      <c r="H377">
        <v>93.46</v>
      </c>
      <c r="I377">
        <v>4</v>
      </c>
      <c r="J377">
        <v>0</v>
      </c>
      <c r="K377">
        <v>373.84</v>
      </c>
      <c r="L377" t="s">
        <v>29</v>
      </c>
      <c r="M377" t="s">
        <v>55</v>
      </c>
      <c r="N377">
        <v>8</v>
      </c>
      <c r="O377">
        <v>5</v>
      </c>
      <c r="P377" t="b">
        <v>0</v>
      </c>
      <c r="Q377">
        <v>4</v>
      </c>
      <c r="R377">
        <v>3</v>
      </c>
    </row>
    <row r="378" spans="1:18">
      <c r="A378" t="s">
        <v>799</v>
      </c>
      <c r="B378" t="s">
        <v>800</v>
      </c>
      <c r="C378" s="1">
        <v>44964</v>
      </c>
      <c r="D378">
        <v>26</v>
      </c>
      <c r="E378" t="s">
        <v>27</v>
      </c>
      <c r="F378" t="s">
        <v>28</v>
      </c>
      <c r="G378" t="s">
        <v>37</v>
      </c>
      <c r="H378">
        <v>573.1</v>
      </c>
      <c r="I378">
        <v>1</v>
      </c>
      <c r="J378">
        <v>109.05</v>
      </c>
      <c r="K378">
        <v>464.05</v>
      </c>
      <c r="L378" t="s">
        <v>49</v>
      </c>
      <c r="M378" t="s">
        <v>42</v>
      </c>
      <c r="N378">
        <v>15</v>
      </c>
      <c r="O378">
        <v>8</v>
      </c>
      <c r="P378" t="b">
        <v>1</v>
      </c>
      <c r="Q378">
        <v>10</v>
      </c>
      <c r="R378">
        <v>4</v>
      </c>
    </row>
    <row r="379" spans="1:18">
      <c r="A379" t="s">
        <v>801</v>
      </c>
      <c r="B379" t="s">
        <v>802</v>
      </c>
      <c r="C379" s="1">
        <v>44964</v>
      </c>
      <c r="D379">
        <v>22</v>
      </c>
      <c r="E379" t="s">
        <v>27</v>
      </c>
      <c r="F379" t="s">
        <v>48</v>
      </c>
      <c r="G379" t="s">
        <v>67</v>
      </c>
      <c r="H379">
        <v>62.17</v>
      </c>
      <c r="I379">
        <v>1</v>
      </c>
      <c r="J379">
        <v>0</v>
      </c>
      <c r="K379">
        <v>62.17</v>
      </c>
      <c r="L379" t="s">
        <v>23</v>
      </c>
      <c r="M379" t="s">
        <v>24</v>
      </c>
      <c r="N379">
        <v>23</v>
      </c>
      <c r="O379">
        <v>9</v>
      </c>
      <c r="P379" t="b">
        <v>1</v>
      </c>
      <c r="Q379">
        <v>8</v>
      </c>
      <c r="R379">
        <v>5</v>
      </c>
    </row>
    <row r="380" spans="1:18">
      <c r="A380" t="s">
        <v>803</v>
      </c>
      <c r="B380" t="s">
        <v>804</v>
      </c>
      <c r="C380" s="1">
        <v>44964</v>
      </c>
      <c r="D380">
        <v>26</v>
      </c>
      <c r="E380" t="s">
        <v>20</v>
      </c>
      <c r="F380" t="s">
        <v>32</v>
      </c>
      <c r="G380" t="s">
        <v>54</v>
      </c>
      <c r="H380">
        <v>149</v>
      </c>
      <c r="I380">
        <v>1</v>
      </c>
      <c r="J380">
        <v>0</v>
      </c>
      <c r="K380">
        <v>149</v>
      </c>
      <c r="L380" t="s">
        <v>29</v>
      </c>
      <c r="M380" t="s">
        <v>42</v>
      </c>
      <c r="N380">
        <v>18</v>
      </c>
      <c r="O380">
        <v>13</v>
      </c>
      <c r="P380" t="b">
        <v>0</v>
      </c>
      <c r="Q380">
        <v>13</v>
      </c>
      <c r="R380">
        <v>3</v>
      </c>
    </row>
    <row r="381" spans="1:18">
      <c r="A381" t="s">
        <v>805</v>
      </c>
      <c r="B381" t="s">
        <v>806</v>
      </c>
      <c r="C381" s="1">
        <v>44964</v>
      </c>
      <c r="D381">
        <v>40</v>
      </c>
      <c r="E381" t="s">
        <v>27</v>
      </c>
      <c r="F381" t="s">
        <v>48</v>
      </c>
      <c r="G381" t="s">
        <v>37</v>
      </c>
      <c r="H381">
        <v>6935.92</v>
      </c>
      <c r="I381">
        <v>1</v>
      </c>
      <c r="J381">
        <v>0</v>
      </c>
      <c r="K381">
        <v>6935.92</v>
      </c>
      <c r="L381" t="s">
        <v>29</v>
      </c>
      <c r="M381" t="s">
        <v>24</v>
      </c>
      <c r="N381">
        <v>5</v>
      </c>
      <c r="O381">
        <v>17</v>
      </c>
      <c r="P381" t="b">
        <v>1</v>
      </c>
      <c r="Q381">
        <v>6</v>
      </c>
      <c r="R381">
        <v>4</v>
      </c>
    </row>
    <row r="382" spans="1:18">
      <c r="A382" t="s">
        <v>807</v>
      </c>
      <c r="B382" t="s">
        <v>808</v>
      </c>
      <c r="C382" s="1">
        <v>44964</v>
      </c>
      <c r="D382">
        <v>28</v>
      </c>
      <c r="E382" t="s">
        <v>20</v>
      </c>
      <c r="F382" t="s">
        <v>124</v>
      </c>
      <c r="G382" t="s">
        <v>67</v>
      </c>
      <c r="H382">
        <v>293.95</v>
      </c>
      <c r="I382">
        <v>1</v>
      </c>
      <c r="J382">
        <v>22.04</v>
      </c>
      <c r="K382">
        <v>271.91000000000003</v>
      </c>
      <c r="L382" t="s">
        <v>29</v>
      </c>
      <c r="M382" t="s">
        <v>55</v>
      </c>
      <c r="N382">
        <v>10</v>
      </c>
      <c r="O382">
        <v>10</v>
      </c>
      <c r="P382" t="b">
        <v>1</v>
      </c>
      <c r="Q382">
        <v>12</v>
      </c>
      <c r="R382">
        <v>5</v>
      </c>
    </row>
    <row r="383" spans="1:18">
      <c r="A383" t="s">
        <v>809</v>
      </c>
      <c r="B383" t="s">
        <v>810</v>
      </c>
      <c r="C383" s="1">
        <v>44964</v>
      </c>
      <c r="D383">
        <v>21</v>
      </c>
      <c r="E383" t="s">
        <v>27</v>
      </c>
      <c r="F383" t="s">
        <v>83</v>
      </c>
      <c r="G383" t="s">
        <v>67</v>
      </c>
      <c r="H383">
        <v>386.85</v>
      </c>
      <c r="I383">
        <v>1</v>
      </c>
      <c r="J383">
        <v>0</v>
      </c>
      <c r="K383">
        <v>386.85</v>
      </c>
      <c r="L383" t="s">
        <v>23</v>
      </c>
      <c r="M383" t="s">
        <v>24</v>
      </c>
      <c r="N383">
        <v>8</v>
      </c>
      <c r="O383">
        <v>6</v>
      </c>
      <c r="P383" t="b">
        <v>1</v>
      </c>
      <c r="Q383">
        <v>6</v>
      </c>
      <c r="R383">
        <v>3</v>
      </c>
    </row>
    <row r="384" spans="1:18">
      <c r="A384" t="s">
        <v>811</v>
      </c>
      <c r="B384" t="s">
        <v>812</v>
      </c>
      <c r="C384" s="1">
        <v>44964</v>
      </c>
      <c r="D384">
        <v>19</v>
      </c>
      <c r="E384" t="s">
        <v>20</v>
      </c>
      <c r="F384" t="s">
        <v>32</v>
      </c>
      <c r="G384" t="s">
        <v>33</v>
      </c>
      <c r="H384">
        <v>27.5</v>
      </c>
      <c r="I384">
        <v>4</v>
      </c>
      <c r="J384">
        <v>0</v>
      </c>
      <c r="K384">
        <v>110</v>
      </c>
      <c r="L384" t="s">
        <v>49</v>
      </c>
      <c r="M384" t="s">
        <v>42</v>
      </c>
      <c r="N384">
        <v>3</v>
      </c>
      <c r="O384">
        <v>9</v>
      </c>
      <c r="P384" t="b">
        <v>1</v>
      </c>
      <c r="Q384">
        <v>7</v>
      </c>
      <c r="R384">
        <v>5</v>
      </c>
    </row>
    <row r="385" spans="1:18">
      <c r="A385" t="s">
        <v>813</v>
      </c>
      <c r="B385" t="s">
        <v>814</v>
      </c>
      <c r="C385" s="1">
        <v>44965</v>
      </c>
      <c r="D385">
        <v>35</v>
      </c>
      <c r="E385" t="s">
        <v>20</v>
      </c>
      <c r="F385" t="s">
        <v>36</v>
      </c>
      <c r="G385" t="s">
        <v>33</v>
      </c>
      <c r="H385">
        <v>54.27</v>
      </c>
      <c r="I385">
        <v>2</v>
      </c>
      <c r="J385">
        <v>0</v>
      </c>
      <c r="K385">
        <v>108.54</v>
      </c>
      <c r="L385" t="s">
        <v>23</v>
      </c>
      <c r="M385" t="s">
        <v>24</v>
      </c>
      <c r="N385">
        <v>6</v>
      </c>
      <c r="O385">
        <v>4</v>
      </c>
      <c r="P385" t="b">
        <v>1</v>
      </c>
      <c r="Q385">
        <v>7</v>
      </c>
      <c r="R385">
        <v>4</v>
      </c>
    </row>
    <row r="386" spans="1:18">
      <c r="A386" t="s">
        <v>815</v>
      </c>
      <c r="B386" t="s">
        <v>816</v>
      </c>
      <c r="C386" s="1">
        <v>44965</v>
      </c>
      <c r="D386">
        <v>23</v>
      </c>
      <c r="E386" t="s">
        <v>27</v>
      </c>
      <c r="F386" t="s">
        <v>36</v>
      </c>
      <c r="G386" t="s">
        <v>22</v>
      </c>
      <c r="H386">
        <v>75.739999999999995</v>
      </c>
      <c r="I386">
        <v>1</v>
      </c>
      <c r="J386">
        <v>0</v>
      </c>
      <c r="K386">
        <v>75.739999999999995</v>
      </c>
      <c r="L386" t="s">
        <v>23</v>
      </c>
      <c r="M386" t="s">
        <v>24</v>
      </c>
      <c r="N386">
        <v>22</v>
      </c>
      <c r="O386">
        <v>5</v>
      </c>
      <c r="P386" t="b">
        <v>1</v>
      </c>
      <c r="Q386">
        <v>7</v>
      </c>
      <c r="R386">
        <v>3</v>
      </c>
    </row>
    <row r="387" spans="1:18">
      <c r="A387" t="s">
        <v>817</v>
      </c>
      <c r="B387" t="s">
        <v>818</v>
      </c>
      <c r="C387" s="1">
        <v>44965</v>
      </c>
      <c r="D387">
        <v>18</v>
      </c>
      <c r="E387" t="s">
        <v>27</v>
      </c>
      <c r="F387" t="s">
        <v>32</v>
      </c>
      <c r="G387" t="s">
        <v>22</v>
      </c>
      <c r="H387">
        <v>145.47</v>
      </c>
      <c r="I387">
        <v>1</v>
      </c>
      <c r="J387">
        <v>0</v>
      </c>
      <c r="K387">
        <v>145.47</v>
      </c>
      <c r="L387" t="s">
        <v>41</v>
      </c>
      <c r="M387" t="s">
        <v>55</v>
      </c>
      <c r="N387">
        <v>10</v>
      </c>
      <c r="O387">
        <v>15</v>
      </c>
      <c r="P387" t="b">
        <v>1</v>
      </c>
      <c r="Q387">
        <v>7</v>
      </c>
      <c r="R387">
        <v>4</v>
      </c>
    </row>
    <row r="388" spans="1:18">
      <c r="A388" t="s">
        <v>819</v>
      </c>
      <c r="B388" t="s">
        <v>820</v>
      </c>
      <c r="C388" s="1">
        <v>44965</v>
      </c>
      <c r="D388">
        <v>41</v>
      </c>
      <c r="E388" t="s">
        <v>27</v>
      </c>
      <c r="F388" t="s">
        <v>83</v>
      </c>
      <c r="G388" t="s">
        <v>67</v>
      </c>
      <c r="H388">
        <v>252.04</v>
      </c>
      <c r="I388">
        <v>5</v>
      </c>
      <c r="J388">
        <v>0</v>
      </c>
      <c r="K388">
        <v>1260.2</v>
      </c>
      <c r="L388" t="s">
        <v>23</v>
      </c>
      <c r="M388" t="s">
        <v>24</v>
      </c>
      <c r="N388">
        <v>17</v>
      </c>
      <c r="O388">
        <v>8</v>
      </c>
      <c r="P388" t="b">
        <v>0</v>
      </c>
      <c r="Q388">
        <v>3</v>
      </c>
      <c r="R388">
        <v>4</v>
      </c>
    </row>
    <row r="389" spans="1:18">
      <c r="A389" t="s">
        <v>821</v>
      </c>
      <c r="B389" t="s">
        <v>822</v>
      </c>
      <c r="C389" s="1">
        <v>44965</v>
      </c>
      <c r="D389">
        <v>21</v>
      </c>
      <c r="E389" t="s">
        <v>27</v>
      </c>
      <c r="F389" t="s">
        <v>36</v>
      </c>
      <c r="G389" t="s">
        <v>70</v>
      </c>
      <c r="H389">
        <v>32.049999999999997</v>
      </c>
      <c r="I389">
        <v>1</v>
      </c>
      <c r="J389">
        <v>0</v>
      </c>
      <c r="K389">
        <v>32.049999999999997</v>
      </c>
      <c r="L389" t="s">
        <v>23</v>
      </c>
      <c r="M389" t="s">
        <v>42</v>
      </c>
      <c r="N389">
        <v>7</v>
      </c>
      <c r="O389">
        <v>7</v>
      </c>
      <c r="P389" t="b">
        <v>0</v>
      </c>
      <c r="Q389">
        <v>12</v>
      </c>
      <c r="R389">
        <v>4</v>
      </c>
    </row>
    <row r="390" spans="1:18">
      <c r="A390" t="s">
        <v>823</v>
      </c>
      <c r="B390" t="s">
        <v>824</v>
      </c>
      <c r="C390" s="1">
        <v>44965</v>
      </c>
      <c r="D390">
        <v>37</v>
      </c>
      <c r="E390" t="s">
        <v>27</v>
      </c>
      <c r="F390" t="s">
        <v>36</v>
      </c>
      <c r="G390" t="s">
        <v>33</v>
      </c>
      <c r="H390">
        <v>18.84</v>
      </c>
      <c r="I390">
        <v>4</v>
      </c>
      <c r="J390">
        <v>0</v>
      </c>
      <c r="K390">
        <v>75.36</v>
      </c>
      <c r="L390" t="s">
        <v>99</v>
      </c>
      <c r="M390" t="s">
        <v>42</v>
      </c>
      <c r="N390">
        <v>12</v>
      </c>
      <c r="O390">
        <v>10</v>
      </c>
      <c r="P390" t="b">
        <v>1</v>
      </c>
      <c r="Q390">
        <v>3</v>
      </c>
      <c r="R390">
        <v>4</v>
      </c>
    </row>
    <row r="391" spans="1:18">
      <c r="A391" t="s">
        <v>825</v>
      </c>
      <c r="B391" t="s">
        <v>826</v>
      </c>
      <c r="C391" s="1">
        <v>44965</v>
      </c>
      <c r="D391">
        <v>46</v>
      </c>
      <c r="E391" t="s">
        <v>27</v>
      </c>
      <c r="F391" t="s">
        <v>21</v>
      </c>
      <c r="G391" t="s">
        <v>54</v>
      </c>
      <c r="H391">
        <v>103.15</v>
      </c>
      <c r="I391">
        <v>1</v>
      </c>
      <c r="J391">
        <v>0</v>
      </c>
      <c r="K391">
        <v>103.15</v>
      </c>
      <c r="L391" t="s">
        <v>29</v>
      </c>
      <c r="M391" t="s">
        <v>42</v>
      </c>
      <c r="N391">
        <v>16</v>
      </c>
      <c r="O391">
        <v>7</v>
      </c>
      <c r="P391" t="b">
        <v>1</v>
      </c>
      <c r="Q391">
        <v>8</v>
      </c>
      <c r="R391">
        <v>2</v>
      </c>
    </row>
    <row r="392" spans="1:18">
      <c r="A392" t="s">
        <v>827</v>
      </c>
      <c r="B392" t="s">
        <v>828</v>
      </c>
      <c r="C392" s="1">
        <v>44965</v>
      </c>
      <c r="D392">
        <v>18</v>
      </c>
      <c r="E392" t="s">
        <v>27</v>
      </c>
      <c r="F392" t="s">
        <v>32</v>
      </c>
      <c r="G392" t="s">
        <v>40</v>
      </c>
      <c r="H392">
        <v>893.98</v>
      </c>
      <c r="I392">
        <v>2</v>
      </c>
      <c r="J392">
        <v>98.59</v>
      </c>
      <c r="K392">
        <v>1689.37</v>
      </c>
      <c r="L392" t="s">
        <v>29</v>
      </c>
      <c r="M392" t="s">
        <v>24</v>
      </c>
      <c r="N392">
        <v>39</v>
      </c>
      <c r="O392">
        <v>12</v>
      </c>
      <c r="P392" t="b">
        <v>1</v>
      </c>
      <c r="Q392">
        <v>8</v>
      </c>
      <c r="R392">
        <v>4</v>
      </c>
    </row>
    <row r="393" spans="1:18">
      <c r="A393" t="s">
        <v>829</v>
      </c>
      <c r="B393" t="s">
        <v>830</v>
      </c>
      <c r="C393" s="1">
        <v>44965</v>
      </c>
      <c r="D393">
        <v>38</v>
      </c>
      <c r="E393" t="s">
        <v>20</v>
      </c>
      <c r="F393" t="s">
        <v>124</v>
      </c>
      <c r="G393" t="s">
        <v>22</v>
      </c>
      <c r="H393">
        <v>116.84</v>
      </c>
      <c r="I393">
        <v>1</v>
      </c>
      <c r="J393">
        <v>0</v>
      </c>
      <c r="K393">
        <v>116.84</v>
      </c>
      <c r="L393" t="s">
        <v>23</v>
      </c>
      <c r="M393" t="s">
        <v>55</v>
      </c>
      <c r="N393">
        <v>32</v>
      </c>
      <c r="O393">
        <v>6</v>
      </c>
      <c r="P393" t="b">
        <v>1</v>
      </c>
      <c r="Q393">
        <v>3</v>
      </c>
      <c r="R393">
        <v>5</v>
      </c>
    </row>
    <row r="394" spans="1:18">
      <c r="A394" t="s">
        <v>831</v>
      </c>
      <c r="B394" t="s">
        <v>832</v>
      </c>
      <c r="C394" s="1">
        <v>44965</v>
      </c>
      <c r="D394">
        <v>47</v>
      </c>
      <c r="E394" t="s">
        <v>20</v>
      </c>
      <c r="F394" t="s">
        <v>36</v>
      </c>
      <c r="G394" t="s">
        <v>37</v>
      </c>
      <c r="H394">
        <v>2784.25</v>
      </c>
      <c r="I394">
        <v>3</v>
      </c>
      <c r="J394">
        <v>0</v>
      </c>
      <c r="K394">
        <v>8352.75</v>
      </c>
      <c r="L394" t="s">
        <v>23</v>
      </c>
      <c r="M394" t="s">
        <v>24</v>
      </c>
      <c r="N394">
        <v>3</v>
      </c>
      <c r="O394">
        <v>10</v>
      </c>
      <c r="P394" t="b">
        <v>0</v>
      </c>
      <c r="Q394">
        <v>6</v>
      </c>
      <c r="R394">
        <v>4</v>
      </c>
    </row>
    <row r="395" spans="1:18">
      <c r="A395" t="s">
        <v>833</v>
      </c>
      <c r="B395" t="s">
        <v>834</v>
      </c>
      <c r="C395" s="1">
        <v>44965</v>
      </c>
      <c r="D395">
        <v>30</v>
      </c>
      <c r="E395" t="s">
        <v>20</v>
      </c>
      <c r="F395" t="s">
        <v>48</v>
      </c>
      <c r="G395" t="s">
        <v>67</v>
      </c>
      <c r="H395">
        <v>996.79</v>
      </c>
      <c r="I395">
        <v>1</v>
      </c>
      <c r="J395">
        <v>0</v>
      </c>
      <c r="K395">
        <v>996.79</v>
      </c>
      <c r="L395" t="s">
        <v>29</v>
      </c>
      <c r="M395" t="s">
        <v>24</v>
      </c>
      <c r="N395">
        <v>5</v>
      </c>
      <c r="O395">
        <v>9</v>
      </c>
      <c r="P395" t="b">
        <v>1</v>
      </c>
      <c r="Q395">
        <v>8</v>
      </c>
      <c r="R395">
        <v>5</v>
      </c>
    </row>
    <row r="396" spans="1:18">
      <c r="A396" t="s">
        <v>835</v>
      </c>
      <c r="B396" t="s">
        <v>836</v>
      </c>
      <c r="C396" s="1">
        <v>44965</v>
      </c>
      <c r="D396">
        <v>49</v>
      </c>
      <c r="E396" t="s">
        <v>20</v>
      </c>
      <c r="F396" t="s">
        <v>21</v>
      </c>
      <c r="G396" t="s">
        <v>67</v>
      </c>
      <c r="H396">
        <v>307.12</v>
      </c>
      <c r="I396">
        <v>1</v>
      </c>
      <c r="J396">
        <v>0</v>
      </c>
      <c r="K396">
        <v>307.12</v>
      </c>
      <c r="L396" t="s">
        <v>49</v>
      </c>
      <c r="M396" t="s">
        <v>24</v>
      </c>
      <c r="N396">
        <v>13</v>
      </c>
      <c r="O396">
        <v>8</v>
      </c>
      <c r="P396" t="b">
        <v>0</v>
      </c>
      <c r="Q396">
        <v>4</v>
      </c>
      <c r="R396">
        <v>4</v>
      </c>
    </row>
    <row r="397" spans="1:18">
      <c r="A397" t="s">
        <v>837</v>
      </c>
      <c r="B397" t="s">
        <v>838</v>
      </c>
      <c r="C397" s="1">
        <v>44965</v>
      </c>
      <c r="D397">
        <v>33</v>
      </c>
      <c r="E397" t="s">
        <v>27</v>
      </c>
      <c r="F397" t="s">
        <v>178</v>
      </c>
      <c r="G397" t="s">
        <v>22</v>
      </c>
      <c r="H397">
        <v>197.36</v>
      </c>
      <c r="I397">
        <v>1</v>
      </c>
      <c r="J397">
        <v>0</v>
      </c>
      <c r="K397">
        <v>197.36</v>
      </c>
      <c r="L397" t="s">
        <v>29</v>
      </c>
      <c r="M397" t="s">
        <v>42</v>
      </c>
      <c r="N397">
        <v>31</v>
      </c>
      <c r="O397">
        <v>5</v>
      </c>
      <c r="P397" t="b">
        <v>1</v>
      </c>
      <c r="Q397">
        <v>11</v>
      </c>
      <c r="R397">
        <v>3</v>
      </c>
    </row>
    <row r="398" spans="1:18">
      <c r="A398" t="s">
        <v>839</v>
      </c>
      <c r="B398" t="s">
        <v>840</v>
      </c>
      <c r="C398" s="1">
        <v>44965</v>
      </c>
      <c r="D398">
        <v>54</v>
      </c>
      <c r="E398" t="s">
        <v>27</v>
      </c>
      <c r="F398" t="s">
        <v>178</v>
      </c>
      <c r="G398" t="s">
        <v>37</v>
      </c>
      <c r="H398">
        <v>4038.5</v>
      </c>
      <c r="I398">
        <v>1</v>
      </c>
      <c r="J398">
        <v>0</v>
      </c>
      <c r="K398">
        <v>4038.5</v>
      </c>
      <c r="L398" t="s">
        <v>29</v>
      </c>
      <c r="M398" t="s">
        <v>24</v>
      </c>
      <c r="N398">
        <v>10</v>
      </c>
      <c r="O398">
        <v>8</v>
      </c>
      <c r="P398" t="b">
        <v>0</v>
      </c>
      <c r="Q398">
        <v>7</v>
      </c>
      <c r="R398">
        <v>4</v>
      </c>
    </row>
    <row r="399" spans="1:18">
      <c r="A399" t="s">
        <v>841</v>
      </c>
      <c r="B399" t="s">
        <v>842</v>
      </c>
      <c r="C399" s="1">
        <v>44966</v>
      </c>
      <c r="D399">
        <v>41</v>
      </c>
      <c r="E399" t="s">
        <v>20</v>
      </c>
      <c r="F399" t="s">
        <v>36</v>
      </c>
      <c r="G399" t="s">
        <v>37</v>
      </c>
      <c r="H399">
        <v>533.51</v>
      </c>
      <c r="I399">
        <v>2</v>
      </c>
      <c r="J399">
        <v>91.38</v>
      </c>
      <c r="K399">
        <v>975.64</v>
      </c>
      <c r="L399" t="s">
        <v>23</v>
      </c>
      <c r="M399" t="s">
        <v>42</v>
      </c>
      <c r="N399">
        <v>5</v>
      </c>
      <c r="O399">
        <v>7</v>
      </c>
      <c r="P399" t="b">
        <v>1</v>
      </c>
      <c r="Q399">
        <v>5</v>
      </c>
      <c r="R399">
        <v>1</v>
      </c>
    </row>
    <row r="400" spans="1:18">
      <c r="A400" t="s">
        <v>843</v>
      </c>
      <c r="B400" t="s">
        <v>844</v>
      </c>
      <c r="C400" s="1">
        <v>44966</v>
      </c>
      <c r="D400">
        <v>32</v>
      </c>
      <c r="E400" t="s">
        <v>27</v>
      </c>
      <c r="F400" t="s">
        <v>83</v>
      </c>
      <c r="G400" t="s">
        <v>40</v>
      </c>
      <c r="H400">
        <v>174.85</v>
      </c>
      <c r="I400">
        <v>1</v>
      </c>
      <c r="J400">
        <v>0</v>
      </c>
      <c r="K400">
        <v>174.85</v>
      </c>
      <c r="L400" t="s">
        <v>29</v>
      </c>
      <c r="M400" t="s">
        <v>24</v>
      </c>
      <c r="N400">
        <v>29</v>
      </c>
      <c r="O400">
        <v>13</v>
      </c>
      <c r="P400" t="b">
        <v>1</v>
      </c>
      <c r="Q400">
        <v>10</v>
      </c>
      <c r="R400">
        <v>5</v>
      </c>
    </row>
    <row r="401" spans="1:18">
      <c r="A401" t="s">
        <v>845</v>
      </c>
      <c r="B401" t="s">
        <v>846</v>
      </c>
      <c r="C401" s="1">
        <v>44966</v>
      </c>
      <c r="D401">
        <v>18</v>
      </c>
      <c r="E401" t="s">
        <v>20</v>
      </c>
      <c r="F401" t="s">
        <v>32</v>
      </c>
      <c r="G401" t="s">
        <v>45</v>
      </c>
      <c r="H401">
        <v>93.74</v>
      </c>
      <c r="I401">
        <v>3</v>
      </c>
      <c r="J401">
        <v>22.02</v>
      </c>
      <c r="K401">
        <v>259.2</v>
      </c>
      <c r="L401" t="s">
        <v>29</v>
      </c>
      <c r="M401" t="s">
        <v>55</v>
      </c>
      <c r="N401">
        <v>10</v>
      </c>
      <c r="O401">
        <v>7</v>
      </c>
      <c r="P401" t="b">
        <v>1</v>
      </c>
      <c r="Q401">
        <v>2</v>
      </c>
      <c r="R401">
        <v>5</v>
      </c>
    </row>
    <row r="402" spans="1:18">
      <c r="A402" t="s">
        <v>847</v>
      </c>
      <c r="B402" t="s">
        <v>848</v>
      </c>
      <c r="C402" s="1">
        <v>44966</v>
      </c>
      <c r="D402">
        <v>45</v>
      </c>
      <c r="E402" t="s">
        <v>27</v>
      </c>
      <c r="F402" t="s">
        <v>28</v>
      </c>
      <c r="G402" t="s">
        <v>54</v>
      </c>
      <c r="H402">
        <v>1800.31</v>
      </c>
      <c r="I402">
        <v>1</v>
      </c>
      <c r="J402">
        <v>389.99</v>
      </c>
      <c r="K402">
        <v>1410.32</v>
      </c>
      <c r="L402" t="s">
        <v>29</v>
      </c>
      <c r="M402" t="s">
        <v>42</v>
      </c>
      <c r="N402">
        <v>19</v>
      </c>
      <c r="O402">
        <v>12</v>
      </c>
      <c r="P402" t="b">
        <v>1</v>
      </c>
      <c r="Q402">
        <v>11</v>
      </c>
      <c r="R402">
        <v>5</v>
      </c>
    </row>
    <row r="403" spans="1:18">
      <c r="A403" t="s">
        <v>849</v>
      </c>
      <c r="B403" t="s">
        <v>850</v>
      </c>
      <c r="C403" s="1">
        <v>44966</v>
      </c>
      <c r="D403">
        <v>54</v>
      </c>
      <c r="E403" t="s">
        <v>20</v>
      </c>
      <c r="F403" t="s">
        <v>36</v>
      </c>
      <c r="G403" t="s">
        <v>37</v>
      </c>
      <c r="H403">
        <v>2946.39</v>
      </c>
      <c r="I403">
        <v>5</v>
      </c>
      <c r="J403">
        <v>0</v>
      </c>
      <c r="K403">
        <v>14731.95</v>
      </c>
      <c r="L403" t="s">
        <v>99</v>
      </c>
      <c r="M403" t="s">
        <v>24</v>
      </c>
      <c r="N403">
        <v>17</v>
      </c>
      <c r="O403">
        <v>9</v>
      </c>
      <c r="P403" t="b">
        <v>1</v>
      </c>
      <c r="Q403">
        <v>2</v>
      </c>
      <c r="R403">
        <v>5</v>
      </c>
    </row>
    <row r="404" spans="1:18">
      <c r="A404" t="s">
        <v>851</v>
      </c>
      <c r="B404" t="s">
        <v>852</v>
      </c>
      <c r="C404" s="1">
        <v>44966</v>
      </c>
      <c r="D404">
        <v>48</v>
      </c>
      <c r="E404" t="s">
        <v>27</v>
      </c>
      <c r="F404" t="s">
        <v>48</v>
      </c>
      <c r="G404" t="s">
        <v>22</v>
      </c>
      <c r="H404">
        <v>233.19</v>
      </c>
      <c r="I404">
        <v>1</v>
      </c>
      <c r="J404">
        <v>49.83</v>
      </c>
      <c r="K404">
        <v>183.36</v>
      </c>
      <c r="L404" t="s">
        <v>23</v>
      </c>
      <c r="M404" t="s">
        <v>24</v>
      </c>
      <c r="N404">
        <v>9</v>
      </c>
      <c r="O404">
        <v>10</v>
      </c>
      <c r="P404" t="b">
        <v>1</v>
      </c>
      <c r="Q404">
        <v>4</v>
      </c>
      <c r="R404">
        <v>2</v>
      </c>
    </row>
    <row r="405" spans="1:18">
      <c r="A405" t="s">
        <v>853</v>
      </c>
      <c r="B405" t="s">
        <v>854</v>
      </c>
      <c r="C405" s="1">
        <v>44966</v>
      </c>
      <c r="D405">
        <v>18</v>
      </c>
      <c r="E405" t="s">
        <v>27</v>
      </c>
      <c r="F405" t="s">
        <v>28</v>
      </c>
      <c r="G405" t="s">
        <v>54</v>
      </c>
      <c r="H405">
        <v>515.04999999999995</v>
      </c>
      <c r="I405">
        <v>2</v>
      </c>
      <c r="J405">
        <v>0</v>
      </c>
      <c r="K405">
        <v>1030.0999999999999</v>
      </c>
      <c r="L405" t="s">
        <v>23</v>
      </c>
      <c r="M405" t="s">
        <v>24</v>
      </c>
      <c r="N405">
        <v>26</v>
      </c>
      <c r="O405">
        <v>10</v>
      </c>
      <c r="P405" t="b">
        <v>0</v>
      </c>
      <c r="Q405">
        <v>5</v>
      </c>
      <c r="R405">
        <v>3</v>
      </c>
    </row>
    <row r="406" spans="1:18">
      <c r="A406" t="s">
        <v>855</v>
      </c>
      <c r="B406" t="s">
        <v>856</v>
      </c>
      <c r="C406" s="1">
        <v>44966</v>
      </c>
      <c r="D406">
        <v>42</v>
      </c>
      <c r="E406" t="s">
        <v>27</v>
      </c>
      <c r="F406" t="s">
        <v>32</v>
      </c>
      <c r="G406" t="s">
        <v>37</v>
      </c>
      <c r="H406">
        <v>1066.72</v>
      </c>
      <c r="I406">
        <v>4</v>
      </c>
      <c r="J406">
        <v>194.99</v>
      </c>
      <c r="K406">
        <v>4071.89</v>
      </c>
      <c r="L406" t="s">
        <v>29</v>
      </c>
      <c r="M406" t="s">
        <v>24</v>
      </c>
      <c r="N406">
        <v>42</v>
      </c>
      <c r="O406">
        <v>9</v>
      </c>
      <c r="P406" t="b">
        <v>0</v>
      </c>
      <c r="Q406">
        <v>9</v>
      </c>
      <c r="R406">
        <v>5</v>
      </c>
    </row>
    <row r="407" spans="1:18">
      <c r="A407" t="s">
        <v>857</v>
      </c>
      <c r="B407" t="s">
        <v>858</v>
      </c>
      <c r="C407" s="1">
        <v>44966</v>
      </c>
      <c r="D407">
        <v>37</v>
      </c>
      <c r="E407" t="s">
        <v>20</v>
      </c>
      <c r="F407" t="s">
        <v>83</v>
      </c>
      <c r="G407" t="s">
        <v>54</v>
      </c>
      <c r="H407">
        <v>281.75</v>
      </c>
      <c r="I407">
        <v>3</v>
      </c>
      <c r="J407">
        <v>36.61</v>
      </c>
      <c r="K407">
        <v>808.64</v>
      </c>
      <c r="L407" t="s">
        <v>23</v>
      </c>
      <c r="M407" t="s">
        <v>42</v>
      </c>
      <c r="N407">
        <v>11</v>
      </c>
      <c r="O407">
        <v>6</v>
      </c>
      <c r="P407" t="b">
        <v>0</v>
      </c>
      <c r="Q407">
        <v>7</v>
      </c>
      <c r="R407">
        <v>4</v>
      </c>
    </row>
    <row r="408" spans="1:18">
      <c r="A408" t="s">
        <v>859</v>
      </c>
      <c r="B408" t="s">
        <v>860</v>
      </c>
      <c r="C408" s="1">
        <v>44966</v>
      </c>
      <c r="D408">
        <v>39</v>
      </c>
      <c r="E408" t="s">
        <v>27</v>
      </c>
      <c r="F408" t="s">
        <v>88</v>
      </c>
      <c r="G408" t="s">
        <v>67</v>
      </c>
      <c r="H408">
        <v>399.21</v>
      </c>
      <c r="I408">
        <v>1</v>
      </c>
      <c r="J408">
        <v>95.49</v>
      </c>
      <c r="K408">
        <v>303.72000000000003</v>
      </c>
      <c r="L408" t="s">
        <v>29</v>
      </c>
      <c r="M408" t="s">
        <v>24</v>
      </c>
      <c r="N408">
        <v>20</v>
      </c>
      <c r="O408">
        <v>6</v>
      </c>
      <c r="P408" t="b">
        <v>1</v>
      </c>
      <c r="Q408">
        <v>7</v>
      </c>
      <c r="R408">
        <v>5</v>
      </c>
    </row>
    <row r="409" spans="1:18">
      <c r="A409" t="s">
        <v>861</v>
      </c>
      <c r="B409" t="s">
        <v>862</v>
      </c>
      <c r="C409" s="1">
        <v>44966</v>
      </c>
      <c r="D409">
        <v>18</v>
      </c>
      <c r="E409" t="s">
        <v>27</v>
      </c>
      <c r="F409" t="s">
        <v>36</v>
      </c>
      <c r="G409" t="s">
        <v>22</v>
      </c>
      <c r="H409">
        <v>153.62</v>
      </c>
      <c r="I409">
        <v>1</v>
      </c>
      <c r="J409">
        <v>22.07</v>
      </c>
      <c r="K409">
        <v>131.55000000000001</v>
      </c>
      <c r="L409" t="s">
        <v>23</v>
      </c>
      <c r="M409" t="s">
        <v>24</v>
      </c>
      <c r="N409">
        <v>8</v>
      </c>
      <c r="O409">
        <v>12</v>
      </c>
      <c r="P409" t="b">
        <v>0</v>
      </c>
      <c r="Q409">
        <v>5</v>
      </c>
      <c r="R409">
        <v>5</v>
      </c>
    </row>
    <row r="410" spans="1:18">
      <c r="A410" t="s">
        <v>863</v>
      </c>
      <c r="B410" t="s">
        <v>864</v>
      </c>
      <c r="C410" s="1">
        <v>44966</v>
      </c>
      <c r="D410">
        <v>34</v>
      </c>
      <c r="E410" t="s">
        <v>27</v>
      </c>
      <c r="F410" t="s">
        <v>21</v>
      </c>
      <c r="G410" t="s">
        <v>45</v>
      </c>
      <c r="H410">
        <v>39.61</v>
      </c>
      <c r="I410">
        <v>1</v>
      </c>
      <c r="J410">
        <v>8.9</v>
      </c>
      <c r="K410">
        <v>30.71</v>
      </c>
      <c r="L410" t="s">
        <v>29</v>
      </c>
      <c r="M410" t="s">
        <v>42</v>
      </c>
      <c r="N410">
        <v>15</v>
      </c>
      <c r="O410">
        <v>10</v>
      </c>
      <c r="P410" t="b">
        <v>0</v>
      </c>
      <c r="Q410">
        <v>4</v>
      </c>
      <c r="R410">
        <v>4</v>
      </c>
    </row>
    <row r="411" spans="1:18">
      <c r="A411" t="s">
        <v>865</v>
      </c>
      <c r="B411" t="s">
        <v>866</v>
      </c>
      <c r="C411" s="1">
        <v>44967</v>
      </c>
      <c r="D411">
        <v>38</v>
      </c>
      <c r="E411" t="s">
        <v>20</v>
      </c>
      <c r="F411" t="s">
        <v>48</v>
      </c>
      <c r="G411" t="s">
        <v>54</v>
      </c>
      <c r="H411">
        <v>324.73</v>
      </c>
      <c r="I411">
        <v>1</v>
      </c>
      <c r="J411">
        <v>77.17</v>
      </c>
      <c r="K411">
        <v>247.56</v>
      </c>
      <c r="L411" t="s">
        <v>29</v>
      </c>
      <c r="M411" t="s">
        <v>24</v>
      </c>
      <c r="N411">
        <v>5</v>
      </c>
      <c r="O411">
        <v>8</v>
      </c>
      <c r="P411" t="b">
        <v>0</v>
      </c>
      <c r="Q411">
        <v>2</v>
      </c>
      <c r="R411">
        <v>5</v>
      </c>
    </row>
    <row r="412" spans="1:18">
      <c r="A412" t="s">
        <v>867</v>
      </c>
      <c r="B412" t="s">
        <v>868</v>
      </c>
      <c r="C412" s="1">
        <v>44967</v>
      </c>
      <c r="D412">
        <v>18</v>
      </c>
      <c r="E412" t="s">
        <v>20</v>
      </c>
      <c r="F412" t="s">
        <v>28</v>
      </c>
      <c r="G412" t="s">
        <v>33</v>
      </c>
      <c r="H412">
        <v>60.32</v>
      </c>
      <c r="I412">
        <v>2</v>
      </c>
      <c r="J412">
        <v>0</v>
      </c>
      <c r="K412">
        <v>120.64</v>
      </c>
      <c r="L412" t="s">
        <v>49</v>
      </c>
      <c r="M412" t="s">
        <v>42</v>
      </c>
      <c r="N412">
        <v>13</v>
      </c>
      <c r="O412">
        <v>12</v>
      </c>
      <c r="P412" t="b">
        <v>1</v>
      </c>
      <c r="Q412">
        <v>3</v>
      </c>
      <c r="R412">
        <v>4</v>
      </c>
    </row>
    <row r="413" spans="1:18">
      <c r="A413" t="s">
        <v>869</v>
      </c>
      <c r="B413" t="s">
        <v>870</v>
      </c>
      <c r="C413" s="1">
        <v>44967</v>
      </c>
      <c r="D413">
        <v>43</v>
      </c>
      <c r="E413" t="s">
        <v>20</v>
      </c>
      <c r="F413" t="s">
        <v>36</v>
      </c>
      <c r="G413" t="s">
        <v>67</v>
      </c>
      <c r="H413">
        <v>584.22</v>
      </c>
      <c r="I413">
        <v>2</v>
      </c>
      <c r="J413">
        <v>0</v>
      </c>
      <c r="K413">
        <v>1168.44</v>
      </c>
      <c r="L413" t="s">
        <v>23</v>
      </c>
      <c r="M413" t="s">
        <v>42</v>
      </c>
      <c r="N413">
        <v>5</v>
      </c>
      <c r="O413">
        <v>10</v>
      </c>
      <c r="P413" t="b">
        <v>1</v>
      </c>
      <c r="Q413">
        <v>5</v>
      </c>
      <c r="R413">
        <v>3</v>
      </c>
    </row>
    <row r="414" spans="1:18">
      <c r="A414" t="s">
        <v>871</v>
      </c>
      <c r="B414" t="s">
        <v>872</v>
      </c>
      <c r="C414" s="1">
        <v>44967</v>
      </c>
      <c r="D414">
        <v>52</v>
      </c>
      <c r="E414" t="s">
        <v>20</v>
      </c>
      <c r="F414" t="s">
        <v>178</v>
      </c>
      <c r="G414" t="s">
        <v>70</v>
      </c>
      <c r="H414">
        <v>42.89</v>
      </c>
      <c r="I414">
        <v>1</v>
      </c>
      <c r="J414">
        <v>0</v>
      </c>
      <c r="K414">
        <v>42.89</v>
      </c>
      <c r="L414" t="s">
        <v>49</v>
      </c>
      <c r="M414" t="s">
        <v>42</v>
      </c>
      <c r="N414">
        <v>26</v>
      </c>
      <c r="O414">
        <v>10</v>
      </c>
      <c r="P414" t="b">
        <v>1</v>
      </c>
      <c r="Q414">
        <v>8</v>
      </c>
      <c r="R414">
        <v>5</v>
      </c>
    </row>
    <row r="415" spans="1:18">
      <c r="A415" t="s">
        <v>873</v>
      </c>
      <c r="B415" t="s">
        <v>874</v>
      </c>
      <c r="C415" s="1">
        <v>44967</v>
      </c>
      <c r="D415">
        <v>18</v>
      </c>
      <c r="E415" t="s">
        <v>20</v>
      </c>
      <c r="F415" t="s">
        <v>28</v>
      </c>
      <c r="G415" t="s">
        <v>33</v>
      </c>
      <c r="H415">
        <v>48.46</v>
      </c>
      <c r="I415">
        <v>1</v>
      </c>
      <c r="J415">
        <v>0</v>
      </c>
      <c r="K415">
        <v>48.46</v>
      </c>
      <c r="L415" t="s">
        <v>29</v>
      </c>
      <c r="M415" t="s">
        <v>55</v>
      </c>
      <c r="N415">
        <v>18</v>
      </c>
      <c r="O415">
        <v>11</v>
      </c>
      <c r="P415" t="b">
        <v>1</v>
      </c>
      <c r="Q415">
        <v>4</v>
      </c>
      <c r="R415">
        <v>4</v>
      </c>
    </row>
    <row r="416" spans="1:18">
      <c r="A416" t="s">
        <v>875</v>
      </c>
      <c r="B416" t="s">
        <v>876</v>
      </c>
      <c r="C416" s="1">
        <v>44967</v>
      </c>
      <c r="D416">
        <v>18</v>
      </c>
      <c r="E416" t="s">
        <v>27</v>
      </c>
      <c r="F416" t="s">
        <v>124</v>
      </c>
      <c r="G416" t="s">
        <v>45</v>
      </c>
      <c r="H416">
        <v>72.849999999999994</v>
      </c>
      <c r="I416">
        <v>4</v>
      </c>
      <c r="J416">
        <v>5.07</v>
      </c>
      <c r="K416">
        <v>286.33</v>
      </c>
      <c r="L416" t="s">
        <v>41</v>
      </c>
      <c r="M416" t="s">
        <v>42</v>
      </c>
      <c r="N416">
        <v>16</v>
      </c>
      <c r="O416">
        <v>8</v>
      </c>
      <c r="P416" t="b">
        <v>0</v>
      </c>
      <c r="Q416">
        <v>6</v>
      </c>
      <c r="R416">
        <v>3</v>
      </c>
    </row>
    <row r="417" spans="1:18">
      <c r="A417" t="s">
        <v>877</v>
      </c>
      <c r="B417" t="s">
        <v>878</v>
      </c>
      <c r="C417" s="1">
        <v>44967</v>
      </c>
      <c r="D417">
        <v>32</v>
      </c>
      <c r="E417" t="s">
        <v>27</v>
      </c>
      <c r="F417" t="s">
        <v>21</v>
      </c>
      <c r="G417" t="s">
        <v>54</v>
      </c>
      <c r="H417">
        <v>603.91999999999996</v>
      </c>
      <c r="I417">
        <v>2</v>
      </c>
      <c r="J417">
        <v>0</v>
      </c>
      <c r="K417">
        <v>1207.8399999999999</v>
      </c>
      <c r="L417" t="s">
        <v>49</v>
      </c>
      <c r="M417" t="s">
        <v>42</v>
      </c>
      <c r="N417">
        <v>12</v>
      </c>
      <c r="O417">
        <v>6</v>
      </c>
      <c r="P417" t="b">
        <v>1</v>
      </c>
      <c r="Q417">
        <v>20</v>
      </c>
      <c r="R417">
        <v>4</v>
      </c>
    </row>
    <row r="418" spans="1:18">
      <c r="A418" t="s">
        <v>879</v>
      </c>
      <c r="B418" t="s">
        <v>880</v>
      </c>
      <c r="C418" s="1">
        <v>44967</v>
      </c>
      <c r="D418">
        <v>51</v>
      </c>
      <c r="E418" t="s">
        <v>20</v>
      </c>
      <c r="F418" t="s">
        <v>48</v>
      </c>
      <c r="G418" t="s">
        <v>67</v>
      </c>
      <c r="H418">
        <v>672.23</v>
      </c>
      <c r="I418">
        <v>2</v>
      </c>
      <c r="J418">
        <v>0</v>
      </c>
      <c r="K418">
        <v>1344.46</v>
      </c>
      <c r="L418" t="s">
        <v>49</v>
      </c>
      <c r="M418" t="s">
        <v>42</v>
      </c>
      <c r="N418">
        <v>33</v>
      </c>
      <c r="O418">
        <v>10</v>
      </c>
      <c r="P418" t="b">
        <v>1</v>
      </c>
      <c r="Q418">
        <v>7</v>
      </c>
      <c r="R418">
        <v>4</v>
      </c>
    </row>
    <row r="419" spans="1:18">
      <c r="A419" t="s">
        <v>881</v>
      </c>
      <c r="B419" t="s">
        <v>882</v>
      </c>
      <c r="C419" s="1">
        <v>44967</v>
      </c>
      <c r="D419">
        <v>27</v>
      </c>
      <c r="E419" t="s">
        <v>27</v>
      </c>
      <c r="F419" t="s">
        <v>124</v>
      </c>
      <c r="G419" t="s">
        <v>54</v>
      </c>
      <c r="H419">
        <v>266.44</v>
      </c>
      <c r="I419">
        <v>2</v>
      </c>
      <c r="J419">
        <v>0</v>
      </c>
      <c r="K419">
        <v>532.88</v>
      </c>
      <c r="L419" t="s">
        <v>49</v>
      </c>
      <c r="M419" t="s">
        <v>55</v>
      </c>
      <c r="N419">
        <v>19</v>
      </c>
      <c r="O419">
        <v>10</v>
      </c>
      <c r="P419" t="b">
        <v>0</v>
      </c>
      <c r="Q419">
        <v>4</v>
      </c>
      <c r="R419">
        <v>5</v>
      </c>
    </row>
    <row r="420" spans="1:18">
      <c r="A420" t="s">
        <v>883</v>
      </c>
      <c r="B420" t="s">
        <v>884</v>
      </c>
      <c r="C420" s="1">
        <v>44967</v>
      </c>
      <c r="D420">
        <v>47</v>
      </c>
      <c r="E420" t="s">
        <v>27</v>
      </c>
      <c r="F420" t="s">
        <v>88</v>
      </c>
      <c r="G420" t="s">
        <v>22</v>
      </c>
      <c r="H420">
        <v>238.83</v>
      </c>
      <c r="I420">
        <v>1</v>
      </c>
      <c r="J420">
        <v>0</v>
      </c>
      <c r="K420">
        <v>238.83</v>
      </c>
      <c r="L420" t="s">
        <v>99</v>
      </c>
      <c r="M420" t="s">
        <v>24</v>
      </c>
      <c r="N420">
        <v>16</v>
      </c>
      <c r="O420">
        <v>12</v>
      </c>
      <c r="P420" t="b">
        <v>0</v>
      </c>
      <c r="Q420">
        <v>3</v>
      </c>
      <c r="R420">
        <v>5</v>
      </c>
    </row>
    <row r="421" spans="1:18">
      <c r="A421" t="s">
        <v>885</v>
      </c>
      <c r="B421" t="s">
        <v>886</v>
      </c>
      <c r="C421" s="1">
        <v>44967</v>
      </c>
      <c r="D421">
        <v>25</v>
      </c>
      <c r="E421" t="s">
        <v>20</v>
      </c>
      <c r="F421" t="s">
        <v>66</v>
      </c>
      <c r="G421" t="s">
        <v>54</v>
      </c>
      <c r="H421">
        <v>486.04</v>
      </c>
      <c r="I421">
        <v>1</v>
      </c>
      <c r="J421">
        <v>0</v>
      </c>
      <c r="K421">
        <v>486.04</v>
      </c>
      <c r="L421" t="s">
        <v>99</v>
      </c>
      <c r="M421" t="s">
        <v>55</v>
      </c>
      <c r="N421">
        <v>3</v>
      </c>
      <c r="O421">
        <v>9</v>
      </c>
      <c r="P421" t="b">
        <v>0</v>
      </c>
      <c r="Q421">
        <v>4</v>
      </c>
      <c r="R421">
        <v>4</v>
      </c>
    </row>
    <row r="422" spans="1:18">
      <c r="A422" t="s">
        <v>887</v>
      </c>
      <c r="B422" t="s">
        <v>888</v>
      </c>
      <c r="C422" s="1">
        <v>44967</v>
      </c>
      <c r="D422">
        <v>29</v>
      </c>
      <c r="E422" t="s">
        <v>20</v>
      </c>
      <c r="F422" t="s">
        <v>178</v>
      </c>
      <c r="G422" t="s">
        <v>22</v>
      </c>
      <c r="H422">
        <v>226.83</v>
      </c>
      <c r="I422">
        <v>1</v>
      </c>
      <c r="J422">
        <v>0</v>
      </c>
      <c r="K422">
        <v>226.83</v>
      </c>
      <c r="L422" t="s">
        <v>29</v>
      </c>
      <c r="M422" t="s">
        <v>24</v>
      </c>
      <c r="N422">
        <v>8</v>
      </c>
      <c r="O422">
        <v>7</v>
      </c>
      <c r="P422" t="b">
        <v>0</v>
      </c>
      <c r="Q422">
        <v>9</v>
      </c>
      <c r="R422">
        <v>5</v>
      </c>
    </row>
    <row r="423" spans="1:18">
      <c r="A423" t="s">
        <v>889</v>
      </c>
      <c r="B423" t="s">
        <v>890</v>
      </c>
      <c r="C423" s="1">
        <v>44967</v>
      </c>
      <c r="D423">
        <v>18</v>
      </c>
      <c r="E423" t="s">
        <v>27</v>
      </c>
      <c r="F423" t="s">
        <v>124</v>
      </c>
      <c r="G423" t="s">
        <v>40</v>
      </c>
      <c r="H423">
        <v>287.02</v>
      </c>
      <c r="I423">
        <v>1</v>
      </c>
      <c r="J423">
        <v>0</v>
      </c>
      <c r="K423">
        <v>287.02</v>
      </c>
      <c r="L423" t="s">
        <v>41</v>
      </c>
      <c r="M423" t="s">
        <v>24</v>
      </c>
      <c r="N423">
        <v>73</v>
      </c>
      <c r="O423">
        <v>9</v>
      </c>
      <c r="P423" t="b">
        <v>1</v>
      </c>
      <c r="Q423">
        <v>4</v>
      </c>
      <c r="R423">
        <v>3</v>
      </c>
    </row>
    <row r="424" spans="1:18">
      <c r="A424" t="s">
        <v>891</v>
      </c>
      <c r="B424" t="s">
        <v>892</v>
      </c>
      <c r="C424" s="1">
        <v>44967</v>
      </c>
      <c r="D424">
        <v>30</v>
      </c>
      <c r="E424" t="s">
        <v>27</v>
      </c>
      <c r="F424" t="s">
        <v>36</v>
      </c>
      <c r="G424" t="s">
        <v>33</v>
      </c>
      <c r="H424">
        <v>38.479999999999997</v>
      </c>
      <c r="I424">
        <v>3</v>
      </c>
      <c r="J424">
        <v>4.9400000000000004</v>
      </c>
      <c r="K424">
        <v>110.5</v>
      </c>
      <c r="L424" t="s">
        <v>29</v>
      </c>
      <c r="M424" t="s">
        <v>24</v>
      </c>
      <c r="N424">
        <v>10</v>
      </c>
      <c r="O424">
        <v>17</v>
      </c>
      <c r="P424" t="b">
        <v>0</v>
      </c>
      <c r="Q424">
        <v>24</v>
      </c>
      <c r="R424">
        <v>4</v>
      </c>
    </row>
    <row r="425" spans="1:18">
      <c r="A425" t="s">
        <v>893</v>
      </c>
      <c r="B425" t="s">
        <v>894</v>
      </c>
      <c r="C425" s="1">
        <v>44968</v>
      </c>
      <c r="D425">
        <v>55</v>
      </c>
      <c r="E425" t="s">
        <v>20</v>
      </c>
      <c r="F425" t="s">
        <v>48</v>
      </c>
      <c r="G425" t="s">
        <v>54</v>
      </c>
      <c r="H425">
        <v>576.24</v>
      </c>
      <c r="I425">
        <v>2</v>
      </c>
      <c r="J425">
        <v>107.12</v>
      </c>
      <c r="K425">
        <v>1045.3599999999999</v>
      </c>
      <c r="L425" t="s">
        <v>29</v>
      </c>
      <c r="M425" t="s">
        <v>55</v>
      </c>
      <c r="N425">
        <v>14</v>
      </c>
      <c r="O425">
        <v>10</v>
      </c>
      <c r="P425" t="b">
        <v>1</v>
      </c>
      <c r="Q425">
        <v>5</v>
      </c>
      <c r="R425">
        <v>2</v>
      </c>
    </row>
    <row r="426" spans="1:18">
      <c r="A426" t="s">
        <v>895</v>
      </c>
      <c r="B426" t="s">
        <v>896</v>
      </c>
      <c r="C426" s="1">
        <v>44968</v>
      </c>
      <c r="D426">
        <v>41</v>
      </c>
      <c r="E426" t="s">
        <v>27</v>
      </c>
      <c r="F426" t="s">
        <v>36</v>
      </c>
      <c r="G426" t="s">
        <v>54</v>
      </c>
      <c r="H426">
        <v>241.97</v>
      </c>
      <c r="I426">
        <v>3</v>
      </c>
      <c r="J426">
        <v>0</v>
      </c>
      <c r="K426">
        <v>725.91</v>
      </c>
      <c r="L426" t="s">
        <v>23</v>
      </c>
      <c r="M426" t="s">
        <v>55</v>
      </c>
      <c r="N426">
        <v>8</v>
      </c>
      <c r="O426">
        <v>8</v>
      </c>
      <c r="P426" t="b">
        <v>1</v>
      </c>
      <c r="Q426">
        <v>12</v>
      </c>
      <c r="R426">
        <v>1</v>
      </c>
    </row>
    <row r="427" spans="1:18">
      <c r="A427" t="s">
        <v>897</v>
      </c>
      <c r="B427" t="s">
        <v>898</v>
      </c>
      <c r="C427" s="1">
        <v>44968</v>
      </c>
      <c r="D427">
        <v>34</v>
      </c>
      <c r="E427" t="s">
        <v>20</v>
      </c>
      <c r="F427" t="s">
        <v>48</v>
      </c>
      <c r="G427" t="s">
        <v>33</v>
      </c>
      <c r="H427">
        <v>51.02</v>
      </c>
      <c r="I427">
        <v>5</v>
      </c>
      <c r="J427">
        <v>0</v>
      </c>
      <c r="K427">
        <v>255.1</v>
      </c>
      <c r="L427" t="s">
        <v>23</v>
      </c>
      <c r="M427" t="s">
        <v>24</v>
      </c>
      <c r="N427">
        <v>7</v>
      </c>
      <c r="O427">
        <v>5</v>
      </c>
      <c r="P427" t="b">
        <v>0</v>
      </c>
      <c r="Q427">
        <v>3</v>
      </c>
      <c r="R427">
        <v>4</v>
      </c>
    </row>
    <row r="428" spans="1:18">
      <c r="A428" t="s">
        <v>899</v>
      </c>
      <c r="B428" t="s">
        <v>900</v>
      </c>
      <c r="C428" s="1">
        <v>44968</v>
      </c>
      <c r="D428">
        <v>54</v>
      </c>
      <c r="E428" t="s">
        <v>20</v>
      </c>
      <c r="F428" t="s">
        <v>28</v>
      </c>
      <c r="G428" t="s">
        <v>33</v>
      </c>
      <c r="H428">
        <v>27.64</v>
      </c>
      <c r="I428">
        <v>4</v>
      </c>
      <c r="J428">
        <v>0</v>
      </c>
      <c r="K428">
        <v>110.56</v>
      </c>
      <c r="L428" t="s">
        <v>49</v>
      </c>
      <c r="M428" t="s">
        <v>42</v>
      </c>
      <c r="N428">
        <v>8</v>
      </c>
      <c r="O428">
        <v>9</v>
      </c>
      <c r="P428" t="b">
        <v>1</v>
      </c>
      <c r="Q428">
        <v>5</v>
      </c>
      <c r="R428">
        <v>4</v>
      </c>
    </row>
    <row r="429" spans="1:18">
      <c r="A429" t="s">
        <v>901</v>
      </c>
      <c r="B429" t="s">
        <v>902</v>
      </c>
      <c r="C429" s="1">
        <v>44968</v>
      </c>
      <c r="D429">
        <v>28</v>
      </c>
      <c r="E429" t="s">
        <v>20</v>
      </c>
      <c r="F429" t="s">
        <v>48</v>
      </c>
      <c r="G429" t="s">
        <v>70</v>
      </c>
      <c r="H429">
        <v>37.549999999999997</v>
      </c>
      <c r="I429">
        <v>1</v>
      </c>
      <c r="J429">
        <v>0</v>
      </c>
      <c r="K429">
        <v>37.549999999999997</v>
      </c>
      <c r="L429" t="s">
        <v>49</v>
      </c>
      <c r="M429" t="s">
        <v>42</v>
      </c>
      <c r="N429">
        <v>8</v>
      </c>
      <c r="O429">
        <v>5</v>
      </c>
      <c r="P429" t="b">
        <v>0</v>
      </c>
      <c r="Q429">
        <v>5</v>
      </c>
      <c r="R429">
        <v>5</v>
      </c>
    </row>
    <row r="430" spans="1:18">
      <c r="A430" t="s">
        <v>903</v>
      </c>
      <c r="B430" t="s">
        <v>904</v>
      </c>
      <c r="C430" s="1">
        <v>44968</v>
      </c>
      <c r="D430">
        <v>28</v>
      </c>
      <c r="E430" t="s">
        <v>20</v>
      </c>
      <c r="F430" t="s">
        <v>32</v>
      </c>
      <c r="G430" t="s">
        <v>70</v>
      </c>
      <c r="H430">
        <v>50.22</v>
      </c>
      <c r="I430">
        <v>4</v>
      </c>
      <c r="J430">
        <v>0</v>
      </c>
      <c r="K430">
        <v>200.88</v>
      </c>
      <c r="L430" t="s">
        <v>23</v>
      </c>
      <c r="M430" t="s">
        <v>24</v>
      </c>
      <c r="N430">
        <v>11</v>
      </c>
      <c r="O430">
        <v>13</v>
      </c>
      <c r="P430" t="b">
        <v>1</v>
      </c>
      <c r="Q430">
        <v>5</v>
      </c>
      <c r="R430">
        <v>5</v>
      </c>
    </row>
    <row r="431" spans="1:18">
      <c r="A431" t="s">
        <v>905</v>
      </c>
      <c r="B431" t="s">
        <v>906</v>
      </c>
      <c r="C431" s="1">
        <v>44968</v>
      </c>
      <c r="D431">
        <v>44</v>
      </c>
      <c r="E431" t="s">
        <v>20</v>
      </c>
      <c r="F431" t="s">
        <v>124</v>
      </c>
      <c r="G431" t="s">
        <v>70</v>
      </c>
      <c r="H431">
        <v>67.569999999999993</v>
      </c>
      <c r="I431">
        <v>1</v>
      </c>
      <c r="J431">
        <v>9.76</v>
      </c>
      <c r="K431">
        <v>57.81</v>
      </c>
      <c r="L431" t="s">
        <v>99</v>
      </c>
      <c r="M431" t="s">
        <v>24</v>
      </c>
      <c r="N431">
        <v>19</v>
      </c>
      <c r="O431">
        <v>9</v>
      </c>
      <c r="P431" t="b">
        <v>0</v>
      </c>
      <c r="Q431">
        <v>5</v>
      </c>
      <c r="R431">
        <v>5</v>
      </c>
    </row>
    <row r="432" spans="1:18">
      <c r="A432" t="s">
        <v>907</v>
      </c>
      <c r="B432" t="s">
        <v>908</v>
      </c>
      <c r="C432" s="1">
        <v>44968</v>
      </c>
      <c r="D432">
        <v>24</v>
      </c>
      <c r="E432" t="s">
        <v>20</v>
      </c>
      <c r="F432" t="s">
        <v>32</v>
      </c>
      <c r="G432" t="s">
        <v>67</v>
      </c>
      <c r="H432">
        <v>388.01</v>
      </c>
      <c r="I432">
        <v>5</v>
      </c>
      <c r="J432">
        <v>0</v>
      </c>
      <c r="K432">
        <v>1940.05</v>
      </c>
      <c r="L432" t="s">
        <v>23</v>
      </c>
      <c r="M432" t="s">
        <v>55</v>
      </c>
      <c r="N432">
        <v>9</v>
      </c>
      <c r="O432">
        <v>11</v>
      </c>
      <c r="P432" t="b">
        <v>0</v>
      </c>
      <c r="Q432">
        <v>7</v>
      </c>
      <c r="R432">
        <v>3</v>
      </c>
    </row>
    <row r="433" spans="1:18">
      <c r="A433" t="s">
        <v>909</v>
      </c>
      <c r="B433" t="s">
        <v>910</v>
      </c>
      <c r="C433" s="1">
        <v>44968</v>
      </c>
      <c r="D433">
        <v>18</v>
      </c>
      <c r="E433" t="s">
        <v>20</v>
      </c>
      <c r="F433" t="s">
        <v>36</v>
      </c>
      <c r="G433" t="s">
        <v>37</v>
      </c>
      <c r="H433">
        <v>566.41</v>
      </c>
      <c r="I433">
        <v>4</v>
      </c>
      <c r="J433">
        <v>0</v>
      </c>
      <c r="K433">
        <v>2265.64</v>
      </c>
      <c r="L433" t="s">
        <v>23</v>
      </c>
      <c r="M433" t="s">
        <v>24</v>
      </c>
      <c r="N433">
        <v>16</v>
      </c>
      <c r="O433">
        <v>8</v>
      </c>
      <c r="P433" t="b">
        <v>1</v>
      </c>
      <c r="Q433">
        <v>6</v>
      </c>
      <c r="R433">
        <v>5</v>
      </c>
    </row>
    <row r="434" spans="1:18">
      <c r="A434" t="s">
        <v>911</v>
      </c>
      <c r="B434" t="s">
        <v>912</v>
      </c>
      <c r="C434" s="1">
        <v>44968</v>
      </c>
      <c r="D434">
        <v>32</v>
      </c>
      <c r="E434" t="s">
        <v>27</v>
      </c>
      <c r="F434" t="s">
        <v>124</v>
      </c>
      <c r="G434" t="s">
        <v>40</v>
      </c>
      <c r="H434">
        <v>796.94</v>
      </c>
      <c r="I434">
        <v>3</v>
      </c>
      <c r="J434">
        <v>0</v>
      </c>
      <c r="K434">
        <v>2390.8200000000002</v>
      </c>
      <c r="L434" t="s">
        <v>49</v>
      </c>
      <c r="M434" t="s">
        <v>24</v>
      </c>
      <c r="N434">
        <v>7</v>
      </c>
      <c r="O434">
        <v>10</v>
      </c>
      <c r="P434" t="b">
        <v>0</v>
      </c>
      <c r="Q434">
        <v>4</v>
      </c>
      <c r="R434">
        <v>5</v>
      </c>
    </row>
    <row r="435" spans="1:18">
      <c r="A435" t="s">
        <v>913</v>
      </c>
      <c r="B435" t="s">
        <v>914</v>
      </c>
      <c r="C435" s="1">
        <v>44968</v>
      </c>
      <c r="D435">
        <v>41</v>
      </c>
      <c r="E435" t="s">
        <v>129</v>
      </c>
      <c r="F435" t="s">
        <v>36</v>
      </c>
      <c r="G435" t="s">
        <v>70</v>
      </c>
      <c r="H435">
        <v>185.48</v>
      </c>
      <c r="I435">
        <v>1</v>
      </c>
      <c r="J435">
        <v>36.340000000000003</v>
      </c>
      <c r="K435">
        <v>149.13999999999999</v>
      </c>
      <c r="L435" t="s">
        <v>41</v>
      </c>
      <c r="M435" t="s">
        <v>55</v>
      </c>
      <c r="N435">
        <v>12</v>
      </c>
      <c r="O435">
        <v>12</v>
      </c>
      <c r="P435" t="b">
        <v>1</v>
      </c>
      <c r="Q435">
        <v>5</v>
      </c>
      <c r="R435">
        <v>5</v>
      </c>
    </row>
    <row r="436" spans="1:18">
      <c r="A436" t="s">
        <v>915</v>
      </c>
      <c r="B436" t="s">
        <v>916</v>
      </c>
      <c r="C436" s="1">
        <v>44968</v>
      </c>
      <c r="D436">
        <v>47</v>
      </c>
      <c r="E436" t="s">
        <v>20</v>
      </c>
      <c r="F436" t="s">
        <v>48</v>
      </c>
      <c r="G436" t="s">
        <v>22</v>
      </c>
      <c r="H436">
        <v>194.99</v>
      </c>
      <c r="I436">
        <v>1</v>
      </c>
      <c r="J436">
        <v>0</v>
      </c>
      <c r="K436">
        <v>194.99</v>
      </c>
      <c r="L436" t="s">
        <v>23</v>
      </c>
      <c r="M436" t="s">
        <v>42</v>
      </c>
      <c r="N436">
        <v>21</v>
      </c>
      <c r="O436">
        <v>7</v>
      </c>
      <c r="P436" t="b">
        <v>1</v>
      </c>
      <c r="Q436">
        <v>4</v>
      </c>
      <c r="R436">
        <v>4</v>
      </c>
    </row>
    <row r="437" spans="1:18">
      <c r="A437" t="s">
        <v>917</v>
      </c>
      <c r="B437" t="s">
        <v>918</v>
      </c>
      <c r="C437" s="1">
        <v>44968</v>
      </c>
      <c r="D437">
        <v>23</v>
      </c>
      <c r="E437" t="s">
        <v>27</v>
      </c>
      <c r="F437" t="s">
        <v>21</v>
      </c>
      <c r="G437" t="s">
        <v>37</v>
      </c>
      <c r="H437">
        <v>1635.67</v>
      </c>
      <c r="I437">
        <v>4</v>
      </c>
      <c r="J437">
        <v>178.7</v>
      </c>
      <c r="K437">
        <v>6363.98</v>
      </c>
      <c r="L437" t="s">
        <v>41</v>
      </c>
      <c r="M437" t="s">
        <v>42</v>
      </c>
      <c r="N437">
        <v>7</v>
      </c>
      <c r="O437">
        <v>9</v>
      </c>
      <c r="P437" t="b">
        <v>0</v>
      </c>
      <c r="Q437">
        <v>11</v>
      </c>
      <c r="R437">
        <v>1</v>
      </c>
    </row>
    <row r="438" spans="1:18">
      <c r="A438" t="s">
        <v>919</v>
      </c>
      <c r="B438" t="s">
        <v>920</v>
      </c>
      <c r="C438" s="1">
        <v>44968</v>
      </c>
      <c r="D438">
        <v>60</v>
      </c>
      <c r="E438" t="s">
        <v>27</v>
      </c>
      <c r="F438" t="s">
        <v>36</v>
      </c>
      <c r="G438" t="s">
        <v>40</v>
      </c>
      <c r="H438">
        <v>460.59</v>
      </c>
      <c r="I438">
        <v>4</v>
      </c>
      <c r="J438">
        <v>0</v>
      </c>
      <c r="K438">
        <v>1842.36</v>
      </c>
      <c r="L438" t="s">
        <v>49</v>
      </c>
      <c r="M438" t="s">
        <v>24</v>
      </c>
      <c r="N438">
        <v>25</v>
      </c>
      <c r="O438">
        <v>5</v>
      </c>
      <c r="P438" t="b">
        <v>0</v>
      </c>
      <c r="Q438">
        <v>3</v>
      </c>
      <c r="R438">
        <v>4</v>
      </c>
    </row>
    <row r="439" spans="1:18">
      <c r="A439" t="s">
        <v>921</v>
      </c>
      <c r="B439" t="s">
        <v>922</v>
      </c>
      <c r="C439" s="1">
        <v>44968</v>
      </c>
      <c r="D439">
        <v>37</v>
      </c>
      <c r="E439" t="s">
        <v>27</v>
      </c>
      <c r="F439" t="s">
        <v>36</v>
      </c>
      <c r="G439" t="s">
        <v>33</v>
      </c>
      <c r="H439">
        <v>26.53</v>
      </c>
      <c r="I439">
        <v>2</v>
      </c>
      <c r="J439">
        <v>7.88</v>
      </c>
      <c r="K439">
        <v>45.18</v>
      </c>
      <c r="L439" t="s">
        <v>49</v>
      </c>
      <c r="M439" t="s">
        <v>24</v>
      </c>
      <c r="N439">
        <v>17</v>
      </c>
      <c r="O439">
        <v>6</v>
      </c>
      <c r="P439" t="b">
        <v>1</v>
      </c>
      <c r="Q439">
        <v>6</v>
      </c>
      <c r="R439">
        <v>4</v>
      </c>
    </row>
    <row r="440" spans="1:18">
      <c r="A440" t="s">
        <v>923</v>
      </c>
      <c r="B440" t="s">
        <v>924</v>
      </c>
      <c r="C440" s="1">
        <v>44969</v>
      </c>
      <c r="D440">
        <v>29</v>
      </c>
      <c r="E440" t="s">
        <v>20</v>
      </c>
      <c r="F440" t="s">
        <v>21</v>
      </c>
      <c r="G440" t="s">
        <v>70</v>
      </c>
      <c r="H440">
        <v>19.84</v>
      </c>
      <c r="I440">
        <v>1</v>
      </c>
      <c r="J440">
        <v>0</v>
      </c>
      <c r="K440">
        <v>19.84</v>
      </c>
      <c r="L440" t="s">
        <v>29</v>
      </c>
      <c r="M440" t="s">
        <v>42</v>
      </c>
      <c r="N440">
        <v>8</v>
      </c>
      <c r="O440">
        <v>11</v>
      </c>
      <c r="P440" t="b">
        <v>1</v>
      </c>
      <c r="Q440">
        <v>5</v>
      </c>
      <c r="R440">
        <v>5</v>
      </c>
    </row>
    <row r="441" spans="1:18">
      <c r="A441" t="s">
        <v>925</v>
      </c>
      <c r="B441" t="s">
        <v>926</v>
      </c>
      <c r="C441" s="1">
        <v>44969</v>
      </c>
      <c r="D441">
        <v>46</v>
      </c>
      <c r="E441" t="s">
        <v>20</v>
      </c>
      <c r="F441" t="s">
        <v>32</v>
      </c>
      <c r="G441" t="s">
        <v>67</v>
      </c>
      <c r="H441">
        <v>256.44</v>
      </c>
      <c r="I441">
        <v>5</v>
      </c>
      <c r="J441">
        <v>0</v>
      </c>
      <c r="K441">
        <v>1282.2</v>
      </c>
      <c r="L441" t="s">
        <v>49</v>
      </c>
      <c r="M441" t="s">
        <v>42</v>
      </c>
      <c r="N441">
        <v>25</v>
      </c>
      <c r="O441">
        <v>13</v>
      </c>
      <c r="P441" t="b">
        <v>1</v>
      </c>
      <c r="Q441">
        <v>6</v>
      </c>
      <c r="R441">
        <v>4</v>
      </c>
    </row>
    <row r="442" spans="1:18">
      <c r="A442" t="s">
        <v>927</v>
      </c>
      <c r="B442" t="s">
        <v>928</v>
      </c>
      <c r="C442" s="1">
        <v>44969</v>
      </c>
      <c r="D442">
        <v>41</v>
      </c>
      <c r="E442" t="s">
        <v>27</v>
      </c>
      <c r="F442" t="s">
        <v>66</v>
      </c>
      <c r="G442" t="s">
        <v>54</v>
      </c>
      <c r="H442">
        <v>157.19999999999999</v>
      </c>
      <c r="I442">
        <v>2</v>
      </c>
      <c r="J442">
        <v>41.49</v>
      </c>
      <c r="K442">
        <v>272.91000000000003</v>
      </c>
      <c r="L442" t="s">
        <v>49</v>
      </c>
      <c r="M442" t="s">
        <v>42</v>
      </c>
      <c r="N442">
        <v>2</v>
      </c>
      <c r="O442">
        <v>9</v>
      </c>
      <c r="P442" t="b">
        <v>0</v>
      </c>
      <c r="Q442">
        <v>2</v>
      </c>
      <c r="R442">
        <v>5</v>
      </c>
    </row>
    <row r="443" spans="1:18">
      <c r="A443" t="s">
        <v>929</v>
      </c>
      <c r="B443" t="s">
        <v>930</v>
      </c>
      <c r="C443" s="1">
        <v>44969</v>
      </c>
      <c r="D443">
        <v>29</v>
      </c>
      <c r="E443" t="s">
        <v>27</v>
      </c>
      <c r="F443" t="s">
        <v>88</v>
      </c>
      <c r="G443" t="s">
        <v>70</v>
      </c>
      <c r="H443">
        <v>54.23</v>
      </c>
      <c r="I443">
        <v>5</v>
      </c>
      <c r="J443">
        <v>12.55</v>
      </c>
      <c r="K443">
        <v>258.60000000000002</v>
      </c>
      <c r="L443" t="s">
        <v>29</v>
      </c>
      <c r="M443" t="s">
        <v>24</v>
      </c>
      <c r="N443">
        <v>14</v>
      </c>
      <c r="O443">
        <v>10</v>
      </c>
      <c r="P443" t="b">
        <v>1</v>
      </c>
      <c r="Q443">
        <v>6</v>
      </c>
      <c r="R443">
        <v>4</v>
      </c>
    </row>
    <row r="444" spans="1:18">
      <c r="A444" t="s">
        <v>931</v>
      </c>
      <c r="B444" t="s">
        <v>932</v>
      </c>
      <c r="C444" s="1">
        <v>44969</v>
      </c>
      <c r="D444">
        <v>31</v>
      </c>
      <c r="E444" t="s">
        <v>27</v>
      </c>
      <c r="F444" t="s">
        <v>21</v>
      </c>
      <c r="G444" t="s">
        <v>67</v>
      </c>
      <c r="H444">
        <v>502.3</v>
      </c>
      <c r="I444">
        <v>2</v>
      </c>
      <c r="J444">
        <v>36.58</v>
      </c>
      <c r="K444">
        <v>968.02</v>
      </c>
      <c r="L444" t="s">
        <v>29</v>
      </c>
      <c r="M444" t="s">
        <v>42</v>
      </c>
      <c r="N444">
        <v>5</v>
      </c>
      <c r="O444">
        <v>11</v>
      </c>
      <c r="P444" t="b">
        <v>1</v>
      </c>
      <c r="Q444">
        <v>3</v>
      </c>
      <c r="R444">
        <v>3</v>
      </c>
    </row>
    <row r="445" spans="1:18">
      <c r="A445" t="s">
        <v>933</v>
      </c>
      <c r="B445" t="s">
        <v>934</v>
      </c>
      <c r="C445" s="1">
        <v>44969</v>
      </c>
      <c r="D445">
        <v>35</v>
      </c>
      <c r="E445" t="s">
        <v>20</v>
      </c>
      <c r="F445" t="s">
        <v>124</v>
      </c>
      <c r="G445" t="s">
        <v>54</v>
      </c>
      <c r="H445">
        <v>210.92</v>
      </c>
      <c r="I445">
        <v>1</v>
      </c>
      <c r="J445">
        <v>39.39</v>
      </c>
      <c r="K445">
        <v>171.53</v>
      </c>
      <c r="L445" t="s">
        <v>23</v>
      </c>
      <c r="M445" t="s">
        <v>24</v>
      </c>
      <c r="N445">
        <v>32</v>
      </c>
      <c r="O445">
        <v>6</v>
      </c>
      <c r="P445" t="b">
        <v>1</v>
      </c>
      <c r="Q445">
        <v>6</v>
      </c>
      <c r="R445">
        <v>4</v>
      </c>
    </row>
    <row r="446" spans="1:18">
      <c r="A446" t="s">
        <v>935</v>
      </c>
      <c r="B446" t="s">
        <v>936</v>
      </c>
      <c r="C446" s="1">
        <v>44969</v>
      </c>
      <c r="D446">
        <v>39</v>
      </c>
      <c r="E446" t="s">
        <v>20</v>
      </c>
      <c r="F446" t="s">
        <v>36</v>
      </c>
      <c r="G446" t="s">
        <v>54</v>
      </c>
      <c r="H446">
        <v>263.41000000000003</v>
      </c>
      <c r="I446">
        <v>2</v>
      </c>
      <c r="J446">
        <v>52.63</v>
      </c>
      <c r="K446">
        <v>474.19</v>
      </c>
      <c r="L446" t="s">
        <v>29</v>
      </c>
      <c r="M446" t="s">
        <v>24</v>
      </c>
      <c r="N446">
        <v>26</v>
      </c>
      <c r="O446">
        <v>11</v>
      </c>
      <c r="P446" t="b">
        <v>0</v>
      </c>
      <c r="Q446">
        <v>2</v>
      </c>
      <c r="R446">
        <v>3</v>
      </c>
    </row>
    <row r="447" spans="1:18">
      <c r="A447" t="s">
        <v>937</v>
      </c>
      <c r="B447" t="s">
        <v>938</v>
      </c>
      <c r="C447" s="1">
        <v>44969</v>
      </c>
      <c r="D447">
        <v>57</v>
      </c>
      <c r="E447" t="s">
        <v>27</v>
      </c>
      <c r="F447" t="s">
        <v>36</v>
      </c>
      <c r="G447" t="s">
        <v>45</v>
      </c>
      <c r="H447">
        <v>189.2</v>
      </c>
      <c r="I447">
        <v>2</v>
      </c>
      <c r="J447">
        <v>0</v>
      </c>
      <c r="K447">
        <v>378.4</v>
      </c>
      <c r="L447" t="s">
        <v>99</v>
      </c>
      <c r="M447" t="s">
        <v>24</v>
      </c>
      <c r="N447">
        <v>14</v>
      </c>
      <c r="O447">
        <v>7</v>
      </c>
      <c r="P447" t="b">
        <v>1</v>
      </c>
      <c r="Q447">
        <v>5</v>
      </c>
      <c r="R447">
        <v>1</v>
      </c>
    </row>
    <row r="448" spans="1:18">
      <c r="A448" t="s">
        <v>939</v>
      </c>
      <c r="B448" t="s">
        <v>940</v>
      </c>
      <c r="C448" s="1">
        <v>44969</v>
      </c>
      <c r="D448">
        <v>47</v>
      </c>
      <c r="E448" t="s">
        <v>27</v>
      </c>
      <c r="F448" t="s">
        <v>48</v>
      </c>
      <c r="G448" t="s">
        <v>70</v>
      </c>
      <c r="H448">
        <v>10.86</v>
      </c>
      <c r="I448">
        <v>1</v>
      </c>
      <c r="J448">
        <v>0</v>
      </c>
      <c r="K448">
        <v>10.86</v>
      </c>
      <c r="L448" t="s">
        <v>29</v>
      </c>
      <c r="M448" t="s">
        <v>42</v>
      </c>
      <c r="N448">
        <v>10</v>
      </c>
      <c r="O448">
        <v>9</v>
      </c>
      <c r="P448" t="b">
        <v>1</v>
      </c>
      <c r="Q448">
        <v>5</v>
      </c>
      <c r="R448">
        <v>5</v>
      </c>
    </row>
    <row r="449" spans="1:18">
      <c r="A449" t="s">
        <v>941</v>
      </c>
      <c r="B449" t="s">
        <v>942</v>
      </c>
      <c r="C449" s="1">
        <v>44970</v>
      </c>
      <c r="D449">
        <v>43</v>
      </c>
      <c r="E449" t="s">
        <v>27</v>
      </c>
      <c r="F449" t="s">
        <v>48</v>
      </c>
      <c r="G449" t="s">
        <v>37</v>
      </c>
      <c r="H449">
        <v>2240.87</v>
      </c>
      <c r="I449">
        <v>3</v>
      </c>
      <c r="J449">
        <v>0</v>
      </c>
      <c r="K449">
        <v>6722.61</v>
      </c>
      <c r="L449" t="s">
        <v>49</v>
      </c>
      <c r="M449" t="s">
        <v>24</v>
      </c>
      <c r="N449">
        <v>12</v>
      </c>
      <c r="O449">
        <v>7</v>
      </c>
      <c r="P449" t="b">
        <v>0</v>
      </c>
      <c r="Q449">
        <v>16</v>
      </c>
      <c r="R449">
        <v>4</v>
      </c>
    </row>
    <row r="450" spans="1:18">
      <c r="A450" t="s">
        <v>943</v>
      </c>
      <c r="B450" t="s">
        <v>944</v>
      </c>
      <c r="C450" s="1">
        <v>44970</v>
      </c>
      <c r="D450">
        <v>47</v>
      </c>
      <c r="E450" t="s">
        <v>27</v>
      </c>
      <c r="F450" t="s">
        <v>36</v>
      </c>
      <c r="G450" t="s">
        <v>40</v>
      </c>
      <c r="H450">
        <v>304.29000000000002</v>
      </c>
      <c r="I450">
        <v>1</v>
      </c>
      <c r="J450">
        <v>0</v>
      </c>
      <c r="K450">
        <v>304.29000000000002</v>
      </c>
      <c r="L450" t="s">
        <v>29</v>
      </c>
      <c r="M450" t="s">
        <v>55</v>
      </c>
      <c r="N450">
        <v>7</v>
      </c>
      <c r="O450">
        <v>15</v>
      </c>
      <c r="P450" t="b">
        <v>1</v>
      </c>
      <c r="Q450">
        <v>4</v>
      </c>
      <c r="R450">
        <v>3</v>
      </c>
    </row>
    <row r="451" spans="1:18">
      <c r="A451" t="s">
        <v>945</v>
      </c>
      <c r="B451" t="s">
        <v>946</v>
      </c>
      <c r="C451" s="1">
        <v>44970</v>
      </c>
      <c r="D451">
        <v>34</v>
      </c>
      <c r="E451" t="s">
        <v>20</v>
      </c>
      <c r="F451" t="s">
        <v>83</v>
      </c>
      <c r="G451" t="s">
        <v>33</v>
      </c>
      <c r="H451">
        <v>59.85</v>
      </c>
      <c r="I451">
        <v>1</v>
      </c>
      <c r="J451">
        <v>3.84</v>
      </c>
      <c r="K451">
        <v>56.01</v>
      </c>
      <c r="L451" t="s">
        <v>49</v>
      </c>
      <c r="M451" t="s">
        <v>42</v>
      </c>
      <c r="N451">
        <v>8</v>
      </c>
      <c r="O451">
        <v>3</v>
      </c>
      <c r="P451" t="b">
        <v>1</v>
      </c>
      <c r="Q451">
        <v>5</v>
      </c>
      <c r="R451">
        <v>3</v>
      </c>
    </row>
    <row r="452" spans="1:18">
      <c r="A452" t="s">
        <v>947</v>
      </c>
      <c r="B452" t="s">
        <v>948</v>
      </c>
      <c r="C452" s="1">
        <v>44970</v>
      </c>
      <c r="D452">
        <v>18</v>
      </c>
      <c r="E452" t="s">
        <v>27</v>
      </c>
      <c r="F452" t="s">
        <v>32</v>
      </c>
      <c r="G452" t="s">
        <v>40</v>
      </c>
      <c r="H452">
        <v>709.75</v>
      </c>
      <c r="I452">
        <v>3</v>
      </c>
      <c r="J452">
        <v>106.72</v>
      </c>
      <c r="K452">
        <v>2022.53</v>
      </c>
      <c r="L452" t="s">
        <v>29</v>
      </c>
      <c r="M452" t="s">
        <v>24</v>
      </c>
      <c r="N452">
        <v>15</v>
      </c>
      <c r="O452">
        <v>16</v>
      </c>
      <c r="P452" t="b">
        <v>0</v>
      </c>
      <c r="Q452">
        <v>6</v>
      </c>
      <c r="R452">
        <v>4</v>
      </c>
    </row>
    <row r="453" spans="1:18">
      <c r="A453" t="s">
        <v>949</v>
      </c>
      <c r="B453" t="s">
        <v>950</v>
      </c>
      <c r="C453" s="1">
        <v>44970</v>
      </c>
      <c r="D453">
        <v>44</v>
      </c>
      <c r="E453" t="s">
        <v>27</v>
      </c>
      <c r="F453" t="s">
        <v>36</v>
      </c>
      <c r="G453" t="s">
        <v>40</v>
      </c>
      <c r="H453">
        <v>809.75</v>
      </c>
      <c r="I453">
        <v>4</v>
      </c>
      <c r="J453">
        <v>0</v>
      </c>
      <c r="K453">
        <v>3239</v>
      </c>
      <c r="L453" t="s">
        <v>29</v>
      </c>
      <c r="M453" t="s">
        <v>42</v>
      </c>
      <c r="N453">
        <v>16</v>
      </c>
      <c r="O453">
        <v>6</v>
      </c>
      <c r="P453" t="b">
        <v>1</v>
      </c>
      <c r="Q453">
        <v>11</v>
      </c>
      <c r="R453">
        <v>5</v>
      </c>
    </row>
    <row r="454" spans="1:18">
      <c r="A454" t="s">
        <v>951</v>
      </c>
      <c r="B454" t="s">
        <v>952</v>
      </c>
      <c r="C454" s="1">
        <v>44970</v>
      </c>
      <c r="D454">
        <v>33</v>
      </c>
      <c r="E454" t="s">
        <v>27</v>
      </c>
      <c r="F454" t="s">
        <v>66</v>
      </c>
      <c r="G454" t="s">
        <v>40</v>
      </c>
      <c r="H454">
        <v>332.81</v>
      </c>
      <c r="I454">
        <v>2</v>
      </c>
      <c r="J454">
        <v>0</v>
      </c>
      <c r="K454">
        <v>665.62</v>
      </c>
      <c r="L454" t="s">
        <v>23</v>
      </c>
      <c r="M454" t="s">
        <v>24</v>
      </c>
      <c r="N454">
        <v>26</v>
      </c>
      <c r="O454">
        <v>8</v>
      </c>
      <c r="P454" t="b">
        <v>1</v>
      </c>
      <c r="Q454">
        <v>13</v>
      </c>
      <c r="R454">
        <v>4</v>
      </c>
    </row>
    <row r="455" spans="1:18">
      <c r="A455" t="s">
        <v>953</v>
      </c>
      <c r="B455" t="s">
        <v>954</v>
      </c>
      <c r="C455" s="1">
        <v>44970</v>
      </c>
      <c r="D455">
        <v>44</v>
      </c>
      <c r="E455" t="s">
        <v>27</v>
      </c>
      <c r="F455" t="s">
        <v>83</v>
      </c>
      <c r="G455" t="s">
        <v>54</v>
      </c>
      <c r="H455">
        <v>168.62</v>
      </c>
      <c r="I455">
        <v>1</v>
      </c>
      <c r="J455">
        <v>45.31</v>
      </c>
      <c r="K455">
        <v>123.31</v>
      </c>
      <c r="L455" t="s">
        <v>23</v>
      </c>
      <c r="M455" t="s">
        <v>42</v>
      </c>
      <c r="N455">
        <v>16</v>
      </c>
      <c r="O455">
        <v>13</v>
      </c>
      <c r="P455" t="b">
        <v>0</v>
      </c>
      <c r="Q455">
        <v>10</v>
      </c>
      <c r="R455">
        <v>4</v>
      </c>
    </row>
    <row r="456" spans="1:18">
      <c r="A456" t="s">
        <v>955</v>
      </c>
      <c r="B456" t="s">
        <v>956</v>
      </c>
      <c r="C456" s="1">
        <v>44970</v>
      </c>
      <c r="D456">
        <v>61</v>
      </c>
      <c r="E456" t="s">
        <v>20</v>
      </c>
      <c r="F456" t="s">
        <v>178</v>
      </c>
      <c r="G456" t="s">
        <v>70</v>
      </c>
      <c r="H456">
        <v>42.78</v>
      </c>
      <c r="I456">
        <v>2</v>
      </c>
      <c r="J456">
        <v>9.34</v>
      </c>
      <c r="K456">
        <v>76.22</v>
      </c>
      <c r="L456" t="s">
        <v>23</v>
      </c>
      <c r="M456" t="s">
        <v>42</v>
      </c>
      <c r="N456">
        <v>9</v>
      </c>
      <c r="O456">
        <v>8</v>
      </c>
      <c r="P456" t="b">
        <v>0</v>
      </c>
      <c r="Q456">
        <v>4</v>
      </c>
      <c r="R456">
        <v>4</v>
      </c>
    </row>
    <row r="457" spans="1:18">
      <c r="A457" t="s">
        <v>957</v>
      </c>
      <c r="B457" t="s">
        <v>958</v>
      </c>
      <c r="C457" s="1">
        <v>44970</v>
      </c>
      <c r="D457">
        <v>48</v>
      </c>
      <c r="E457" t="s">
        <v>20</v>
      </c>
      <c r="F457" t="s">
        <v>21</v>
      </c>
      <c r="G457" t="s">
        <v>54</v>
      </c>
      <c r="H457">
        <v>127.87</v>
      </c>
      <c r="I457">
        <v>3</v>
      </c>
      <c r="J457">
        <v>0</v>
      </c>
      <c r="K457">
        <v>383.61</v>
      </c>
      <c r="L457" t="s">
        <v>29</v>
      </c>
      <c r="M457" t="s">
        <v>55</v>
      </c>
      <c r="N457">
        <v>21</v>
      </c>
      <c r="O457">
        <v>4</v>
      </c>
      <c r="P457" t="b">
        <v>1</v>
      </c>
      <c r="Q457">
        <v>4</v>
      </c>
      <c r="R457">
        <v>3</v>
      </c>
    </row>
    <row r="458" spans="1:18">
      <c r="A458" t="s">
        <v>959</v>
      </c>
      <c r="B458" t="s">
        <v>960</v>
      </c>
      <c r="C458" s="1">
        <v>44970</v>
      </c>
      <c r="D458">
        <v>18</v>
      </c>
      <c r="E458" t="s">
        <v>20</v>
      </c>
      <c r="F458" t="s">
        <v>124</v>
      </c>
      <c r="G458" t="s">
        <v>54</v>
      </c>
      <c r="H458">
        <v>70.709999999999994</v>
      </c>
      <c r="I458">
        <v>2</v>
      </c>
      <c r="J458">
        <v>12.62</v>
      </c>
      <c r="K458">
        <v>128.80000000000001</v>
      </c>
      <c r="L458" t="s">
        <v>49</v>
      </c>
      <c r="M458" t="s">
        <v>42</v>
      </c>
      <c r="N458">
        <v>10</v>
      </c>
      <c r="O458">
        <v>9</v>
      </c>
      <c r="P458" t="b">
        <v>1</v>
      </c>
      <c r="Q458">
        <v>6</v>
      </c>
      <c r="R458">
        <v>4</v>
      </c>
    </row>
    <row r="459" spans="1:18">
      <c r="A459" t="s">
        <v>961</v>
      </c>
      <c r="B459" t="s">
        <v>962</v>
      </c>
      <c r="C459" s="1">
        <v>44970</v>
      </c>
      <c r="D459">
        <v>54</v>
      </c>
      <c r="E459" t="s">
        <v>27</v>
      </c>
      <c r="F459" t="s">
        <v>36</v>
      </c>
      <c r="G459" t="s">
        <v>70</v>
      </c>
      <c r="H459">
        <v>12.22</v>
      </c>
      <c r="I459">
        <v>2</v>
      </c>
      <c r="J459">
        <v>0.86</v>
      </c>
      <c r="K459">
        <v>23.58</v>
      </c>
      <c r="L459" t="s">
        <v>29</v>
      </c>
      <c r="M459" t="s">
        <v>24</v>
      </c>
      <c r="N459">
        <v>6</v>
      </c>
      <c r="O459">
        <v>10</v>
      </c>
      <c r="P459" t="b">
        <v>1</v>
      </c>
      <c r="Q459">
        <v>14</v>
      </c>
      <c r="R459">
        <v>5</v>
      </c>
    </row>
    <row r="460" spans="1:18">
      <c r="A460" t="s">
        <v>963</v>
      </c>
      <c r="B460" t="s">
        <v>964</v>
      </c>
      <c r="C460" s="1">
        <v>44970</v>
      </c>
      <c r="D460">
        <v>45</v>
      </c>
      <c r="E460" t="s">
        <v>20</v>
      </c>
      <c r="F460" t="s">
        <v>36</v>
      </c>
      <c r="G460" t="s">
        <v>37</v>
      </c>
      <c r="H460">
        <v>2059.12</v>
      </c>
      <c r="I460">
        <v>5</v>
      </c>
      <c r="J460">
        <v>0</v>
      </c>
      <c r="K460">
        <v>10295.6</v>
      </c>
      <c r="L460" t="s">
        <v>23</v>
      </c>
      <c r="M460" t="s">
        <v>24</v>
      </c>
      <c r="N460">
        <v>3</v>
      </c>
      <c r="O460">
        <v>9</v>
      </c>
      <c r="P460" t="b">
        <v>0</v>
      </c>
      <c r="Q460">
        <v>5</v>
      </c>
      <c r="R460">
        <v>4</v>
      </c>
    </row>
    <row r="461" spans="1:18">
      <c r="A461" t="s">
        <v>965</v>
      </c>
      <c r="B461" t="s">
        <v>966</v>
      </c>
      <c r="C461" s="1">
        <v>44970</v>
      </c>
      <c r="D461">
        <v>42</v>
      </c>
      <c r="E461" t="s">
        <v>27</v>
      </c>
      <c r="F461" t="s">
        <v>178</v>
      </c>
      <c r="G461" t="s">
        <v>67</v>
      </c>
      <c r="H461">
        <v>655.26</v>
      </c>
      <c r="I461">
        <v>1</v>
      </c>
      <c r="J461">
        <v>189.72</v>
      </c>
      <c r="K461">
        <v>465.54</v>
      </c>
      <c r="L461" t="s">
        <v>49</v>
      </c>
      <c r="M461" t="s">
        <v>24</v>
      </c>
      <c r="N461">
        <v>18</v>
      </c>
      <c r="O461">
        <v>11</v>
      </c>
      <c r="P461" t="b">
        <v>1</v>
      </c>
      <c r="Q461">
        <v>7</v>
      </c>
      <c r="R461">
        <v>1</v>
      </c>
    </row>
    <row r="462" spans="1:18">
      <c r="A462" t="s">
        <v>967</v>
      </c>
      <c r="B462" t="s">
        <v>968</v>
      </c>
      <c r="C462" s="1">
        <v>44970</v>
      </c>
      <c r="D462">
        <v>33</v>
      </c>
      <c r="E462" t="s">
        <v>20</v>
      </c>
      <c r="F462" t="s">
        <v>36</v>
      </c>
      <c r="G462" t="s">
        <v>37</v>
      </c>
      <c r="H462">
        <v>1404.36</v>
      </c>
      <c r="I462">
        <v>1</v>
      </c>
      <c r="J462">
        <v>0</v>
      </c>
      <c r="K462">
        <v>1404.36</v>
      </c>
      <c r="L462" t="s">
        <v>23</v>
      </c>
      <c r="M462" t="s">
        <v>24</v>
      </c>
      <c r="N462">
        <v>12</v>
      </c>
      <c r="O462">
        <v>10</v>
      </c>
      <c r="P462" t="b">
        <v>1</v>
      </c>
      <c r="Q462">
        <v>10</v>
      </c>
      <c r="R462">
        <v>4</v>
      </c>
    </row>
    <row r="463" spans="1:18">
      <c r="A463" t="s">
        <v>969</v>
      </c>
      <c r="B463" t="s">
        <v>970</v>
      </c>
      <c r="C463" s="1">
        <v>44970</v>
      </c>
      <c r="D463">
        <v>52</v>
      </c>
      <c r="E463" t="s">
        <v>20</v>
      </c>
      <c r="F463" t="s">
        <v>36</v>
      </c>
      <c r="G463" t="s">
        <v>45</v>
      </c>
      <c r="H463">
        <v>78.430000000000007</v>
      </c>
      <c r="I463">
        <v>1</v>
      </c>
      <c r="J463">
        <v>0</v>
      </c>
      <c r="K463">
        <v>78.430000000000007</v>
      </c>
      <c r="L463" t="s">
        <v>29</v>
      </c>
      <c r="M463" t="s">
        <v>42</v>
      </c>
      <c r="N463">
        <v>10</v>
      </c>
      <c r="O463">
        <v>11</v>
      </c>
      <c r="P463" t="b">
        <v>1</v>
      </c>
      <c r="Q463">
        <v>8</v>
      </c>
      <c r="R463">
        <v>5</v>
      </c>
    </row>
    <row r="464" spans="1:18">
      <c r="A464" t="s">
        <v>971</v>
      </c>
      <c r="B464" t="s">
        <v>972</v>
      </c>
      <c r="C464" s="1">
        <v>44970</v>
      </c>
      <c r="D464">
        <v>44</v>
      </c>
      <c r="E464" t="s">
        <v>27</v>
      </c>
      <c r="F464" t="s">
        <v>83</v>
      </c>
      <c r="G464" t="s">
        <v>37</v>
      </c>
      <c r="H464">
        <v>1513.36</v>
      </c>
      <c r="I464">
        <v>3</v>
      </c>
      <c r="J464">
        <v>0</v>
      </c>
      <c r="K464">
        <v>4540.08</v>
      </c>
      <c r="L464" t="s">
        <v>23</v>
      </c>
      <c r="M464" t="s">
        <v>24</v>
      </c>
      <c r="N464">
        <v>19</v>
      </c>
      <c r="O464">
        <v>7</v>
      </c>
      <c r="P464" t="b">
        <v>0</v>
      </c>
      <c r="Q464">
        <v>8</v>
      </c>
      <c r="R464">
        <v>3</v>
      </c>
    </row>
    <row r="465" spans="1:18">
      <c r="A465" t="s">
        <v>973</v>
      </c>
      <c r="B465" t="s">
        <v>974</v>
      </c>
      <c r="C465" s="1">
        <v>44971</v>
      </c>
      <c r="D465">
        <v>28</v>
      </c>
      <c r="E465" t="s">
        <v>27</v>
      </c>
      <c r="F465" t="s">
        <v>124</v>
      </c>
      <c r="G465" t="s">
        <v>40</v>
      </c>
      <c r="H465">
        <v>1142.57</v>
      </c>
      <c r="I465">
        <v>1</v>
      </c>
      <c r="J465">
        <v>232.85</v>
      </c>
      <c r="K465">
        <v>909.72</v>
      </c>
      <c r="L465" t="s">
        <v>41</v>
      </c>
      <c r="M465" t="s">
        <v>24</v>
      </c>
      <c r="N465">
        <v>7</v>
      </c>
      <c r="O465">
        <v>11</v>
      </c>
      <c r="P465" t="b">
        <v>0</v>
      </c>
      <c r="Q465">
        <v>4</v>
      </c>
      <c r="R465">
        <v>5</v>
      </c>
    </row>
    <row r="466" spans="1:18">
      <c r="A466" t="s">
        <v>975</v>
      </c>
      <c r="B466" t="s">
        <v>976</v>
      </c>
      <c r="C466" s="1">
        <v>44971</v>
      </c>
      <c r="D466">
        <v>18</v>
      </c>
      <c r="E466" t="s">
        <v>20</v>
      </c>
      <c r="F466" t="s">
        <v>48</v>
      </c>
      <c r="G466" t="s">
        <v>45</v>
      </c>
      <c r="H466">
        <v>180.24</v>
      </c>
      <c r="I466">
        <v>2</v>
      </c>
      <c r="J466">
        <v>0</v>
      </c>
      <c r="K466">
        <v>360.48</v>
      </c>
      <c r="L466" t="s">
        <v>29</v>
      </c>
      <c r="M466" t="s">
        <v>55</v>
      </c>
      <c r="N466">
        <v>10</v>
      </c>
      <c r="O466">
        <v>8</v>
      </c>
      <c r="P466" t="b">
        <v>0</v>
      </c>
      <c r="Q466">
        <v>9</v>
      </c>
      <c r="R466">
        <v>5</v>
      </c>
    </row>
    <row r="467" spans="1:18">
      <c r="A467" t="s">
        <v>977</v>
      </c>
      <c r="B467" t="s">
        <v>978</v>
      </c>
      <c r="C467" s="1">
        <v>44971</v>
      </c>
      <c r="D467">
        <v>18</v>
      </c>
      <c r="E467" t="s">
        <v>20</v>
      </c>
      <c r="F467" t="s">
        <v>32</v>
      </c>
      <c r="G467" t="s">
        <v>67</v>
      </c>
      <c r="H467">
        <v>988.27</v>
      </c>
      <c r="I467">
        <v>1</v>
      </c>
      <c r="J467">
        <v>175.55</v>
      </c>
      <c r="K467">
        <v>812.72</v>
      </c>
      <c r="L467" t="s">
        <v>23</v>
      </c>
      <c r="M467" t="s">
        <v>24</v>
      </c>
      <c r="N467">
        <v>19</v>
      </c>
      <c r="O467">
        <v>15</v>
      </c>
      <c r="P467" t="b">
        <v>0</v>
      </c>
      <c r="Q467">
        <v>4</v>
      </c>
      <c r="R467">
        <v>4</v>
      </c>
    </row>
    <row r="468" spans="1:18">
      <c r="A468" t="s">
        <v>979</v>
      </c>
      <c r="B468" t="s">
        <v>980</v>
      </c>
      <c r="C468" s="1">
        <v>44971</v>
      </c>
      <c r="D468">
        <v>18</v>
      </c>
      <c r="E468" t="s">
        <v>27</v>
      </c>
      <c r="F468" t="s">
        <v>36</v>
      </c>
      <c r="G468" t="s">
        <v>67</v>
      </c>
      <c r="H468">
        <v>267.27999999999997</v>
      </c>
      <c r="I468">
        <v>4</v>
      </c>
      <c r="J468">
        <v>0</v>
      </c>
      <c r="K468">
        <v>1069.1199999999999</v>
      </c>
      <c r="L468" t="s">
        <v>29</v>
      </c>
      <c r="M468" t="s">
        <v>24</v>
      </c>
      <c r="N468">
        <v>17</v>
      </c>
      <c r="O468">
        <v>8</v>
      </c>
      <c r="P468" t="b">
        <v>1</v>
      </c>
      <c r="Q468">
        <v>9</v>
      </c>
      <c r="R468">
        <v>3</v>
      </c>
    </row>
    <row r="469" spans="1:18">
      <c r="A469" t="s">
        <v>981</v>
      </c>
      <c r="B469" t="s">
        <v>982</v>
      </c>
      <c r="C469" s="1">
        <v>44971</v>
      </c>
      <c r="D469">
        <v>55</v>
      </c>
      <c r="E469" t="s">
        <v>20</v>
      </c>
      <c r="F469" t="s">
        <v>178</v>
      </c>
      <c r="G469" t="s">
        <v>45</v>
      </c>
      <c r="H469">
        <v>141.27000000000001</v>
      </c>
      <c r="I469">
        <v>5</v>
      </c>
      <c r="J469">
        <v>14.39</v>
      </c>
      <c r="K469">
        <v>691.96</v>
      </c>
      <c r="L469" t="s">
        <v>29</v>
      </c>
      <c r="M469" t="s">
        <v>42</v>
      </c>
      <c r="N469">
        <v>33</v>
      </c>
      <c r="O469">
        <v>8</v>
      </c>
      <c r="P469" t="b">
        <v>0</v>
      </c>
      <c r="Q469">
        <v>25</v>
      </c>
      <c r="R469">
        <v>5</v>
      </c>
    </row>
    <row r="470" spans="1:18">
      <c r="A470" t="s">
        <v>983</v>
      </c>
      <c r="B470" t="s">
        <v>984</v>
      </c>
      <c r="C470" s="1">
        <v>44971</v>
      </c>
      <c r="D470">
        <v>46</v>
      </c>
      <c r="E470" t="s">
        <v>27</v>
      </c>
      <c r="F470" t="s">
        <v>36</v>
      </c>
      <c r="G470" t="s">
        <v>40</v>
      </c>
      <c r="H470">
        <v>1206.1600000000001</v>
      </c>
      <c r="I470">
        <v>1</v>
      </c>
      <c r="J470">
        <v>0</v>
      </c>
      <c r="K470">
        <v>1206.1600000000001</v>
      </c>
      <c r="L470" t="s">
        <v>23</v>
      </c>
      <c r="M470" t="s">
        <v>24</v>
      </c>
      <c r="N470">
        <v>3</v>
      </c>
      <c r="O470">
        <v>5</v>
      </c>
      <c r="P470" t="b">
        <v>1</v>
      </c>
      <c r="Q470">
        <v>7</v>
      </c>
      <c r="R470">
        <v>4</v>
      </c>
    </row>
    <row r="471" spans="1:18">
      <c r="A471" t="s">
        <v>985</v>
      </c>
      <c r="B471" t="s">
        <v>986</v>
      </c>
      <c r="C471" s="1">
        <v>44971</v>
      </c>
      <c r="D471">
        <v>49</v>
      </c>
      <c r="E471" t="s">
        <v>27</v>
      </c>
      <c r="F471" t="s">
        <v>48</v>
      </c>
      <c r="G471" t="s">
        <v>33</v>
      </c>
      <c r="H471">
        <v>176.39</v>
      </c>
      <c r="I471">
        <v>1</v>
      </c>
      <c r="J471">
        <v>0</v>
      </c>
      <c r="K471">
        <v>176.39</v>
      </c>
      <c r="L471" t="s">
        <v>29</v>
      </c>
      <c r="M471" t="s">
        <v>24</v>
      </c>
      <c r="N471">
        <v>9</v>
      </c>
      <c r="O471">
        <v>10</v>
      </c>
      <c r="P471" t="b">
        <v>1</v>
      </c>
      <c r="Q471">
        <v>3</v>
      </c>
      <c r="R471">
        <v>5</v>
      </c>
    </row>
    <row r="472" spans="1:18">
      <c r="A472" t="s">
        <v>987</v>
      </c>
      <c r="B472" t="s">
        <v>988</v>
      </c>
      <c r="C472" s="1">
        <v>44971</v>
      </c>
      <c r="D472">
        <v>18</v>
      </c>
      <c r="E472" t="s">
        <v>20</v>
      </c>
      <c r="F472" t="s">
        <v>28</v>
      </c>
      <c r="G472" t="s">
        <v>33</v>
      </c>
      <c r="H472">
        <v>30.18</v>
      </c>
      <c r="I472">
        <v>1</v>
      </c>
      <c r="J472">
        <v>0</v>
      </c>
      <c r="K472">
        <v>30.18</v>
      </c>
      <c r="L472" t="s">
        <v>29</v>
      </c>
      <c r="M472" t="s">
        <v>42</v>
      </c>
      <c r="N472">
        <v>9</v>
      </c>
      <c r="O472">
        <v>9</v>
      </c>
      <c r="P472" t="b">
        <v>1</v>
      </c>
      <c r="Q472">
        <v>14</v>
      </c>
      <c r="R472">
        <v>3</v>
      </c>
    </row>
    <row r="473" spans="1:18">
      <c r="A473" t="s">
        <v>989</v>
      </c>
      <c r="B473" t="s">
        <v>990</v>
      </c>
      <c r="C473" s="1">
        <v>44971</v>
      </c>
      <c r="D473">
        <v>40</v>
      </c>
      <c r="E473" t="s">
        <v>20</v>
      </c>
      <c r="F473" t="s">
        <v>48</v>
      </c>
      <c r="G473" t="s">
        <v>37</v>
      </c>
      <c r="H473">
        <v>2205.66</v>
      </c>
      <c r="I473">
        <v>1</v>
      </c>
      <c r="J473">
        <v>278.63</v>
      </c>
      <c r="K473">
        <v>1927.03</v>
      </c>
      <c r="L473" t="s">
        <v>29</v>
      </c>
      <c r="M473" t="s">
        <v>24</v>
      </c>
      <c r="N473">
        <v>5</v>
      </c>
      <c r="O473">
        <v>6</v>
      </c>
      <c r="P473" t="b">
        <v>1</v>
      </c>
      <c r="Q473">
        <v>10</v>
      </c>
      <c r="R473">
        <v>5</v>
      </c>
    </row>
    <row r="474" spans="1:18">
      <c r="A474" t="s">
        <v>991</v>
      </c>
      <c r="B474" t="s">
        <v>992</v>
      </c>
      <c r="C474" s="1">
        <v>44971</v>
      </c>
      <c r="D474">
        <v>51</v>
      </c>
      <c r="E474" t="s">
        <v>27</v>
      </c>
      <c r="F474" t="s">
        <v>48</v>
      </c>
      <c r="G474" t="s">
        <v>33</v>
      </c>
      <c r="H474">
        <v>48.01</v>
      </c>
      <c r="I474">
        <v>1</v>
      </c>
      <c r="J474">
        <v>0</v>
      </c>
      <c r="K474">
        <v>48.01</v>
      </c>
      <c r="L474" t="s">
        <v>29</v>
      </c>
      <c r="M474" t="s">
        <v>42</v>
      </c>
      <c r="N474">
        <v>8</v>
      </c>
      <c r="O474">
        <v>6</v>
      </c>
      <c r="P474" t="b">
        <v>0</v>
      </c>
      <c r="Q474">
        <v>6</v>
      </c>
      <c r="R474">
        <v>5</v>
      </c>
    </row>
    <row r="475" spans="1:18">
      <c r="A475" t="s">
        <v>993</v>
      </c>
      <c r="B475" t="s">
        <v>994</v>
      </c>
      <c r="C475" s="1">
        <v>44972</v>
      </c>
      <c r="D475">
        <v>23</v>
      </c>
      <c r="E475" t="s">
        <v>20</v>
      </c>
      <c r="F475" t="s">
        <v>83</v>
      </c>
      <c r="G475" t="s">
        <v>22</v>
      </c>
      <c r="H475">
        <v>83.63</v>
      </c>
      <c r="I475">
        <v>2</v>
      </c>
      <c r="J475">
        <v>0</v>
      </c>
      <c r="K475">
        <v>167.26</v>
      </c>
      <c r="L475" t="s">
        <v>49</v>
      </c>
      <c r="M475" t="s">
        <v>42</v>
      </c>
      <c r="N475">
        <v>13</v>
      </c>
      <c r="O475">
        <v>6</v>
      </c>
      <c r="P475" t="b">
        <v>1</v>
      </c>
      <c r="Q475">
        <v>4</v>
      </c>
      <c r="R475">
        <v>5</v>
      </c>
    </row>
    <row r="476" spans="1:18">
      <c r="A476" t="s">
        <v>995</v>
      </c>
      <c r="B476" t="s">
        <v>996</v>
      </c>
      <c r="C476" s="1">
        <v>44972</v>
      </c>
      <c r="D476">
        <v>37</v>
      </c>
      <c r="E476" t="s">
        <v>27</v>
      </c>
      <c r="F476" t="s">
        <v>36</v>
      </c>
      <c r="G476" t="s">
        <v>22</v>
      </c>
      <c r="H476">
        <v>136.94</v>
      </c>
      <c r="I476">
        <v>4</v>
      </c>
      <c r="J476">
        <v>0</v>
      </c>
      <c r="K476">
        <v>547.76</v>
      </c>
      <c r="L476" t="s">
        <v>29</v>
      </c>
      <c r="M476" t="s">
        <v>24</v>
      </c>
      <c r="N476">
        <v>17</v>
      </c>
      <c r="O476">
        <v>8</v>
      </c>
      <c r="P476" t="b">
        <v>0</v>
      </c>
      <c r="Q476">
        <v>6</v>
      </c>
      <c r="R476">
        <v>3</v>
      </c>
    </row>
    <row r="477" spans="1:18">
      <c r="A477" t="s">
        <v>997</v>
      </c>
      <c r="B477" t="s">
        <v>998</v>
      </c>
      <c r="C477" s="1">
        <v>44972</v>
      </c>
      <c r="D477">
        <v>41</v>
      </c>
      <c r="E477" t="s">
        <v>20</v>
      </c>
      <c r="F477" t="s">
        <v>36</v>
      </c>
      <c r="G477" t="s">
        <v>40</v>
      </c>
      <c r="H477">
        <v>178.13</v>
      </c>
      <c r="I477">
        <v>1</v>
      </c>
      <c r="J477">
        <v>9.31</v>
      </c>
      <c r="K477">
        <v>168.82</v>
      </c>
      <c r="L477" t="s">
        <v>29</v>
      </c>
      <c r="M477" t="s">
        <v>42</v>
      </c>
      <c r="N477">
        <v>16</v>
      </c>
      <c r="O477">
        <v>11</v>
      </c>
      <c r="P477" t="b">
        <v>0</v>
      </c>
      <c r="Q477">
        <v>2</v>
      </c>
      <c r="R477">
        <v>3</v>
      </c>
    </row>
    <row r="478" spans="1:18">
      <c r="A478" t="s">
        <v>999</v>
      </c>
      <c r="B478" t="s">
        <v>1000</v>
      </c>
      <c r="C478" s="1">
        <v>44972</v>
      </c>
      <c r="D478">
        <v>44</v>
      </c>
      <c r="E478" t="s">
        <v>20</v>
      </c>
      <c r="F478" t="s">
        <v>21</v>
      </c>
      <c r="G478" t="s">
        <v>22</v>
      </c>
      <c r="H478">
        <v>113.9</v>
      </c>
      <c r="I478">
        <v>1</v>
      </c>
      <c r="J478">
        <v>0</v>
      </c>
      <c r="K478">
        <v>113.9</v>
      </c>
      <c r="L478" t="s">
        <v>29</v>
      </c>
      <c r="M478" t="s">
        <v>24</v>
      </c>
      <c r="N478">
        <v>17</v>
      </c>
      <c r="O478">
        <v>8</v>
      </c>
      <c r="P478" t="b">
        <v>0</v>
      </c>
      <c r="Q478">
        <v>2</v>
      </c>
      <c r="R478">
        <v>3</v>
      </c>
    </row>
    <row r="479" spans="1:18">
      <c r="A479" t="s">
        <v>1001</v>
      </c>
      <c r="B479" t="s">
        <v>1002</v>
      </c>
      <c r="C479" s="1">
        <v>44972</v>
      </c>
      <c r="D479">
        <v>19</v>
      </c>
      <c r="E479" t="s">
        <v>27</v>
      </c>
      <c r="F479" t="s">
        <v>178</v>
      </c>
      <c r="G479" t="s">
        <v>22</v>
      </c>
      <c r="H479">
        <v>386.68</v>
      </c>
      <c r="I479">
        <v>3</v>
      </c>
      <c r="J479">
        <v>0</v>
      </c>
      <c r="K479">
        <v>1160.04</v>
      </c>
      <c r="L479" t="s">
        <v>49</v>
      </c>
      <c r="M479" t="s">
        <v>42</v>
      </c>
      <c r="N479">
        <v>5</v>
      </c>
      <c r="O479">
        <v>11</v>
      </c>
      <c r="P479" t="b">
        <v>1</v>
      </c>
      <c r="Q479">
        <v>11</v>
      </c>
      <c r="R479">
        <v>4</v>
      </c>
    </row>
    <row r="480" spans="1:18">
      <c r="A480" t="s">
        <v>1003</v>
      </c>
      <c r="B480" t="s">
        <v>1004</v>
      </c>
      <c r="C480" s="1">
        <v>44973</v>
      </c>
      <c r="D480">
        <v>48</v>
      </c>
      <c r="E480" t="s">
        <v>27</v>
      </c>
      <c r="F480" t="s">
        <v>32</v>
      </c>
      <c r="G480" t="s">
        <v>40</v>
      </c>
      <c r="H480">
        <v>102.23</v>
      </c>
      <c r="I480">
        <v>2</v>
      </c>
      <c r="J480">
        <v>0</v>
      </c>
      <c r="K480">
        <v>204.46</v>
      </c>
      <c r="L480" t="s">
        <v>29</v>
      </c>
      <c r="M480" t="s">
        <v>42</v>
      </c>
      <c r="N480">
        <v>18</v>
      </c>
      <c r="O480">
        <v>9</v>
      </c>
      <c r="P480" t="b">
        <v>1</v>
      </c>
      <c r="Q480">
        <v>4</v>
      </c>
      <c r="R480">
        <v>3</v>
      </c>
    </row>
    <row r="481" spans="1:18">
      <c r="A481" t="s">
        <v>1005</v>
      </c>
      <c r="B481" t="s">
        <v>1006</v>
      </c>
      <c r="C481" s="1">
        <v>44973</v>
      </c>
      <c r="D481">
        <v>18</v>
      </c>
      <c r="E481" t="s">
        <v>20</v>
      </c>
      <c r="F481" t="s">
        <v>21</v>
      </c>
      <c r="G481" t="s">
        <v>40</v>
      </c>
      <c r="H481">
        <v>483.5</v>
      </c>
      <c r="I481">
        <v>4</v>
      </c>
      <c r="J481">
        <v>0</v>
      </c>
      <c r="K481">
        <v>1934</v>
      </c>
      <c r="L481" t="s">
        <v>41</v>
      </c>
      <c r="M481" t="s">
        <v>24</v>
      </c>
      <c r="N481">
        <v>16</v>
      </c>
      <c r="O481">
        <v>7</v>
      </c>
      <c r="P481" t="b">
        <v>0</v>
      </c>
      <c r="Q481">
        <v>6</v>
      </c>
      <c r="R481">
        <v>3</v>
      </c>
    </row>
    <row r="482" spans="1:18">
      <c r="A482" t="s">
        <v>1007</v>
      </c>
      <c r="B482" t="s">
        <v>1008</v>
      </c>
      <c r="C482" s="1">
        <v>44973</v>
      </c>
      <c r="D482">
        <v>44</v>
      </c>
      <c r="E482" t="s">
        <v>20</v>
      </c>
      <c r="F482" t="s">
        <v>28</v>
      </c>
      <c r="G482" t="s">
        <v>37</v>
      </c>
      <c r="H482">
        <v>2671.07</v>
      </c>
      <c r="I482">
        <v>4</v>
      </c>
      <c r="J482">
        <v>192.22</v>
      </c>
      <c r="K482">
        <v>10492.06</v>
      </c>
      <c r="L482" t="s">
        <v>99</v>
      </c>
      <c r="M482" t="s">
        <v>24</v>
      </c>
      <c r="N482">
        <v>34</v>
      </c>
      <c r="O482">
        <v>12</v>
      </c>
      <c r="P482" t="b">
        <v>0</v>
      </c>
      <c r="Q482">
        <v>3</v>
      </c>
      <c r="R482">
        <v>4</v>
      </c>
    </row>
    <row r="483" spans="1:18">
      <c r="A483" t="s">
        <v>1009</v>
      </c>
      <c r="B483" t="s">
        <v>1010</v>
      </c>
      <c r="C483" s="1">
        <v>44973</v>
      </c>
      <c r="D483">
        <v>37</v>
      </c>
      <c r="E483" t="s">
        <v>20</v>
      </c>
      <c r="F483" t="s">
        <v>83</v>
      </c>
      <c r="G483" t="s">
        <v>22</v>
      </c>
      <c r="H483">
        <v>19.84</v>
      </c>
      <c r="I483">
        <v>4</v>
      </c>
      <c r="J483">
        <v>0</v>
      </c>
      <c r="K483">
        <v>79.36</v>
      </c>
      <c r="L483" t="s">
        <v>99</v>
      </c>
      <c r="M483" t="s">
        <v>24</v>
      </c>
      <c r="N483">
        <v>27</v>
      </c>
      <c r="O483">
        <v>7</v>
      </c>
      <c r="P483" t="b">
        <v>0</v>
      </c>
      <c r="Q483">
        <v>8</v>
      </c>
      <c r="R483">
        <v>4</v>
      </c>
    </row>
    <row r="484" spans="1:18">
      <c r="A484" t="s">
        <v>1011</v>
      </c>
      <c r="B484" t="s">
        <v>1012</v>
      </c>
      <c r="C484" s="1">
        <v>44973</v>
      </c>
      <c r="D484">
        <v>29</v>
      </c>
      <c r="E484" t="s">
        <v>20</v>
      </c>
      <c r="F484" t="s">
        <v>124</v>
      </c>
      <c r="G484" t="s">
        <v>33</v>
      </c>
      <c r="H484">
        <v>46.87</v>
      </c>
      <c r="I484">
        <v>2</v>
      </c>
      <c r="J484">
        <v>0</v>
      </c>
      <c r="K484">
        <v>93.74</v>
      </c>
      <c r="L484" t="s">
        <v>49</v>
      </c>
      <c r="M484" t="s">
        <v>42</v>
      </c>
      <c r="N484">
        <v>13</v>
      </c>
      <c r="O484">
        <v>8</v>
      </c>
      <c r="P484" t="b">
        <v>1</v>
      </c>
      <c r="Q484">
        <v>2</v>
      </c>
      <c r="R484">
        <v>5</v>
      </c>
    </row>
    <row r="485" spans="1:18">
      <c r="A485" t="s">
        <v>1013</v>
      </c>
      <c r="B485" t="s">
        <v>1014</v>
      </c>
      <c r="C485" s="1">
        <v>44973</v>
      </c>
      <c r="D485">
        <v>18</v>
      </c>
      <c r="E485" t="s">
        <v>20</v>
      </c>
      <c r="F485" t="s">
        <v>83</v>
      </c>
      <c r="G485" t="s">
        <v>70</v>
      </c>
      <c r="H485">
        <v>28.38</v>
      </c>
      <c r="I485">
        <v>3</v>
      </c>
      <c r="J485">
        <v>0</v>
      </c>
      <c r="K485">
        <v>85.14</v>
      </c>
      <c r="L485" t="s">
        <v>29</v>
      </c>
      <c r="M485" t="s">
        <v>24</v>
      </c>
      <c r="N485">
        <v>9</v>
      </c>
      <c r="O485">
        <v>9</v>
      </c>
      <c r="P485" t="b">
        <v>1</v>
      </c>
      <c r="Q485">
        <v>5</v>
      </c>
      <c r="R485">
        <v>3</v>
      </c>
    </row>
    <row r="486" spans="1:18">
      <c r="A486" t="s">
        <v>1015</v>
      </c>
      <c r="B486" t="s">
        <v>1016</v>
      </c>
      <c r="C486" s="1">
        <v>44973</v>
      </c>
      <c r="D486">
        <v>53</v>
      </c>
      <c r="E486" t="s">
        <v>20</v>
      </c>
      <c r="F486" t="s">
        <v>28</v>
      </c>
      <c r="G486" t="s">
        <v>54</v>
      </c>
      <c r="H486">
        <v>479.56</v>
      </c>
      <c r="I486">
        <v>2</v>
      </c>
      <c r="J486">
        <v>0</v>
      </c>
      <c r="K486">
        <v>959.12</v>
      </c>
      <c r="L486" t="s">
        <v>99</v>
      </c>
      <c r="M486" t="s">
        <v>42</v>
      </c>
      <c r="N486">
        <v>7</v>
      </c>
      <c r="O486">
        <v>9</v>
      </c>
      <c r="P486" t="b">
        <v>1</v>
      </c>
      <c r="Q486">
        <v>8</v>
      </c>
      <c r="R486">
        <v>4</v>
      </c>
    </row>
    <row r="487" spans="1:18">
      <c r="A487" t="s">
        <v>1017</v>
      </c>
      <c r="B487" t="s">
        <v>1018</v>
      </c>
      <c r="C487" s="1">
        <v>44973</v>
      </c>
      <c r="D487">
        <v>32</v>
      </c>
      <c r="E487" t="s">
        <v>27</v>
      </c>
      <c r="F487" t="s">
        <v>32</v>
      </c>
      <c r="G487" t="s">
        <v>37</v>
      </c>
      <c r="H487">
        <v>1153.29</v>
      </c>
      <c r="I487">
        <v>1</v>
      </c>
      <c r="J487">
        <v>0</v>
      </c>
      <c r="K487">
        <v>1153.29</v>
      </c>
      <c r="L487" t="s">
        <v>99</v>
      </c>
      <c r="M487" t="s">
        <v>42</v>
      </c>
      <c r="N487">
        <v>13</v>
      </c>
      <c r="O487">
        <v>7</v>
      </c>
      <c r="P487" t="b">
        <v>1</v>
      </c>
      <c r="Q487">
        <v>7</v>
      </c>
      <c r="R487">
        <v>2</v>
      </c>
    </row>
    <row r="488" spans="1:18">
      <c r="A488" t="s">
        <v>1019</v>
      </c>
      <c r="B488" t="s">
        <v>1020</v>
      </c>
      <c r="C488" s="1">
        <v>44973</v>
      </c>
      <c r="D488">
        <v>62</v>
      </c>
      <c r="E488" t="s">
        <v>20</v>
      </c>
      <c r="F488" t="s">
        <v>32</v>
      </c>
      <c r="G488" t="s">
        <v>67</v>
      </c>
      <c r="H488">
        <v>666.16</v>
      </c>
      <c r="I488">
        <v>1</v>
      </c>
      <c r="J488">
        <v>192.62</v>
      </c>
      <c r="K488">
        <v>473.54</v>
      </c>
      <c r="L488" t="s">
        <v>99</v>
      </c>
      <c r="M488" t="s">
        <v>42</v>
      </c>
      <c r="N488">
        <v>13</v>
      </c>
      <c r="O488">
        <v>7</v>
      </c>
      <c r="P488" t="b">
        <v>1</v>
      </c>
      <c r="Q488">
        <v>7</v>
      </c>
      <c r="R488">
        <v>4</v>
      </c>
    </row>
    <row r="489" spans="1:18">
      <c r="A489" t="s">
        <v>1021</v>
      </c>
      <c r="B489" t="s">
        <v>1022</v>
      </c>
      <c r="C489" s="1">
        <v>44973</v>
      </c>
      <c r="D489">
        <v>29</v>
      </c>
      <c r="E489" t="s">
        <v>20</v>
      </c>
      <c r="F489" t="s">
        <v>88</v>
      </c>
      <c r="G489" t="s">
        <v>33</v>
      </c>
      <c r="H489">
        <v>58</v>
      </c>
      <c r="I489">
        <v>3</v>
      </c>
      <c r="J489">
        <v>0</v>
      </c>
      <c r="K489">
        <v>174</v>
      </c>
      <c r="L489" t="s">
        <v>29</v>
      </c>
      <c r="M489" t="s">
        <v>24</v>
      </c>
      <c r="N489">
        <v>30</v>
      </c>
      <c r="O489">
        <v>13</v>
      </c>
      <c r="P489" t="b">
        <v>0</v>
      </c>
      <c r="Q489">
        <v>5</v>
      </c>
      <c r="R489">
        <v>3</v>
      </c>
    </row>
    <row r="490" spans="1:18">
      <c r="A490" t="s">
        <v>1023</v>
      </c>
      <c r="B490" t="s">
        <v>1024</v>
      </c>
      <c r="C490" s="1">
        <v>44973</v>
      </c>
      <c r="D490">
        <v>34</v>
      </c>
      <c r="E490" t="s">
        <v>20</v>
      </c>
      <c r="F490" t="s">
        <v>66</v>
      </c>
      <c r="G490" t="s">
        <v>70</v>
      </c>
      <c r="H490">
        <v>35.369999999999997</v>
      </c>
      <c r="I490">
        <v>1</v>
      </c>
      <c r="J490">
        <v>3.49</v>
      </c>
      <c r="K490">
        <v>31.88</v>
      </c>
      <c r="L490" t="s">
        <v>49</v>
      </c>
      <c r="M490" t="s">
        <v>24</v>
      </c>
      <c r="N490">
        <v>32</v>
      </c>
      <c r="O490">
        <v>10</v>
      </c>
      <c r="P490" t="b">
        <v>0</v>
      </c>
      <c r="Q490">
        <v>5</v>
      </c>
      <c r="R490">
        <v>4</v>
      </c>
    </row>
    <row r="491" spans="1:18">
      <c r="A491" t="s">
        <v>1025</v>
      </c>
      <c r="B491" t="s">
        <v>1026</v>
      </c>
      <c r="C491" s="1">
        <v>44973</v>
      </c>
      <c r="D491">
        <v>46</v>
      </c>
      <c r="E491" t="s">
        <v>20</v>
      </c>
      <c r="F491" t="s">
        <v>83</v>
      </c>
      <c r="G491" t="s">
        <v>45</v>
      </c>
      <c r="H491">
        <v>77.2</v>
      </c>
      <c r="I491">
        <v>1</v>
      </c>
      <c r="J491">
        <v>0</v>
      </c>
      <c r="K491">
        <v>77.2</v>
      </c>
      <c r="L491" t="s">
        <v>23</v>
      </c>
      <c r="M491" t="s">
        <v>24</v>
      </c>
      <c r="N491">
        <v>3</v>
      </c>
      <c r="O491">
        <v>12</v>
      </c>
      <c r="P491" t="b">
        <v>1</v>
      </c>
      <c r="Q491">
        <v>2</v>
      </c>
      <c r="R491">
        <v>4</v>
      </c>
    </row>
    <row r="492" spans="1:18">
      <c r="A492" t="s">
        <v>1027</v>
      </c>
      <c r="B492" t="s">
        <v>1028</v>
      </c>
      <c r="C492" s="1">
        <v>44973</v>
      </c>
      <c r="D492">
        <v>23</v>
      </c>
      <c r="E492" t="s">
        <v>27</v>
      </c>
      <c r="F492" t="s">
        <v>36</v>
      </c>
      <c r="G492" t="s">
        <v>37</v>
      </c>
      <c r="H492">
        <v>2365.5</v>
      </c>
      <c r="I492">
        <v>2</v>
      </c>
      <c r="J492">
        <v>0</v>
      </c>
      <c r="K492">
        <v>4731</v>
      </c>
      <c r="L492" t="s">
        <v>29</v>
      </c>
      <c r="M492" t="s">
        <v>42</v>
      </c>
      <c r="N492">
        <v>16</v>
      </c>
      <c r="O492">
        <v>8</v>
      </c>
      <c r="P492" t="b">
        <v>1</v>
      </c>
      <c r="Q492">
        <v>3</v>
      </c>
      <c r="R492">
        <v>4</v>
      </c>
    </row>
    <row r="493" spans="1:18">
      <c r="A493" t="s">
        <v>1029</v>
      </c>
      <c r="B493" t="s">
        <v>1030</v>
      </c>
      <c r="C493" s="1">
        <v>44973</v>
      </c>
      <c r="D493">
        <v>34</v>
      </c>
      <c r="E493" t="s">
        <v>20</v>
      </c>
      <c r="F493" t="s">
        <v>48</v>
      </c>
      <c r="G493" t="s">
        <v>70</v>
      </c>
      <c r="H493">
        <v>97.75</v>
      </c>
      <c r="I493">
        <v>1</v>
      </c>
      <c r="J493">
        <v>0</v>
      </c>
      <c r="K493">
        <v>97.75</v>
      </c>
      <c r="L493" t="s">
        <v>23</v>
      </c>
      <c r="M493" t="s">
        <v>24</v>
      </c>
      <c r="N493">
        <v>22</v>
      </c>
      <c r="O493">
        <v>8</v>
      </c>
      <c r="P493" t="b">
        <v>0</v>
      </c>
      <c r="Q493">
        <v>6</v>
      </c>
      <c r="R493">
        <v>4</v>
      </c>
    </row>
    <row r="494" spans="1:18">
      <c r="A494" t="s">
        <v>1031</v>
      </c>
      <c r="B494" t="s">
        <v>1032</v>
      </c>
      <c r="C494" s="1">
        <v>44973</v>
      </c>
      <c r="D494">
        <v>40</v>
      </c>
      <c r="E494" t="s">
        <v>27</v>
      </c>
      <c r="F494" t="s">
        <v>48</v>
      </c>
      <c r="G494" t="s">
        <v>45</v>
      </c>
      <c r="H494">
        <v>37.24</v>
      </c>
      <c r="I494">
        <v>1</v>
      </c>
      <c r="J494">
        <v>0</v>
      </c>
      <c r="K494">
        <v>37.24</v>
      </c>
      <c r="L494" t="s">
        <v>23</v>
      </c>
      <c r="M494" t="s">
        <v>42</v>
      </c>
      <c r="N494">
        <v>6</v>
      </c>
      <c r="O494">
        <v>6</v>
      </c>
      <c r="P494" t="b">
        <v>1</v>
      </c>
      <c r="Q494">
        <v>4</v>
      </c>
      <c r="R494">
        <v>3</v>
      </c>
    </row>
    <row r="495" spans="1:18">
      <c r="A495" t="s">
        <v>1033</v>
      </c>
      <c r="B495" t="s">
        <v>1034</v>
      </c>
      <c r="C495" s="1">
        <v>44973</v>
      </c>
      <c r="D495">
        <v>41</v>
      </c>
      <c r="E495" t="s">
        <v>27</v>
      </c>
      <c r="F495" t="s">
        <v>48</v>
      </c>
      <c r="G495" t="s">
        <v>54</v>
      </c>
      <c r="H495">
        <v>365.78</v>
      </c>
      <c r="I495">
        <v>1</v>
      </c>
      <c r="J495">
        <v>0</v>
      </c>
      <c r="K495">
        <v>365.78</v>
      </c>
      <c r="L495" t="s">
        <v>99</v>
      </c>
      <c r="M495" t="s">
        <v>42</v>
      </c>
      <c r="N495">
        <v>5</v>
      </c>
      <c r="O495">
        <v>6</v>
      </c>
      <c r="P495" t="b">
        <v>1</v>
      </c>
      <c r="Q495">
        <v>4</v>
      </c>
      <c r="R495">
        <v>4</v>
      </c>
    </row>
    <row r="496" spans="1:18">
      <c r="A496" t="s">
        <v>1035</v>
      </c>
      <c r="B496" t="s">
        <v>1036</v>
      </c>
      <c r="C496" s="1">
        <v>44973</v>
      </c>
      <c r="D496">
        <v>38</v>
      </c>
      <c r="E496" t="s">
        <v>27</v>
      </c>
      <c r="F496" t="s">
        <v>36</v>
      </c>
      <c r="G496" t="s">
        <v>54</v>
      </c>
      <c r="H496">
        <v>196.67</v>
      </c>
      <c r="I496">
        <v>1</v>
      </c>
      <c r="J496">
        <v>0</v>
      </c>
      <c r="K496">
        <v>196.67</v>
      </c>
      <c r="L496" t="s">
        <v>99</v>
      </c>
      <c r="M496" t="s">
        <v>55</v>
      </c>
      <c r="N496">
        <v>11</v>
      </c>
      <c r="O496">
        <v>7</v>
      </c>
      <c r="P496" t="b">
        <v>1</v>
      </c>
      <c r="Q496">
        <v>7</v>
      </c>
      <c r="R496">
        <v>5</v>
      </c>
    </row>
    <row r="497" spans="1:18">
      <c r="A497" t="s">
        <v>1037</v>
      </c>
      <c r="B497" t="s">
        <v>1038</v>
      </c>
      <c r="C497" s="1">
        <v>44974</v>
      </c>
      <c r="D497">
        <v>38</v>
      </c>
      <c r="E497" t="s">
        <v>20</v>
      </c>
      <c r="F497" t="s">
        <v>36</v>
      </c>
      <c r="G497" t="s">
        <v>37</v>
      </c>
      <c r="H497">
        <v>1222.3699999999999</v>
      </c>
      <c r="I497">
        <v>1</v>
      </c>
      <c r="J497">
        <v>0</v>
      </c>
      <c r="K497">
        <v>1222.3699999999999</v>
      </c>
      <c r="L497" t="s">
        <v>29</v>
      </c>
      <c r="M497" t="s">
        <v>24</v>
      </c>
      <c r="N497">
        <v>10</v>
      </c>
      <c r="O497">
        <v>10</v>
      </c>
      <c r="P497" t="b">
        <v>0</v>
      </c>
      <c r="Q497">
        <v>4</v>
      </c>
      <c r="R497">
        <v>4</v>
      </c>
    </row>
    <row r="498" spans="1:18">
      <c r="A498" t="s">
        <v>1039</v>
      </c>
      <c r="B498" t="s">
        <v>1040</v>
      </c>
      <c r="C498" s="1">
        <v>44974</v>
      </c>
      <c r="D498">
        <v>24</v>
      </c>
      <c r="E498" t="s">
        <v>27</v>
      </c>
      <c r="F498" t="s">
        <v>83</v>
      </c>
      <c r="G498" t="s">
        <v>70</v>
      </c>
      <c r="H498">
        <v>40.43</v>
      </c>
      <c r="I498">
        <v>1</v>
      </c>
      <c r="J498">
        <v>0</v>
      </c>
      <c r="K498">
        <v>40.43</v>
      </c>
      <c r="L498" t="s">
        <v>23</v>
      </c>
      <c r="M498" t="s">
        <v>24</v>
      </c>
      <c r="N498">
        <v>16</v>
      </c>
      <c r="O498">
        <v>7</v>
      </c>
      <c r="P498" t="b">
        <v>1</v>
      </c>
      <c r="Q498">
        <v>3</v>
      </c>
      <c r="R498">
        <v>5</v>
      </c>
    </row>
    <row r="499" spans="1:18">
      <c r="A499" t="s">
        <v>1041</v>
      </c>
      <c r="B499" t="s">
        <v>1042</v>
      </c>
      <c r="C499" s="1">
        <v>44974</v>
      </c>
      <c r="D499">
        <v>42</v>
      </c>
      <c r="E499" t="s">
        <v>27</v>
      </c>
      <c r="F499" t="s">
        <v>48</v>
      </c>
      <c r="G499" t="s">
        <v>45</v>
      </c>
      <c r="H499">
        <v>100.36</v>
      </c>
      <c r="I499">
        <v>2</v>
      </c>
      <c r="J499">
        <v>0</v>
      </c>
      <c r="K499">
        <v>200.72</v>
      </c>
      <c r="L499" t="s">
        <v>49</v>
      </c>
      <c r="M499" t="s">
        <v>24</v>
      </c>
      <c r="N499">
        <v>3</v>
      </c>
      <c r="O499">
        <v>6</v>
      </c>
      <c r="P499" t="b">
        <v>1</v>
      </c>
      <c r="Q499">
        <v>8</v>
      </c>
      <c r="R499">
        <v>5</v>
      </c>
    </row>
    <row r="500" spans="1:18">
      <c r="A500" t="s">
        <v>1043</v>
      </c>
      <c r="B500" t="s">
        <v>1044</v>
      </c>
      <c r="C500" s="1">
        <v>44974</v>
      </c>
      <c r="D500">
        <v>57</v>
      </c>
      <c r="E500" t="s">
        <v>27</v>
      </c>
      <c r="F500" t="s">
        <v>28</v>
      </c>
      <c r="G500" t="s">
        <v>40</v>
      </c>
      <c r="H500">
        <v>589.28</v>
      </c>
      <c r="I500">
        <v>1</v>
      </c>
      <c r="J500">
        <v>0</v>
      </c>
      <c r="K500">
        <v>589.28</v>
      </c>
      <c r="L500" t="s">
        <v>29</v>
      </c>
      <c r="M500" t="s">
        <v>42</v>
      </c>
      <c r="N500">
        <v>10</v>
      </c>
      <c r="O500">
        <v>12</v>
      </c>
      <c r="P500" t="b">
        <v>1</v>
      </c>
      <c r="Q500">
        <v>4</v>
      </c>
      <c r="R500">
        <v>3</v>
      </c>
    </row>
    <row r="501" spans="1:18">
      <c r="A501" t="s">
        <v>1045</v>
      </c>
      <c r="B501" t="s">
        <v>1046</v>
      </c>
      <c r="C501" s="1">
        <v>44974</v>
      </c>
      <c r="D501">
        <v>30</v>
      </c>
      <c r="E501" t="s">
        <v>20</v>
      </c>
      <c r="F501" t="s">
        <v>178</v>
      </c>
      <c r="G501" t="s">
        <v>45</v>
      </c>
      <c r="H501">
        <v>34.21</v>
      </c>
      <c r="I501">
        <v>2</v>
      </c>
      <c r="J501">
        <v>0</v>
      </c>
      <c r="K501">
        <v>68.42</v>
      </c>
      <c r="L501" t="s">
        <v>23</v>
      </c>
      <c r="M501" t="s">
        <v>42</v>
      </c>
      <c r="N501">
        <v>28</v>
      </c>
      <c r="O501">
        <v>1</v>
      </c>
      <c r="P501" t="b">
        <v>0</v>
      </c>
      <c r="Q501">
        <v>5</v>
      </c>
      <c r="R501">
        <v>1</v>
      </c>
    </row>
    <row r="502" spans="1:18">
      <c r="A502" t="s">
        <v>1047</v>
      </c>
      <c r="B502" t="s">
        <v>1048</v>
      </c>
      <c r="C502" s="1">
        <v>44974</v>
      </c>
      <c r="D502">
        <v>32</v>
      </c>
      <c r="E502" t="s">
        <v>27</v>
      </c>
      <c r="F502" t="s">
        <v>36</v>
      </c>
      <c r="G502" t="s">
        <v>45</v>
      </c>
      <c r="H502">
        <v>76.81</v>
      </c>
      <c r="I502">
        <v>2</v>
      </c>
      <c r="J502">
        <v>4.53</v>
      </c>
      <c r="K502">
        <v>149.09</v>
      </c>
      <c r="L502" t="s">
        <v>29</v>
      </c>
      <c r="M502" t="s">
        <v>42</v>
      </c>
      <c r="N502">
        <v>11</v>
      </c>
      <c r="O502">
        <v>8</v>
      </c>
      <c r="P502" t="b">
        <v>1</v>
      </c>
      <c r="Q502">
        <v>9</v>
      </c>
      <c r="R502">
        <v>2</v>
      </c>
    </row>
    <row r="503" spans="1:18">
      <c r="A503" t="s">
        <v>1049</v>
      </c>
      <c r="B503" t="s">
        <v>1050</v>
      </c>
      <c r="C503" s="1">
        <v>44974</v>
      </c>
      <c r="D503">
        <v>35</v>
      </c>
      <c r="E503" t="s">
        <v>27</v>
      </c>
      <c r="F503" t="s">
        <v>66</v>
      </c>
      <c r="G503" t="s">
        <v>22</v>
      </c>
      <c r="H503">
        <v>87.23</v>
      </c>
      <c r="I503">
        <v>1</v>
      </c>
      <c r="J503">
        <v>0</v>
      </c>
      <c r="K503">
        <v>87.23</v>
      </c>
      <c r="L503" t="s">
        <v>29</v>
      </c>
      <c r="M503" t="s">
        <v>42</v>
      </c>
      <c r="N503">
        <v>16</v>
      </c>
      <c r="O503">
        <v>9</v>
      </c>
      <c r="P503" t="b">
        <v>0</v>
      </c>
      <c r="Q503">
        <v>5</v>
      </c>
      <c r="R503">
        <v>3</v>
      </c>
    </row>
    <row r="504" spans="1:18">
      <c r="A504" t="s">
        <v>1051</v>
      </c>
      <c r="B504" t="s">
        <v>1052</v>
      </c>
      <c r="C504" s="1">
        <v>44974</v>
      </c>
      <c r="D504">
        <v>24</v>
      </c>
      <c r="E504" t="s">
        <v>20</v>
      </c>
      <c r="F504" t="s">
        <v>124</v>
      </c>
      <c r="G504" t="s">
        <v>37</v>
      </c>
      <c r="H504">
        <v>380.59</v>
      </c>
      <c r="I504">
        <v>1</v>
      </c>
      <c r="J504">
        <v>59.02</v>
      </c>
      <c r="K504">
        <v>321.57</v>
      </c>
      <c r="L504" t="s">
        <v>29</v>
      </c>
      <c r="M504" t="s">
        <v>42</v>
      </c>
      <c r="N504">
        <v>8</v>
      </c>
      <c r="O504">
        <v>10</v>
      </c>
      <c r="P504" t="b">
        <v>1</v>
      </c>
      <c r="Q504">
        <v>4</v>
      </c>
      <c r="R504">
        <v>5</v>
      </c>
    </row>
    <row r="505" spans="1:18">
      <c r="A505" t="s">
        <v>1053</v>
      </c>
      <c r="B505" t="s">
        <v>1054</v>
      </c>
      <c r="C505" s="1">
        <v>44974</v>
      </c>
      <c r="D505">
        <v>39</v>
      </c>
      <c r="E505" t="s">
        <v>20</v>
      </c>
      <c r="F505" t="s">
        <v>48</v>
      </c>
      <c r="G505" t="s">
        <v>54</v>
      </c>
      <c r="H505">
        <v>289.95999999999998</v>
      </c>
      <c r="I505">
        <v>3</v>
      </c>
      <c r="J505">
        <v>0</v>
      </c>
      <c r="K505">
        <v>869.88</v>
      </c>
      <c r="L505" t="s">
        <v>49</v>
      </c>
      <c r="M505" t="s">
        <v>42</v>
      </c>
      <c r="N505">
        <v>11</v>
      </c>
      <c r="O505">
        <v>13</v>
      </c>
      <c r="P505" t="b">
        <v>0</v>
      </c>
      <c r="Q505">
        <v>5</v>
      </c>
      <c r="R505">
        <v>2</v>
      </c>
    </row>
    <row r="506" spans="1:18">
      <c r="A506" t="s">
        <v>1055</v>
      </c>
      <c r="B506" t="s">
        <v>1056</v>
      </c>
      <c r="C506" s="1">
        <v>44974</v>
      </c>
      <c r="D506">
        <v>18</v>
      </c>
      <c r="E506" t="s">
        <v>20</v>
      </c>
      <c r="F506" t="s">
        <v>32</v>
      </c>
      <c r="G506" t="s">
        <v>40</v>
      </c>
      <c r="H506">
        <v>817.5</v>
      </c>
      <c r="I506">
        <v>1</v>
      </c>
      <c r="J506">
        <v>104.81</v>
      </c>
      <c r="K506">
        <v>712.69</v>
      </c>
      <c r="L506" t="s">
        <v>23</v>
      </c>
      <c r="M506" t="s">
        <v>24</v>
      </c>
      <c r="N506">
        <v>13</v>
      </c>
      <c r="O506">
        <v>12</v>
      </c>
      <c r="P506" t="b">
        <v>1</v>
      </c>
      <c r="Q506">
        <v>5</v>
      </c>
      <c r="R506">
        <v>2</v>
      </c>
    </row>
    <row r="507" spans="1:18">
      <c r="A507" t="s">
        <v>1057</v>
      </c>
      <c r="B507" t="s">
        <v>1058</v>
      </c>
      <c r="C507" s="1">
        <v>44974</v>
      </c>
      <c r="D507">
        <v>22</v>
      </c>
      <c r="E507" t="s">
        <v>27</v>
      </c>
      <c r="F507" t="s">
        <v>48</v>
      </c>
      <c r="G507" t="s">
        <v>37</v>
      </c>
      <c r="H507">
        <v>270.16000000000003</v>
      </c>
      <c r="I507">
        <v>1</v>
      </c>
      <c r="J507">
        <v>59.78</v>
      </c>
      <c r="K507">
        <v>210.38</v>
      </c>
      <c r="L507" t="s">
        <v>29</v>
      </c>
      <c r="M507" t="s">
        <v>42</v>
      </c>
      <c r="N507">
        <v>6</v>
      </c>
      <c r="O507">
        <v>8</v>
      </c>
      <c r="P507" t="b">
        <v>0</v>
      </c>
      <c r="Q507">
        <v>8</v>
      </c>
      <c r="R507">
        <v>5</v>
      </c>
    </row>
    <row r="508" spans="1:18">
      <c r="A508" t="s">
        <v>1059</v>
      </c>
      <c r="B508" t="s">
        <v>1060</v>
      </c>
      <c r="C508" s="1">
        <v>44974</v>
      </c>
      <c r="D508">
        <v>39</v>
      </c>
      <c r="E508" t="s">
        <v>20</v>
      </c>
      <c r="F508" t="s">
        <v>28</v>
      </c>
      <c r="G508" t="s">
        <v>22</v>
      </c>
      <c r="H508">
        <v>236.64</v>
      </c>
      <c r="I508">
        <v>5</v>
      </c>
      <c r="J508">
        <v>31.45</v>
      </c>
      <c r="K508">
        <v>1151.75</v>
      </c>
      <c r="L508" t="s">
        <v>29</v>
      </c>
      <c r="M508" t="s">
        <v>24</v>
      </c>
      <c r="N508">
        <v>11</v>
      </c>
      <c r="O508">
        <v>13</v>
      </c>
      <c r="P508" t="b">
        <v>1</v>
      </c>
      <c r="Q508">
        <v>5</v>
      </c>
      <c r="R508">
        <v>5</v>
      </c>
    </row>
    <row r="509" spans="1:18">
      <c r="A509" t="s">
        <v>1061</v>
      </c>
      <c r="B509" t="s">
        <v>1062</v>
      </c>
      <c r="C509" s="1">
        <v>44974</v>
      </c>
      <c r="D509">
        <v>50</v>
      </c>
      <c r="E509" t="s">
        <v>20</v>
      </c>
      <c r="F509" t="s">
        <v>36</v>
      </c>
      <c r="G509" t="s">
        <v>37</v>
      </c>
      <c r="H509">
        <v>1590.55</v>
      </c>
      <c r="I509">
        <v>1</v>
      </c>
      <c r="J509">
        <v>0</v>
      </c>
      <c r="K509">
        <v>1590.55</v>
      </c>
      <c r="L509" t="s">
        <v>29</v>
      </c>
      <c r="M509" t="s">
        <v>24</v>
      </c>
      <c r="N509">
        <v>11</v>
      </c>
      <c r="O509">
        <v>10</v>
      </c>
      <c r="P509" t="b">
        <v>1</v>
      </c>
      <c r="Q509">
        <v>2</v>
      </c>
      <c r="R509">
        <v>5</v>
      </c>
    </row>
    <row r="510" spans="1:18">
      <c r="A510" t="s">
        <v>1063</v>
      </c>
      <c r="B510" t="s">
        <v>1064</v>
      </c>
      <c r="C510" s="1">
        <v>44974</v>
      </c>
      <c r="D510">
        <v>18</v>
      </c>
      <c r="E510" t="s">
        <v>20</v>
      </c>
      <c r="F510" t="s">
        <v>36</v>
      </c>
      <c r="G510" t="s">
        <v>22</v>
      </c>
      <c r="H510">
        <v>106.78</v>
      </c>
      <c r="I510">
        <v>1</v>
      </c>
      <c r="J510">
        <v>0</v>
      </c>
      <c r="K510">
        <v>106.78</v>
      </c>
      <c r="L510" t="s">
        <v>23</v>
      </c>
      <c r="M510" t="s">
        <v>24</v>
      </c>
      <c r="N510">
        <v>7</v>
      </c>
      <c r="O510">
        <v>7</v>
      </c>
      <c r="P510" t="b">
        <v>0</v>
      </c>
      <c r="Q510">
        <v>9</v>
      </c>
      <c r="R510">
        <v>2</v>
      </c>
    </row>
    <row r="511" spans="1:18">
      <c r="A511" t="s">
        <v>1065</v>
      </c>
      <c r="B511" t="s">
        <v>1066</v>
      </c>
      <c r="C511" s="1">
        <v>44974</v>
      </c>
      <c r="D511">
        <v>25</v>
      </c>
      <c r="E511" t="s">
        <v>20</v>
      </c>
      <c r="F511" t="s">
        <v>32</v>
      </c>
      <c r="G511" t="s">
        <v>22</v>
      </c>
      <c r="H511">
        <v>70.12</v>
      </c>
      <c r="I511">
        <v>2</v>
      </c>
      <c r="J511">
        <v>0</v>
      </c>
      <c r="K511">
        <v>140.24</v>
      </c>
      <c r="L511" t="s">
        <v>23</v>
      </c>
      <c r="M511" t="s">
        <v>55</v>
      </c>
      <c r="N511">
        <v>13</v>
      </c>
      <c r="O511">
        <v>7</v>
      </c>
      <c r="P511" t="b">
        <v>1</v>
      </c>
      <c r="Q511">
        <v>8</v>
      </c>
      <c r="R511">
        <v>4</v>
      </c>
    </row>
    <row r="512" spans="1:18">
      <c r="A512" t="s">
        <v>1067</v>
      </c>
      <c r="B512" t="s">
        <v>1068</v>
      </c>
      <c r="C512" s="1">
        <v>44974</v>
      </c>
      <c r="D512">
        <v>35</v>
      </c>
      <c r="E512" t="s">
        <v>129</v>
      </c>
      <c r="F512" t="s">
        <v>32</v>
      </c>
      <c r="G512" t="s">
        <v>22</v>
      </c>
      <c r="H512">
        <v>86.11</v>
      </c>
      <c r="I512">
        <v>4</v>
      </c>
      <c r="J512">
        <v>20.11</v>
      </c>
      <c r="K512">
        <v>324.33</v>
      </c>
      <c r="L512" t="s">
        <v>41</v>
      </c>
      <c r="M512" t="s">
        <v>42</v>
      </c>
      <c r="N512">
        <v>10</v>
      </c>
      <c r="O512">
        <v>9</v>
      </c>
      <c r="P512" t="b">
        <v>1</v>
      </c>
      <c r="Q512">
        <v>8</v>
      </c>
      <c r="R512">
        <v>5</v>
      </c>
    </row>
    <row r="513" spans="1:18">
      <c r="A513" t="s">
        <v>1069</v>
      </c>
      <c r="B513" t="s">
        <v>1070</v>
      </c>
      <c r="C513" s="1">
        <v>44974</v>
      </c>
      <c r="D513">
        <v>58</v>
      </c>
      <c r="E513" t="s">
        <v>27</v>
      </c>
      <c r="F513" t="s">
        <v>88</v>
      </c>
      <c r="G513" t="s">
        <v>70</v>
      </c>
      <c r="H513">
        <v>134.19</v>
      </c>
      <c r="I513">
        <v>1</v>
      </c>
      <c r="J513">
        <v>0</v>
      </c>
      <c r="K513">
        <v>134.19</v>
      </c>
      <c r="L513" t="s">
        <v>23</v>
      </c>
      <c r="M513" t="s">
        <v>42</v>
      </c>
      <c r="N513">
        <v>21</v>
      </c>
      <c r="O513">
        <v>9</v>
      </c>
      <c r="P513" t="b">
        <v>0</v>
      </c>
      <c r="Q513">
        <v>3</v>
      </c>
      <c r="R513">
        <v>4</v>
      </c>
    </row>
    <row r="514" spans="1:18">
      <c r="A514" t="s">
        <v>1071</v>
      </c>
      <c r="B514" t="s">
        <v>1072</v>
      </c>
      <c r="C514" s="1">
        <v>44975</v>
      </c>
      <c r="D514">
        <v>19</v>
      </c>
      <c r="E514" t="s">
        <v>20</v>
      </c>
      <c r="F514" t="s">
        <v>178</v>
      </c>
      <c r="G514" t="s">
        <v>45</v>
      </c>
      <c r="H514">
        <v>39.31</v>
      </c>
      <c r="I514">
        <v>1</v>
      </c>
      <c r="J514">
        <v>2.0499999999999998</v>
      </c>
      <c r="K514">
        <v>37.26</v>
      </c>
      <c r="L514" t="s">
        <v>49</v>
      </c>
      <c r="M514" t="s">
        <v>42</v>
      </c>
      <c r="N514">
        <v>8</v>
      </c>
      <c r="O514">
        <v>6</v>
      </c>
      <c r="P514" t="b">
        <v>0</v>
      </c>
      <c r="Q514">
        <v>2</v>
      </c>
      <c r="R514">
        <v>2</v>
      </c>
    </row>
    <row r="515" spans="1:18">
      <c r="A515" t="s">
        <v>1073</v>
      </c>
      <c r="B515" t="s">
        <v>1074</v>
      </c>
      <c r="C515" s="1">
        <v>44975</v>
      </c>
      <c r="D515">
        <v>30</v>
      </c>
      <c r="E515" t="s">
        <v>20</v>
      </c>
      <c r="F515" t="s">
        <v>83</v>
      </c>
      <c r="G515" t="s">
        <v>54</v>
      </c>
      <c r="H515">
        <v>221.56</v>
      </c>
      <c r="I515">
        <v>2</v>
      </c>
      <c r="J515">
        <v>32.89</v>
      </c>
      <c r="K515">
        <v>410.23</v>
      </c>
      <c r="L515" t="s">
        <v>49</v>
      </c>
      <c r="M515" t="s">
        <v>42</v>
      </c>
      <c r="N515">
        <v>19</v>
      </c>
      <c r="O515">
        <v>9</v>
      </c>
      <c r="P515" t="b">
        <v>1</v>
      </c>
      <c r="Q515">
        <v>8</v>
      </c>
      <c r="R515">
        <v>1</v>
      </c>
    </row>
    <row r="516" spans="1:18">
      <c r="A516" t="s">
        <v>1075</v>
      </c>
      <c r="B516" t="s">
        <v>1076</v>
      </c>
      <c r="C516" s="1">
        <v>44975</v>
      </c>
      <c r="D516">
        <v>32</v>
      </c>
      <c r="E516" t="s">
        <v>20</v>
      </c>
      <c r="F516" t="s">
        <v>48</v>
      </c>
      <c r="G516" t="s">
        <v>70</v>
      </c>
      <c r="H516">
        <v>21.5</v>
      </c>
      <c r="I516">
        <v>4</v>
      </c>
      <c r="J516">
        <v>0</v>
      </c>
      <c r="K516">
        <v>86</v>
      </c>
      <c r="L516" t="s">
        <v>29</v>
      </c>
      <c r="M516" t="s">
        <v>42</v>
      </c>
      <c r="N516">
        <v>12</v>
      </c>
      <c r="O516">
        <v>9</v>
      </c>
      <c r="P516" t="b">
        <v>1</v>
      </c>
      <c r="Q516">
        <v>4</v>
      </c>
      <c r="R516">
        <v>5</v>
      </c>
    </row>
    <row r="517" spans="1:18">
      <c r="A517" t="s">
        <v>1077</v>
      </c>
      <c r="B517" t="s">
        <v>1078</v>
      </c>
      <c r="C517" s="1">
        <v>44975</v>
      </c>
      <c r="D517">
        <v>35</v>
      </c>
      <c r="E517" t="s">
        <v>20</v>
      </c>
      <c r="F517" t="s">
        <v>48</v>
      </c>
      <c r="G517" t="s">
        <v>33</v>
      </c>
      <c r="H517">
        <v>96.9</v>
      </c>
      <c r="I517">
        <v>5</v>
      </c>
      <c r="J517">
        <v>0</v>
      </c>
      <c r="K517">
        <v>484.5</v>
      </c>
      <c r="L517" t="s">
        <v>29</v>
      </c>
      <c r="M517" t="s">
        <v>24</v>
      </c>
      <c r="N517">
        <v>16</v>
      </c>
      <c r="O517">
        <v>8</v>
      </c>
      <c r="P517" t="b">
        <v>1</v>
      </c>
      <c r="Q517">
        <v>6</v>
      </c>
      <c r="R517">
        <v>2</v>
      </c>
    </row>
    <row r="518" spans="1:18">
      <c r="A518" t="s">
        <v>1079</v>
      </c>
      <c r="B518" t="s">
        <v>1080</v>
      </c>
      <c r="C518" s="1">
        <v>44975</v>
      </c>
      <c r="D518">
        <v>19</v>
      </c>
      <c r="E518" t="s">
        <v>20</v>
      </c>
      <c r="F518" t="s">
        <v>32</v>
      </c>
      <c r="G518" t="s">
        <v>70</v>
      </c>
      <c r="H518">
        <v>83.97</v>
      </c>
      <c r="I518">
        <v>2</v>
      </c>
      <c r="J518">
        <v>9.6199999999999992</v>
      </c>
      <c r="K518">
        <v>158.32</v>
      </c>
      <c r="L518" t="s">
        <v>49</v>
      </c>
      <c r="M518" t="s">
        <v>24</v>
      </c>
      <c r="N518">
        <v>7</v>
      </c>
      <c r="O518">
        <v>10</v>
      </c>
      <c r="P518" t="b">
        <v>1</v>
      </c>
      <c r="Q518">
        <v>8</v>
      </c>
      <c r="R518">
        <v>4</v>
      </c>
    </row>
    <row r="519" spans="1:18">
      <c r="A519" t="s">
        <v>1081</v>
      </c>
      <c r="B519" t="s">
        <v>1082</v>
      </c>
      <c r="C519" s="1">
        <v>44975</v>
      </c>
      <c r="D519">
        <v>44</v>
      </c>
      <c r="E519" t="s">
        <v>20</v>
      </c>
      <c r="F519" t="s">
        <v>124</v>
      </c>
      <c r="G519" t="s">
        <v>33</v>
      </c>
      <c r="H519">
        <v>35.85</v>
      </c>
      <c r="I519">
        <v>4</v>
      </c>
      <c r="J519">
        <v>0</v>
      </c>
      <c r="K519">
        <v>143.4</v>
      </c>
      <c r="L519" t="s">
        <v>29</v>
      </c>
      <c r="M519" t="s">
        <v>24</v>
      </c>
      <c r="N519">
        <v>5</v>
      </c>
      <c r="O519">
        <v>7</v>
      </c>
      <c r="P519" t="b">
        <v>0</v>
      </c>
      <c r="Q519">
        <v>2</v>
      </c>
      <c r="R519">
        <v>2</v>
      </c>
    </row>
    <row r="520" spans="1:18">
      <c r="A520" t="s">
        <v>1083</v>
      </c>
      <c r="B520" t="s">
        <v>1084</v>
      </c>
      <c r="C520" s="1">
        <v>44975</v>
      </c>
      <c r="D520">
        <v>28</v>
      </c>
      <c r="E520" t="s">
        <v>20</v>
      </c>
      <c r="F520" t="s">
        <v>48</v>
      </c>
      <c r="G520" t="s">
        <v>40</v>
      </c>
      <c r="H520">
        <v>440.35</v>
      </c>
      <c r="I520">
        <v>2</v>
      </c>
      <c r="J520">
        <v>0</v>
      </c>
      <c r="K520">
        <v>880.7</v>
      </c>
      <c r="L520" t="s">
        <v>29</v>
      </c>
      <c r="M520" t="s">
        <v>42</v>
      </c>
      <c r="N520">
        <v>13</v>
      </c>
      <c r="O520">
        <v>11</v>
      </c>
      <c r="P520" t="b">
        <v>1</v>
      </c>
      <c r="Q520">
        <v>3</v>
      </c>
      <c r="R520">
        <v>4</v>
      </c>
    </row>
    <row r="521" spans="1:18">
      <c r="A521" t="s">
        <v>1085</v>
      </c>
      <c r="B521" t="s">
        <v>1086</v>
      </c>
      <c r="C521" s="1">
        <v>44975</v>
      </c>
      <c r="D521">
        <v>20</v>
      </c>
      <c r="E521" t="s">
        <v>27</v>
      </c>
      <c r="F521" t="s">
        <v>28</v>
      </c>
      <c r="G521" t="s">
        <v>37</v>
      </c>
      <c r="H521">
        <v>528.28</v>
      </c>
      <c r="I521">
        <v>1</v>
      </c>
      <c r="J521">
        <v>0</v>
      </c>
      <c r="K521">
        <v>528.28</v>
      </c>
      <c r="L521" t="s">
        <v>29</v>
      </c>
      <c r="M521" t="s">
        <v>24</v>
      </c>
      <c r="N521">
        <v>9</v>
      </c>
      <c r="O521">
        <v>9</v>
      </c>
      <c r="P521" t="b">
        <v>1</v>
      </c>
      <c r="Q521">
        <v>3</v>
      </c>
      <c r="R521">
        <v>2</v>
      </c>
    </row>
    <row r="522" spans="1:18">
      <c r="A522" t="s">
        <v>1087</v>
      </c>
      <c r="B522" t="s">
        <v>1088</v>
      </c>
      <c r="C522" s="1">
        <v>44976</v>
      </c>
      <c r="D522">
        <v>44</v>
      </c>
      <c r="E522" t="s">
        <v>27</v>
      </c>
      <c r="F522" t="s">
        <v>36</v>
      </c>
      <c r="G522" t="s">
        <v>22</v>
      </c>
      <c r="H522">
        <v>241.61</v>
      </c>
      <c r="I522">
        <v>4</v>
      </c>
      <c r="J522">
        <v>0</v>
      </c>
      <c r="K522">
        <v>966.44</v>
      </c>
      <c r="L522" t="s">
        <v>49</v>
      </c>
      <c r="M522" t="s">
        <v>24</v>
      </c>
      <c r="N522">
        <v>23</v>
      </c>
      <c r="O522">
        <v>10</v>
      </c>
      <c r="P522" t="b">
        <v>0</v>
      </c>
      <c r="Q522">
        <v>9</v>
      </c>
      <c r="R522">
        <v>4</v>
      </c>
    </row>
    <row r="523" spans="1:18">
      <c r="A523" t="s">
        <v>1089</v>
      </c>
      <c r="B523" t="s">
        <v>1090</v>
      </c>
      <c r="C523" s="1">
        <v>44976</v>
      </c>
      <c r="D523">
        <v>26</v>
      </c>
      <c r="E523" t="s">
        <v>27</v>
      </c>
      <c r="F523" t="s">
        <v>66</v>
      </c>
      <c r="G523" t="s">
        <v>40</v>
      </c>
      <c r="H523">
        <v>675.54</v>
      </c>
      <c r="I523">
        <v>2</v>
      </c>
      <c r="J523">
        <v>0</v>
      </c>
      <c r="K523">
        <v>1351.08</v>
      </c>
      <c r="L523" t="s">
        <v>29</v>
      </c>
      <c r="M523" t="s">
        <v>24</v>
      </c>
      <c r="N523">
        <v>16</v>
      </c>
      <c r="O523">
        <v>8</v>
      </c>
      <c r="P523" t="b">
        <v>1</v>
      </c>
      <c r="Q523">
        <v>11</v>
      </c>
      <c r="R523">
        <v>1</v>
      </c>
    </row>
    <row r="524" spans="1:18">
      <c r="A524" t="s">
        <v>1091</v>
      </c>
      <c r="B524" t="s">
        <v>1092</v>
      </c>
      <c r="C524" s="1">
        <v>44976</v>
      </c>
      <c r="D524">
        <v>32</v>
      </c>
      <c r="E524" t="s">
        <v>20</v>
      </c>
      <c r="F524" t="s">
        <v>21</v>
      </c>
      <c r="G524" t="s">
        <v>40</v>
      </c>
      <c r="H524">
        <v>477.43</v>
      </c>
      <c r="I524">
        <v>4</v>
      </c>
      <c r="J524">
        <v>44.24</v>
      </c>
      <c r="K524">
        <v>1865.48</v>
      </c>
      <c r="L524" t="s">
        <v>29</v>
      </c>
      <c r="M524" t="s">
        <v>24</v>
      </c>
      <c r="N524">
        <v>8</v>
      </c>
      <c r="O524">
        <v>4</v>
      </c>
      <c r="P524" t="b">
        <v>1</v>
      </c>
      <c r="Q524">
        <v>2</v>
      </c>
      <c r="R524">
        <v>5</v>
      </c>
    </row>
    <row r="525" spans="1:18">
      <c r="A525" t="s">
        <v>1093</v>
      </c>
      <c r="B525" t="s">
        <v>1094</v>
      </c>
      <c r="C525" s="1">
        <v>44976</v>
      </c>
      <c r="D525">
        <v>39</v>
      </c>
      <c r="E525" t="s">
        <v>27</v>
      </c>
      <c r="F525" t="s">
        <v>178</v>
      </c>
      <c r="G525" t="s">
        <v>45</v>
      </c>
      <c r="H525">
        <v>42.23</v>
      </c>
      <c r="I525">
        <v>1</v>
      </c>
      <c r="J525">
        <v>8.26</v>
      </c>
      <c r="K525">
        <v>33.97</v>
      </c>
      <c r="L525" t="s">
        <v>49</v>
      </c>
      <c r="M525" t="s">
        <v>24</v>
      </c>
      <c r="N525">
        <v>5</v>
      </c>
      <c r="O525">
        <v>10</v>
      </c>
      <c r="P525" t="b">
        <v>0</v>
      </c>
      <c r="Q525">
        <v>4</v>
      </c>
      <c r="R525">
        <v>4</v>
      </c>
    </row>
    <row r="526" spans="1:18">
      <c r="A526" t="s">
        <v>1095</v>
      </c>
      <c r="B526" t="s">
        <v>1096</v>
      </c>
      <c r="C526" s="1">
        <v>44976</v>
      </c>
      <c r="D526">
        <v>40</v>
      </c>
      <c r="E526" t="s">
        <v>27</v>
      </c>
      <c r="F526" t="s">
        <v>178</v>
      </c>
      <c r="G526" t="s">
        <v>40</v>
      </c>
      <c r="H526">
        <v>332.41</v>
      </c>
      <c r="I526">
        <v>2</v>
      </c>
      <c r="J526">
        <v>0</v>
      </c>
      <c r="K526">
        <v>664.82</v>
      </c>
      <c r="L526" t="s">
        <v>23</v>
      </c>
      <c r="M526" t="s">
        <v>24</v>
      </c>
      <c r="N526">
        <v>2</v>
      </c>
      <c r="O526">
        <v>9</v>
      </c>
      <c r="P526" t="b">
        <v>1</v>
      </c>
      <c r="Q526">
        <v>5</v>
      </c>
      <c r="R526">
        <v>5</v>
      </c>
    </row>
    <row r="527" spans="1:18">
      <c r="A527" t="s">
        <v>1097</v>
      </c>
      <c r="B527" t="s">
        <v>1098</v>
      </c>
      <c r="C527" s="1">
        <v>44976</v>
      </c>
      <c r="D527">
        <v>32</v>
      </c>
      <c r="E527" t="s">
        <v>27</v>
      </c>
      <c r="F527" t="s">
        <v>36</v>
      </c>
      <c r="G527" t="s">
        <v>40</v>
      </c>
      <c r="H527">
        <v>93.08</v>
      </c>
      <c r="I527">
        <v>1</v>
      </c>
      <c r="J527">
        <v>0</v>
      </c>
      <c r="K527">
        <v>93.08</v>
      </c>
      <c r="L527" t="s">
        <v>29</v>
      </c>
      <c r="M527" t="s">
        <v>24</v>
      </c>
      <c r="N527">
        <v>13</v>
      </c>
      <c r="O527">
        <v>8</v>
      </c>
      <c r="P527" t="b">
        <v>1</v>
      </c>
      <c r="Q527">
        <v>4</v>
      </c>
      <c r="R527">
        <v>4</v>
      </c>
    </row>
    <row r="528" spans="1:18">
      <c r="A528" t="s">
        <v>1099</v>
      </c>
      <c r="B528" t="s">
        <v>1100</v>
      </c>
      <c r="C528" s="1">
        <v>44976</v>
      </c>
      <c r="D528">
        <v>63</v>
      </c>
      <c r="E528" t="s">
        <v>20</v>
      </c>
      <c r="F528" t="s">
        <v>28</v>
      </c>
      <c r="G528" t="s">
        <v>22</v>
      </c>
      <c r="H528">
        <v>194.79</v>
      </c>
      <c r="I528">
        <v>1</v>
      </c>
      <c r="J528">
        <v>0</v>
      </c>
      <c r="K528">
        <v>194.79</v>
      </c>
      <c r="L528" t="s">
        <v>23</v>
      </c>
      <c r="M528" t="s">
        <v>24</v>
      </c>
      <c r="N528">
        <v>24</v>
      </c>
      <c r="O528">
        <v>9</v>
      </c>
      <c r="P528" t="b">
        <v>1</v>
      </c>
      <c r="Q528">
        <v>3</v>
      </c>
      <c r="R528">
        <v>5</v>
      </c>
    </row>
    <row r="529" spans="1:18">
      <c r="A529" t="s">
        <v>1101</v>
      </c>
      <c r="B529" t="s">
        <v>1102</v>
      </c>
      <c r="C529" s="1">
        <v>44976</v>
      </c>
      <c r="D529">
        <v>50</v>
      </c>
      <c r="E529" t="s">
        <v>27</v>
      </c>
      <c r="F529" t="s">
        <v>32</v>
      </c>
      <c r="G529" t="s">
        <v>22</v>
      </c>
      <c r="H529">
        <v>157.02000000000001</v>
      </c>
      <c r="I529">
        <v>3</v>
      </c>
      <c r="J529">
        <v>0</v>
      </c>
      <c r="K529">
        <v>471.06</v>
      </c>
      <c r="L529" t="s">
        <v>29</v>
      </c>
      <c r="M529" t="s">
        <v>24</v>
      </c>
      <c r="N529">
        <v>5</v>
      </c>
      <c r="O529">
        <v>8</v>
      </c>
      <c r="P529" t="b">
        <v>1</v>
      </c>
      <c r="Q529">
        <v>5</v>
      </c>
      <c r="R529">
        <v>5</v>
      </c>
    </row>
    <row r="530" spans="1:18">
      <c r="A530" t="s">
        <v>1103</v>
      </c>
      <c r="B530" t="s">
        <v>1104</v>
      </c>
      <c r="C530" s="1">
        <v>44976</v>
      </c>
      <c r="D530">
        <v>47</v>
      </c>
      <c r="E530" t="s">
        <v>20</v>
      </c>
      <c r="F530" t="s">
        <v>36</v>
      </c>
      <c r="G530" t="s">
        <v>67</v>
      </c>
      <c r="H530">
        <v>1237.18</v>
      </c>
      <c r="I530">
        <v>5</v>
      </c>
      <c r="J530">
        <v>0</v>
      </c>
      <c r="K530">
        <v>6185.9</v>
      </c>
      <c r="L530" t="s">
        <v>29</v>
      </c>
      <c r="M530" t="s">
        <v>24</v>
      </c>
      <c r="N530">
        <v>13</v>
      </c>
      <c r="O530">
        <v>12</v>
      </c>
      <c r="P530" t="b">
        <v>1</v>
      </c>
      <c r="Q530">
        <v>8</v>
      </c>
      <c r="R530">
        <v>3</v>
      </c>
    </row>
    <row r="531" spans="1:18">
      <c r="A531" t="s">
        <v>1105</v>
      </c>
      <c r="B531" t="s">
        <v>1106</v>
      </c>
      <c r="C531" s="1">
        <v>44977</v>
      </c>
      <c r="D531">
        <v>34</v>
      </c>
      <c r="E531" t="s">
        <v>27</v>
      </c>
      <c r="F531" t="s">
        <v>36</v>
      </c>
      <c r="G531" t="s">
        <v>54</v>
      </c>
      <c r="H531">
        <v>327.67</v>
      </c>
      <c r="I531">
        <v>4</v>
      </c>
      <c r="J531">
        <v>83.59</v>
      </c>
      <c r="K531">
        <v>1227.0899999999999</v>
      </c>
      <c r="L531" t="s">
        <v>29</v>
      </c>
      <c r="M531" t="s">
        <v>55</v>
      </c>
      <c r="N531">
        <v>3</v>
      </c>
      <c r="O531">
        <v>8</v>
      </c>
      <c r="P531" t="b">
        <v>0</v>
      </c>
      <c r="Q531">
        <v>8</v>
      </c>
      <c r="R531">
        <v>4</v>
      </c>
    </row>
    <row r="532" spans="1:18">
      <c r="A532" t="s">
        <v>1107</v>
      </c>
      <c r="B532" t="s">
        <v>1108</v>
      </c>
      <c r="C532" s="1">
        <v>44977</v>
      </c>
      <c r="D532">
        <v>22</v>
      </c>
      <c r="E532" t="s">
        <v>20</v>
      </c>
      <c r="F532" t="s">
        <v>32</v>
      </c>
      <c r="G532" t="s">
        <v>22</v>
      </c>
      <c r="H532">
        <v>19.61</v>
      </c>
      <c r="I532">
        <v>1</v>
      </c>
      <c r="J532">
        <v>0</v>
      </c>
      <c r="K532">
        <v>19.61</v>
      </c>
      <c r="L532" t="s">
        <v>99</v>
      </c>
      <c r="M532" t="s">
        <v>24</v>
      </c>
      <c r="N532">
        <v>16</v>
      </c>
      <c r="O532">
        <v>3</v>
      </c>
      <c r="P532" t="b">
        <v>0</v>
      </c>
      <c r="Q532">
        <v>4</v>
      </c>
      <c r="R532">
        <v>4</v>
      </c>
    </row>
    <row r="533" spans="1:18">
      <c r="A533" t="s">
        <v>1109</v>
      </c>
      <c r="B533" t="s">
        <v>1110</v>
      </c>
      <c r="C533" s="1">
        <v>44977</v>
      </c>
      <c r="D533">
        <v>38</v>
      </c>
      <c r="E533" t="s">
        <v>20</v>
      </c>
      <c r="F533" t="s">
        <v>36</v>
      </c>
      <c r="G533" t="s">
        <v>45</v>
      </c>
      <c r="H533">
        <v>75.73</v>
      </c>
      <c r="I533">
        <v>1</v>
      </c>
      <c r="J533">
        <v>0</v>
      </c>
      <c r="K533">
        <v>75.73</v>
      </c>
      <c r="L533" t="s">
        <v>23</v>
      </c>
      <c r="M533" t="s">
        <v>55</v>
      </c>
      <c r="N533">
        <v>11</v>
      </c>
      <c r="O533">
        <v>8</v>
      </c>
      <c r="P533" t="b">
        <v>0</v>
      </c>
      <c r="Q533">
        <v>5</v>
      </c>
      <c r="R533">
        <v>5</v>
      </c>
    </row>
    <row r="534" spans="1:18">
      <c r="A534" t="s">
        <v>1111</v>
      </c>
      <c r="B534" t="s">
        <v>1112</v>
      </c>
      <c r="C534" s="1">
        <v>44977</v>
      </c>
      <c r="D534">
        <v>37</v>
      </c>
      <c r="E534" t="s">
        <v>20</v>
      </c>
      <c r="F534" t="s">
        <v>36</v>
      </c>
      <c r="G534" t="s">
        <v>70</v>
      </c>
      <c r="H534">
        <v>26.17</v>
      </c>
      <c r="I534">
        <v>4</v>
      </c>
      <c r="J534">
        <v>0</v>
      </c>
      <c r="K534">
        <v>104.68</v>
      </c>
      <c r="L534" t="s">
        <v>49</v>
      </c>
      <c r="M534" t="s">
        <v>55</v>
      </c>
      <c r="N534">
        <v>8</v>
      </c>
      <c r="O534">
        <v>4</v>
      </c>
      <c r="P534" t="b">
        <v>0</v>
      </c>
      <c r="Q534">
        <v>3</v>
      </c>
      <c r="R534">
        <v>5</v>
      </c>
    </row>
    <row r="535" spans="1:18">
      <c r="A535" t="s">
        <v>1113</v>
      </c>
      <c r="B535" t="s">
        <v>1114</v>
      </c>
      <c r="C535" s="1">
        <v>44977</v>
      </c>
      <c r="D535">
        <v>29</v>
      </c>
      <c r="E535" t="s">
        <v>20</v>
      </c>
      <c r="F535" t="s">
        <v>36</v>
      </c>
      <c r="G535" t="s">
        <v>40</v>
      </c>
      <c r="H535">
        <v>84.99</v>
      </c>
      <c r="I535">
        <v>5</v>
      </c>
      <c r="J535">
        <v>0</v>
      </c>
      <c r="K535">
        <v>424.95</v>
      </c>
      <c r="L535" t="s">
        <v>41</v>
      </c>
      <c r="M535" t="s">
        <v>55</v>
      </c>
      <c r="N535">
        <v>3</v>
      </c>
      <c r="O535">
        <v>7</v>
      </c>
      <c r="P535" t="b">
        <v>1</v>
      </c>
      <c r="Q535">
        <v>7</v>
      </c>
      <c r="R535">
        <v>4</v>
      </c>
    </row>
    <row r="536" spans="1:18">
      <c r="A536" t="s">
        <v>1115</v>
      </c>
      <c r="B536" t="s">
        <v>1116</v>
      </c>
      <c r="C536" s="1">
        <v>44977</v>
      </c>
      <c r="D536">
        <v>44</v>
      </c>
      <c r="E536" t="s">
        <v>20</v>
      </c>
      <c r="F536" t="s">
        <v>124</v>
      </c>
      <c r="G536" t="s">
        <v>33</v>
      </c>
      <c r="H536">
        <v>16.71</v>
      </c>
      <c r="I536">
        <v>2</v>
      </c>
      <c r="J536">
        <v>0</v>
      </c>
      <c r="K536">
        <v>33.42</v>
      </c>
      <c r="L536" t="s">
        <v>49</v>
      </c>
      <c r="M536" t="s">
        <v>42</v>
      </c>
      <c r="N536">
        <v>21</v>
      </c>
      <c r="O536">
        <v>9</v>
      </c>
      <c r="P536" t="b">
        <v>0</v>
      </c>
      <c r="Q536">
        <v>7</v>
      </c>
      <c r="R536">
        <v>3</v>
      </c>
    </row>
    <row r="537" spans="1:18">
      <c r="A537" t="s">
        <v>1117</v>
      </c>
      <c r="B537" t="s">
        <v>1118</v>
      </c>
      <c r="C537" s="1">
        <v>44977</v>
      </c>
      <c r="D537">
        <v>18</v>
      </c>
      <c r="E537" t="s">
        <v>129</v>
      </c>
      <c r="F537" t="s">
        <v>32</v>
      </c>
      <c r="G537" t="s">
        <v>33</v>
      </c>
      <c r="H537">
        <v>19.670000000000002</v>
      </c>
      <c r="I537">
        <v>1</v>
      </c>
      <c r="J537">
        <v>0</v>
      </c>
      <c r="K537">
        <v>19.670000000000002</v>
      </c>
      <c r="L537" t="s">
        <v>29</v>
      </c>
      <c r="M537" t="s">
        <v>24</v>
      </c>
      <c r="N537">
        <v>18</v>
      </c>
      <c r="O537">
        <v>13</v>
      </c>
      <c r="P537" t="b">
        <v>0</v>
      </c>
      <c r="Q537">
        <v>3</v>
      </c>
      <c r="R537">
        <v>3</v>
      </c>
    </row>
    <row r="538" spans="1:18">
      <c r="A538" t="s">
        <v>1119</v>
      </c>
      <c r="B538" t="s">
        <v>1120</v>
      </c>
      <c r="C538" s="1">
        <v>44977</v>
      </c>
      <c r="D538">
        <v>36</v>
      </c>
      <c r="E538" t="s">
        <v>27</v>
      </c>
      <c r="F538" t="s">
        <v>48</v>
      </c>
      <c r="G538" t="s">
        <v>70</v>
      </c>
      <c r="H538">
        <v>67.75</v>
      </c>
      <c r="I538">
        <v>3</v>
      </c>
      <c r="J538">
        <v>0</v>
      </c>
      <c r="K538">
        <v>203.25</v>
      </c>
      <c r="L538" t="s">
        <v>99</v>
      </c>
      <c r="M538" t="s">
        <v>24</v>
      </c>
      <c r="N538">
        <v>28</v>
      </c>
      <c r="O538">
        <v>12</v>
      </c>
      <c r="P538" t="b">
        <v>0</v>
      </c>
      <c r="Q538">
        <v>7</v>
      </c>
      <c r="R538">
        <v>5</v>
      </c>
    </row>
    <row r="539" spans="1:18">
      <c r="A539" t="s">
        <v>1121</v>
      </c>
      <c r="B539" t="s">
        <v>1122</v>
      </c>
      <c r="C539" s="1">
        <v>44977</v>
      </c>
      <c r="D539">
        <v>33</v>
      </c>
      <c r="E539" t="s">
        <v>27</v>
      </c>
      <c r="F539" t="s">
        <v>83</v>
      </c>
      <c r="G539" t="s">
        <v>22</v>
      </c>
      <c r="H539">
        <v>281.58</v>
      </c>
      <c r="I539">
        <v>1</v>
      </c>
      <c r="J539">
        <v>0</v>
      </c>
      <c r="K539">
        <v>281.58</v>
      </c>
      <c r="L539" t="s">
        <v>29</v>
      </c>
      <c r="M539" t="s">
        <v>55</v>
      </c>
      <c r="N539">
        <v>6</v>
      </c>
      <c r="O539">
        <v>11</v>
      </c>
      <c r="P539" t="b">
        <v>1</v>
      </c>
      <c r="Q539">
        <v>3</v>
      </c>
      <c r="R539">
        <v>5</v>
      </c>
    </row>
    <row r="540" spans="1:18">
      <c r="A540" t="s">
        <v>1123</v>
      </c>
      <c r="B540" t="s">
        <v>1124</v>
      </c>
      <c r="C540" s="1">
        <v>44977</v>
      </c>
      <c r="D540">
        <v>18</v>
      </c>
      <c r="E540" t="s">
        <v>20</v>
      </c>
      <c r="F540" t="s">
        <v>48</v>
      </c>
      <c r="G540" t="s">
        <v>45</v>
      </c>
      <c r="H540">
        <v>169.89</v>
      </c>
      <c r="I540">
        <v>1</v>
      </c>
      <c r="J540">
        <v>38.15</v>
      </c>
      <c r="K540">
        <v>131.74</v>
      </c>
      <c r="L540" t="s">
        <v>29</v>
      </c>
      <c r="M540" t="s">
        <v>24</v>
      </c>
      <c r="N540">
        <v>12</v>
      </c>
      <c r="O540">
        <v>11</v>
      </c>
      <c r="P540" t="b">
        <v>1</v>
      </c>
      <c r="Q540">
        <v>12</v>
      </c>
      <c r="R540">
        <v>5</v>
      </c>
    </row>
    <row r="541" spans="1:18">
      <c r="A541" t="s">
        <v>1125</v>
      </c>
      <c r="B541" t="s">
        <v>1126</v>
      </c>
      <c r="C541" s="1">
        <v>44977</v>
      </c>
      <c r="D541">
        <v>55</v>
      </c>
      <c r="E541" t="s">
        <v>27</v>
      </c>
      <c r="F541" t="s">
        <v>32</v>
      </c>
      <c r="G541" t="s">
        <v>40</v>
      </c>
      <c r="H541">
        <v>853.04</v>
      </c>
      <c r="I541">
        <v>1</v>
      </c>
      <c r="J541">
        <v>0</v>
      </c>
      <c r="K541">
        <v>853.04</v>
      </c>
      <c r="L541" t="s">
        <v>23</v>
      </c>
      <c r="M541" t="s">
        <v>24</v>
      </c>
      <c r="N541">
        <v>29</v>
      </c>
      <c r="O541">
        <v>9</v>
      </c>
      <c r="P541" t="b">
        <v>1</v>
      </c>
      <c r="Q541">
        <v>6</v>
      </c>
      <c r="R541">
        <v>5</v>
      </c>
    </row>
    <row r="542" spans="1:18">
      <c r="A542" t="s">
        <v>1127</v>
      </c>
      <c r="B542" t="s">
        <v>1128</v>
      </c>
      <c r="C542" s="1">
        <v>44977</v>
      </c>
      <c r="D542">
        <v>41</v>
      </c>
      <c r="E542" t="s">
        <v>27</v>
      </c>
      <c r="F542" t="s">
        <v>178</v>
      </c>
      <c r="G542" t="s">
        <v>70</v>
      </c>
      <c r="H542">
        <v>35.450000000000003</v>
      </c>
      <c r="I542">
        <v>1</v>
      </c>
      <c r="J542">
        <v>0</v>
      </c>
      <c r="K542">
        <v>35.450000000000003</v>
      </c>
      <c r="L542" t="s">
        <v>29</v>
      </c>
      <c r="M542" t="s">
        <v>42</v>
      </c>
      <c r="N542">
        <v>19</v>
      </c>
      <c r="O542">
        <v>12</v>
      </c>
      <c r="P542" t="b">
        <v>1</v>
      </c>
      <c r="Q542">
        <v>13</v>
      </c>
      <c r="R542">
        <v>5</v>
      </c>
    </row>
    <row r="543" spans="1:18">
      <c r="A543" t="s">
        <v>1129</v>
      </c>
      <c r="B543" t="s">
        <v>1130</v>
      </c>
      <c r="C543" s="1">
        <v>44978</v>
      </c>
      <c r="D543">
        <v>41</v>
      </c>
      <c r="E543" t="s">
        <v>20</v>
      </c>
      <c r="F543" t="s">
        <v>83</v>
      </c>
      <c r="G543" t="s">
        <v>54</v>
      </c>
      <c r="H543">
        <v>214.36</v>
      </c>
      <c r="I543">
        <v>1</v>
      </c>
      <c r="J543">
        <v>0</v>
      </c>
      <c r="K543">
        <v>214.36</v>
      </c>
      <c r="L543" t="s">
        <v>29</v>
      </c>
      <c r="M543" t="s">
        <v>24</v>
      </c>
      <c r="N543">
        <v>8</v>
      </c>
      <c r="O543">
        <v>7</v>
      </c>
      <c r="P543" t="b">
        <v>0</v>
      </c>
      <c r="Q543">
        <v>8</v>
      </c>
      <c r="R543">
        <v>5</v>
      </c>
    </row>
    <row r="544" spans="1:18">
      <c r="A544" t="s">
        <v>1131</v>
      </c>
      <c r="B544" t="s">
        <v>1132</v>
      </c>
      <c r="C544" s="1">
        <v>44978</v>
      </c>
      <c r="D544">
        <v>54</v>
      </c>
      <c r="E544" t="s">
        <v>27</v>
      </c>
      <c r="F544" t="s">
        <v>32</v>
      </c>
      <c r="G544" t="s">
        <v>54</v>
      </c>
      <c r="H544">
        <v>101.23</v>
      </c>
      <c r="I544">
        <v>5</v>
      </c>
      <c r="J544">
        <v>0</v>
      </c>
      <c r="K544">
        <v>506.15</v>
      </c>
      <c r="L544" t="s">
        <v>49</v>
      </c>
      <c r="M544" t="s">
        <v>42</v>
      </c>
      <c r="N544">
        <v>30</v>
      </c>
      <c r="O544">
        <v>9</v>
      </c>
      <c r="P544" t="b">
        <v>0</v>
      </c>
      <c r="Q544">
        <v>16</v>
      </c>
      <c r="R544">
        <v>4</v>
      </c>
    </row>
    <row r="545" spans="1:18">
      <c r="A545" t="s">
        <v>1133</v>
      </c>
      <c r="B545" t="s">
        <v>1134</v>
      </c>
      <c r="C545" s="1">
        <v>44978</v>
      </c>
      <c r="D545">
        <v>41</v>
      </c>
      <c r="E545" t="s">
        <v>20</v>
      </c>
      <c r="F545" t="s">
        <v>36</v>
      </c>
      <c r="G545" t="s">
        <v>22</v>
      </c>
      <c r="H545">
        <v>198.81</v>
      </c>
      <c r="I545">
        <v>5</v>
      </c>
      <c r="J545">
        <v>0</v>
      </c>
      <c r="K545">
        <v>994.05</v>
      </c>
      <c r="L545" t="s">
        <v>29</v>
      </c>
      <c r="M545" t="s">
        <v>24</v>
      </c>
      <c r="N545">
        <v>24</v>
      </c>
      <c r="O545">
        <v>4</v>
      </c>
      <c r="P545" t="b">
        <v>0</v>
      </c>
      <c r="Q545">
        <v>5</v>
      </c>
      <c r="R545">
        <v>5</v>
      </c>
    </row>
    <row r="546" spans="1:18">
      <c r="A546" t="s">
        <v>1135</v>
      </c>
      <c r="B546" t="s">
        <v>1136</v>
      </c>
      <c r="C546" s="1">
        <v>44978</v>
      </c>
      <c r="D546">
        <v>40</v>
      </c>
      <c r="E546" t="s">
        <v>27</v>
      </c>
      <c r="F546" t="s">
        <v>36</v>
      </c>
      <c r="G546" t="s">
        <v>33</v>
      </c>
      <c r="H546">
        <v>58.67</v>
      </c>
      <c r="I546">
        <v>5</v>
      </c>
      <c r="J546">
        <v>0</v>
      </c>
      <c r="K546">
        <v>293.35000000000002</v>
      </c>
      <c r="L546" t="s">
        <v>29</v>
      </c>
      <c r="M546" t="s">
        <v>55</v>
      </c>
      <c r="N546">
        <v>4</v>
      </c>
      <c r="O546">
        <v>10</v>
      </c>
      <c r="P546" t="b">
        <v>0</v>
      </c>
      <c r="Q546">
        <v>11</v>
      </c>
      <c r="R546">
        <v>4</v>
      </c>
    </row>
    <row r="547" spans="1:18">
      <c r="A547" t="s">
        <v>1137</v>
      </c>
      <c r="B547" t="s">
        <v>1138</v>
      </c>
      <c r="C547" s="1">
        <v>44978</v>
      </c>
      <c r="D547">
        <v>40</v>
      </c>
      <c r="E547" t="s">
        <v>27</v>
      </c>
      <c r="F547" t="s">
        <v>124</v>
      </c>
      <c r="G547" t="s">
        <v>67</v>
      </c>
      <c r="H547">
        <v>1328.74</v>
      </c>
      <c r="I547">
        <v>1</v>
      </c>
      <c r="J547">
        <v>287.01</v>
      </c>
      <c r="K547">
        <v>1041.73</v>
      </c>
      <c r="L547" t="s">
        <v>29</v>
      </c>
      <c r="M547" t="s">
        <v>24</v>
      </c>
      <c r="N547">
        <v>8</v>
      </c>
      <c r="O547">
        <v>6</v>
      </c>
      <c r="P547" t="b">
        <v>1</v>
      </c>
      <c r="Q547">
        <v>3</v>
      </c>
      <c r="R547">
        <v>4</v>
      </c>
    </row>
    <row r="548" spans="1:18">
      <c r="A548" t="s">
        <v>1139</v>
      </c>
      <c r="B548" t="s">
        <v>1140</v>
      </c>
      <c r="C548" s="1">
        <v>44978</v>
      </c>
      <c r="D548">
        <v>45</v>
      </c>
      <c r="E548" t="s">
        <v>27</v>
      </c>
      <c r="F548" t="s">
        <v>88</v>
      </c>
      <c r="G548" t="s">
        <v>70</v>
      </c>
      <c r="H548">
        <v>22.1</v>
      </c>
      <c r="I548">
        <v>2</v>
      </c>
      <c r="J548">
        <v>4.92</v>
      </c>
      <c r="K548">
        <v>39.28</v>
      </c>
      <c r="L548" t="s">
        <v>49</v>
      </c>
      <c r="M548" t="s">
        <v>42</v>
      </c>
      <c r="N548">
        <v>9</v>
      </c>
      <c r="O548">
        <v>7</v>
      </c>
      <c r="P548" t="b">
        <v>0</v>
      </c>
      <c r="Q548">
        <v>2</v>
      </c>
      <c r="R548">
        <v>5</v>
      </c>
    </row>
    <row r="549" spans="1:18">
      <c r="A549" t="s">
        <v>1141</v>
      </c>
      <c r="B549" t="s">
        <v>1142</v>
      </c>
      <c r="C549" s="1">
        <v>44978</v>
      </c>
      <c r="D549">
        <v>18</v>
      </c>
      <c r="E549" t="s">
        <v>27</v>
      </c>
      <c r="F549" t="s">
        <v>21</v>
      </c>
      <c r="G549" t="s">
        <v>67</v>
      </c>
      <c r="H549">
        <v>851.04</v>
      </c>
      <c r="I549">
        <v>1</v>
      </c>
      <c r="J549">
        <v>104.28</v>
      </c>
      <c r="K549">
        <v>746.76</v>
      </c>
      <c r="L549" t="s">
        <v>49</v>
      </c>
      <c r="M549" t="s">
        <v>24</v>
      </c>
      <c r="N549">
        <v>4</v>
      </c>
      <c r="O549">
        <v>6</v>
      </c>
      <c r="P549" t="b">
        <v>0</v>
      </c>
      <c r="Q549">
        <v>6</v>
      </c>
      <c r="R549">
        <v>4</v>
      </c>
    </row>
    <row r="550" spans="1:18">
      <c r="A550" t="s">
        <v>1143</v>
      </c>
      <c r="B550" t="s">
        <v>1144</v>
      </c>
      <c r="C550" s="1">
        <v>44978</v>
      </c>
      <c r="D550">
        <v>37</v>
      </c>
      <c r="E550" t="s">
        <v>20</v>
      </c>
      <c r="F550" t="s">
        <v>32</v>
      </c>
      <c r="G550" t="s">
        <v>67</v>
      </c>
      <c r="H550">
        <v>736.92</v>
      </c>
      <c r="I550">
        <v>1</v>
      </c>
      <c r="J550">
        <v>38.200000000000003</v>
      </c>
      <c r="K550">
        <v>698.72</v>
      </c>
      <c r="L550" t="s">
        <v>23</v>
      </c>
      <c r="M550" t="s">
        <v>24</v>
      </c>
      <c r="N550">
        <v>42</v>
      </c>
      <c r="O550">
        <v>8</v>
      </c>
      <c r="P550" t="b">
        <v>0</v>
      </c>
      <c r="Q550">
        <v>6</v>
      </c>
      <c r="R550">
        <v>4</v>
      </c>
    </row>
    <row r="551" spans="1:18">
      <c r="A551" t="s">
        <v>1145</v>
      </c>
      <c r="B551" t="s">
        <v>1146</v>
      </c>
      <c r="C551" s="1">
        <v>44978</v>
      </c>
      <c r="D551">
        <v>23</v>
      </c>
      <c r="E551" t="s">
        <v>27</v>
      </c>
      <c r="F551" t="s">
        <v>36</v>
      </c>
      <c r="G551" t="s">
        <v>67</v>
      </c>
      <c r="H551">
        <v>511.01</v>
      </c>
      <c r="I551">
        <v>1</v>
      </c>
      <c r="J551">
        <v>0</v>
      </c>
      <c r="K551">
        <v>511.01</v>
      </c>
      <c r="L551" t="s">
        <v>29</v>
      </c>
      <c r="M551" t="s">
        <v>24</v>
      </c>
      <c r="N551">
        <v>11</v>
      </c>
      <c r="O551">
        <v>8</v>
      </c>
      <c r="P551" t="b">
        <v>1</v>
      </c>
      <c r="Q551">
        <v>5</v>
      </c>
      <c r="R551">
        <v>3</v>
      </c>
    </row>
    <row r="552" spans="1:18">
      <c r="A552" t="s">
        <v>1147</v>
      </c>
      <c r="B552" t="s">
        <v>1148</v>
      </c>
      <c r="C552" s="1">
        <v>44978</v>
      </c>
      <c r="D552">
        <v>35</v>
      </c>
      <c r="E552" t="s">
        <v>27</v>
      </c>
      <c r="F552" t="s">
        <v>21</v>
      </c>
      <c r="G552" t="s">
        <v>45</v>
      </c>
      <c r="H552">
        <v>266.75</v>
      </c>
      <c r="I552">
        <v>1</v>
      </c>
      <c r="J552">
        <v>0</v>
      </c>
      <c r="K552">
        <v>266.75</v>
      </c>
      <c r="L552" t="s">
        <v>23</v>
      </c>
      <c r="M552" t="s">
        <v>24</v>
      </c>
      <c r="N552">
        <v>36</v>
      </c>
      <c r="O552">
        <v>8</v>
      </c>
      <c r="P552" t="b">
        <v>1</v>
      </c>
      <c r="Q552">
        <v>6</v>
      </c>
      <c r="R552">
        <v>5</v>
      </c>
    </row>
    <row r="553" spans="1:18">
      <c r="A553" t="s">
        <v>1149</v>
      </c>
      <c r="B553" t="s">
        <v>1150</v>
      </c>
      <c r="C553" s="1">
        <v>44978</v>
      </c>
      <c r="D553">
        <v>41</v>
      </c>
      <c r="E553" t="s">
        <v>27</v>
      </c>
      <c r="F553" t="s">
        <v>48</v>
      </c>
      <c r="G553" t="s">
        <v>45</v>
      </c>
      <c r="H553">
        <v>113.22</v>
      </c>
      <c r="I553">
        <v>1</v>
      </c>
      <c r="J553">
        <v>0</v>
      </c>
      <c r="K553">
        <v>113.22</v>
      </c>
      <c r="L553" t="s">
        <v>23</v>
      </c>
      <c r="M553" t="s">
        <v>24</v>
      </c>
      <c r="N553">
        <v>5</v>
      </c>
      <c r="O553">
        <v>8</v>
      </c>
      <c r="P553" t="b">
        <v>0</v>
      </c>
      <c r="Q553">
        <v>15</v>
      </c>
      <c r="R553">
        <v>4</v>
      </c>
    </row>
    <row r="554" spans="1:18">
      <c r="A554" t="s">
        <v>1151</v>
      </c>
      <c r="B554" t="s">
        <v>1152</v>
      </c>
      <c r="C554" s="1">
        <v>44979</v>
      </c>
      <c r="D554">
        <v>43</v>
      </c>
      <c r="E554" t="s">
        <v>27</v>
      </c>
      <c r="F554" t="s">
        <v>124</v>
      </c>
      <c r="G554" t="s">
        <v>37</v>
      </c>
      <c r="H554">
        <v>2102</v>
      </c>
      <c r="I554">
        <v>3</v>
      </c>
      <c r="J554">
        <v>576.92999999999995</v>
      </c>
      <c r="K554">
        <v>5729.07</v>
      </c>
      <c r="L554" t="s">
        <v>23</v>
      </c>
      <c r="M554" t="s">
        <v>42</v>
      </c>
      <c r="N554">
        <v>4</v>
      </c>
      <c r="O554">
        <v>12</v>
      </c>
      <c r="P554" t="b">
        <v>1</v>
      </c>
      <c r="Q554">
        <v>7</v>
      </c>
      <c r="R554">
        <v>5</v>
      </c>
    </row>
    <row r="555" spans="1:18">
      <c r="A555" t="s">
        <v>1153</v>
      </c>
      <c r="B555" t="s">
        <v>1154</v>
      </c>
      <c r="C555" s="1">
        <v>44979</v>
      </c>
      <c r="D555">
        <v>34</v>
      </c>
      <c r="E555" t="s">
        <v>27</v>
      </c>
      <c r="F555" t="s">
        <v>88</v>
      </c>
      <c r="G555" t="s">
        <v>45</v>
      </c>
      <c r="H555">
        <v>303.54000000000002</v>
      </c>
      <c r="I555">
        <v>1</v>
      </c>
      <c r="J555">
        <v>0</v>
      </c>
      <c r="K555">
        <v>303.54000000000002</v>
      </c>
      <c r="L555" t="s">
        <v>99</v>
      </c>
      <c r="M555" t="s">
        <v>24</v>
      </c>
      <c r="N555">
        <v>23</v>
      </c>
      <c r="O555">
        <v>9</v>
      </c>
      <c r="P555" t="b">
        <v>0</v>
      </c>
      <c r="Q555">
        <v>3</v>
      </c>
      <c r="R555">
        <v>2</v>
      </c>
    </row>
    <row r="556" spans="1:18">
      <c r="A556" t="s">
        <v>1155</v>
      </c>
      <c r="B556" t="s">
        <v>1156</v>
      </c>
      <c r="C556" s="1">
        <v>44979</v>
      </c>
      <c r="D556">
        <v>18</v>
      </c>
      <c r="E556" t="s">
        <v>20</v>
      </c>
      <c r="F556" t="s">
        <v>48</v>
      </c>
      <c r="G556" t="s">
        <v>40</v>
      </c>
      <c r="H556">
        <v>466.79</v>
      </c>
      <c r="I556">
        <v>2</v>
      </c>
      <c r="J556">
        <v>0</v>
      </c>
      <c r="K556">
        <v>933.58</v>
      </c>
      <c r="L556" t="s">
        <v>49</v>
      </c>
      <c r="M556" t="s">
        <v>24</v>
      </c>
      <c r="N556">
        <v>13</v>
      </c>
      <c r="O556">
        <v>10</v>
      </c>
      <c r="P556" t="b">
        <v>1</v>
      </c>
      <c r="Q556">
        <v>9</v>
      </c>
      <c r="R556">
        <v>5</v>
      </c>
    </row>
    <row r="557" spans="1:18">
      <c r="A557" t="s">
        <v>1157</v>
      </c>
      <c r="B557" t="s">
        <v>1158</v>
      </c>
      <c r="C557" s="1">
        <v>44979</v>
      </c>
      <c r="D557">
        <v>18</v>
      </c>
      <c r="E557" t="s">
        <v>27</v>
      </c>
      <c r="F557" t="s">
        <v>48</v>
      </c>
      <c r="G557" t="s">
        <v>22</v>
      </c>
      <c r="H557">
        <v>150.91</v>
      </c>
      <c r="I557">
        <v>2</v>
      </c>
      <c r="J557">
        <v>0</v>
      </c>
      <c r="K557">
        <v>301.82</v>
      </c>
      <c r="L557" t="s">
        <v>49</v>
      </c>
      <c r="M557" t="s">
        <v>24</v>
      </c>
      <c r="N557">
        <v>8</v>
      </c>
      <c r="O557">
        <v>11</v>
      </c>
      <c r="P557" t="b">
        <v>1</v>
      </c>
      <c r="Q557">
        <v>3</v>
      </c>
      <c r="R557">
        <v>4</v>
      </c>
    </row>
    <row r="558" spans="1:18">
      <c r="A558" t="s">
        <v>1159</v>
      </c>
      <c r="B558" t="s">
        <v>1160</v>
      </c>
      <c r="C558" s="1">
        <v>44979</v>
      </c>
      <c r="D558">
        <v>45</v>
      </c>
      <c r="E558" t="s">
        <v>20</v>
      </c>
      <c r="F558" t="s">
        <v>32</v>
      </c>
      <c r="G558" t="s">
        <v>33</v>
      </c>
      <c r="H558">
        <v>80.8</v>
      </c>
      <c r="I558">
        <v>1</v>
      </c>
      <c r="J558">
        <v>14.64</v>
      </c>
      <c r="K558">
        <v>66.16</v>
      </c>
      <c r="L558" t="s">
        <v>29</v>
      </c>
      <c r="M558" t="s">
        <v>24</v>
      </c>
      <c r="N558">
        <v>22</v>
      </c>
      <c r="O558">
        <v>6</v>
      </c>
      <c r="P558" t="b">
        <v>1</v>
      </c>
      <c r="Q558">
        <v>9</v>
      </c>
      <c r="R558">
        <v>4</v>
      </c>
    </row>
    <row r="559" spans="1:18">
      <c r="A559" t="s">
        <v>1161</v>
      </c>
      <c r="B559" t="s">
        <v>1162</v>
      </c>
      <c r="C559" s="1">
        <v>44979</v>
      </c>
      <c r="D559">
        <v>29</v>
      </c>
      <c r="E559" t="s">
        <v>20</v>
      </c>
      <c r="F559" t="s">
        <v>178</v>
      </c>
      <c r="G559" t="s">
        <v>70</v>
      </c>
      <c r="H559">
        <v>144.72999999999999</v>
      </c>
      <c r="I559">
        <v>5</v>
      </c>
      <c r="J559">
        <v>0</v>
      </c>
      <c r="K559">
        <v>723.65</v>
      </c>
      <c r="L559" t="s">
        <v>23</v>
      </c>
      <c r="M559" t="s">
        <v>42</v>
      </c>
      <c r="N559">
        <v>25</v>
      </c>
      <c r="O559">
        <v>8</v>
      </c>
      <c r="P559" t="b">
        <v>0</v>
      </c>
      <c r="Q559">
        <v>10</v>
      </c>
      <c r="R559">
        <v>5</v>
      </c>
    </row>
    <row r="560" spans="1:18">
      <c r="A560" t="s">
        <v>1163</v>
      </c>
      <c r="B560" t="s">
        <v>1164</v>
      </c>
      <c r="C560" s="1">
        <v>44979</v>
      </c>
      <c r="D560">
        <v>28</v>
      </c>
      <c r="E560" t="s">
        <v>27</v>
      </c>
      <c r="F560" t="s">
        <v>124</v>
      </c>
      <c r="G560" t="s">
        <v>70</v>
      </c>
      <c r="H560">
        <v>73.849999999999994</v>
      </c>
      <c r="I560">
        <v>1</v>
      </c>
      <c r="J560">
        <v>0</v>
      </c>
      <c r="K560">
        <v>73.849999999999994</v>
      </c>
      <c r="L560" t="s">
        <v>29</v>
      </c>
      <c r="M560" t="s">
        <v>42</v>
      </c>
      <c r="N560">
        <v>26</v>
      </c>
      <c r="O560">
        <v>14</v>
      </c>
      <c r="P560" t="b">
        <v>0</v>
      </c>
      <c r="Q560">
        <v>9</v>
      </c>
      <c r="R560">
        <v>3</v>
      </c>
    </row>
    <row r="561" spans="1:18">
      <c r="A561" t="s">
        <v>1165</v>
      </c>
      <c r="B561" t="s">
        <v>1166</v>
      </c>
      <c r="C561" s="1">
        <v>44979</v>
      </c>
      <c r="D561">
        <v>21</v>
      </c>
      <c r="E561" t="s">
        <v>129</v>
      </c>
      <c r="F561" t="s">
        <v>88</v>
      </c>
      <c r="G561" t="s">
        <v>33</v>
      </c>
      <c r="H561">
        <v>74.7</v>
      </c>
      <c r="I561">
        <v>2</v>
      </c>
      <c r="J561">
        <v>0</v>
      </c>
      <c r="K561">
        <v>149.4</v>
      </c>
      <c r="L561" t="s">
        <v>99</v>
      </c>
      <c r="M561" t="s">
        <v>42</v>
      </c>
      <c r="N561">
        <v>15</v>
      </c>
      <c r="O561">
        <v>8</v>
      </c>
      <c r="P561" t="b">
        <v>1</v>
      </c>
      <c r="Q561">
        <v>3</v>
      </c>
      <c r="R561">
        <v>4</v>
      </c>
    </row>
    <row r="562" spans="1:18">
      <c r="A562" t="s">
        <v>1167</v>
      </c>
      <c r="B562" t="s">
        <v>1168</v>
      </c>
      <c r="C562" s="1">
        <v>44979</v>
      </c>
      <c r="D562">
        <v>30</v>
      </c>
      <c r="E562" t="s">
        <v>20</v>
      </c>
      <c r="F562" t="s">
        <v>124</v>
      </c>
      <c r="G562" t="s">
        <v>33</v>
      </c>
      <c r="H562">
        <v>180.36</v>
      </c>
      <c r="I562">
        <v>2</v>
      </c>
      <c r="J562">
        <v>23.14</v>
      </c>
      <c r="K562">
        <v>337.58</v>
      </c>
      <c r="L562" t="s">
        <v>29</v>
      </c>
      <c r="M562" t="s">
        <v>24</v>
      </c>
      <c r="N562">
        <v>36</v>
      </c>
      <c r="O562">
        <v>12</v>
      </c>
      <c r="P562" t="b">
        <v>1</v>
      </c>
      <c r="Q562">
        <v>5</v>
      </c>
      <c r="R562">
        <v>5</v>
      </c>
    </row>
    <row r="563" spans="1:18">
      <c r="A563" t="s">
        <v>1169</v>
      </c>
      <c r="B563" t="s">
        <v>1170</v>
      </c>
      <c r="C563" s="1">
        <v>44979</v>
      </c>
      <c r="D563">
        <v>35</v>
      </c>
      <c r="E563" t="s">
        <v>27</v>
      </c>
      <c r="F563" t="s">
        <v>48</v>
      </c>
      <c r="G563" t="s">
        <v>40</v>
      </c>
      <c r="H563">
        <v>345.7</v>
      </c>
      <c r="I563">
        <v>2</v>
      </c>
      <c r="J563">
        <v>55.04</v>
      </c>
      <c r="K563">
        <v>636.36</v>
      </c>
      <c r="L563" t="s">
        <v>29</v>
      </c>
      <c r="M563" t="s">
        <v>24</v>
      </c>
      <c r="N563">
        <v>23</v>
      </c>
      <c r="O563">
        <v>6</v>
      </c>
      <c r="P563" t="b">
        <v>1</v>
      </c>
      <c r="Q563">
        <v>9</v>
      </c>
      <c r="R563">
        <v>4</v>
      </c>
    </row>
    <row r="564" spans="1:18">
      <c r="A564" t="s">
        <v>1171</v>
      </c>
      <c r="B564" t="s">
        <v>1172</v>
      </c>
      <c r="C564" s="1">
        <v>44979</v>
      </c>
      <c r="D564">
        <v>53</v>
      </c>
      <c r="E564" t="s">
        <v>27</v>
      </c>
      <c r="F564" t="s">
        <v>83</v>
      </c>
      <c r="G564" t="s">
        <v>33</v>
      </c>
      <c r="H564">
        <v>104.37</v>
      </c>
      <c r="I564">
        <v>4</v>
      </c>
      <c r="J564">
        <v>0</v>
      </c>
      <c r="K564">
        <v>417.48</v>
      </c>
      <c r="L564" t="s">
        <v>29</v>
      </c>
      <c r="M564" t="s">
        <v>42</v>
      </c>
      <c r="N564">
        <v>7</v>
      </c>
      <c r="O564">
        <v>8</v>
      </c>
      <c r="P564" t="b">
        <v>0</v>
      </c>
      <c r="Q564">
        <v>9</v>
      </c>
      <c r="R564">
        <v>5</v>
      </c>
    </row>
    <row r="565" spans="1:18">
      <c r="A565" t="s">
        <v>1173</v>
      </c>
      <c r="B565" t="s">
        <v>1174</v>
      </c>
      <c r="C565" s="1">
        <v>44979</v>
      </c>
      <c r="D565">
        <v>20</v>
      </c>
      <c r="E565" t="s">
        <v>20</v>
      </c>
      <c r="F565" t="s">
        <v>36</v>
      </c>
      <c r="G565" t="s">
        <v>54</v>
      </c>
      <c r="H565">
        <v>68.62</v>
      </c>
      <c r="I565">
        <v>1</v>
      </c>
      <c r="J565">
        <v>0</v>
      </c>
      <c r="K565">
        <v>68.62</v>
      </c>
      <c r="L565" t="s">
        <v>23</v>
      </c>
      <c r="M565" t="s">
        <v>24</v>
      </c>
      <c r="N565">
        <v>5</v>
      </c>
      <c r="O565">
        <v>12</v>
      </c>
      <c r="P565" t="b">
        <v>1</v>
      </c>
      <c r="Q565">
        <v>6</v>
      </c>
      <c r="R565">
        <v>2</v>
      </c>
    </row>
    <row r="566" spans="1:18">
      <c r="A566" t="s">
        <v>1175</v>
      </c>
      <c r="B566" t="s">
        <v>1176</v>
      </c>
      <c r="C566" s="1">
        <v>44979</v>
      </c>
      <c r="D566">
        <v>33</v>
      </c>
      <c r="E566" t="s">
        <v>27</v>
      </c>
      <c r="F566" t="s">
        <v>32</v>
      </c>
      <c r="G566" t="s">
        <v>37</v>
      </c>
      <c r="H566">
        <v>2717.55</v>
      </c>
      <c r="I566">
        <v>4</v>
      </c>
      <c r="J566">
        <v>0</v>
      </c>
      <c r="K566">
        <v>10870.2</v>
      </c>
      <c r="L566" t="s">
        <v>49</v>
      </c>
      <c r="M566" t="s">
        <v>24</v>
      </c>
      <c r="N566">
        <v>8</v>
      </c>
      <c r="O566">
        <v>7</v>
      </c>
      <c r="P566" t="b">
        <v>1</v>
      </c>
      <c r="Q566">
        <v>7</v>
      </c>
      <c r="R566">
        <v>5</v>
      </c>
    </row>
    <row r="567" spans="1:18">
      <c r="C567" s="1"/>
    </row>
    <row r="568" spans="1:18">
      <c r="C568" s="1"/>
    </row>
    <row r="569" spans="1:18">
      <c r="C569" s="1"/>
    </row>
    <row r="570" spans="1:18">
      <c r="C570" s="1"/>
    </row>
    <row r="571" spans="1:18">
      <c r="C571" s="1"/>
    </row>
    <row r="572" spans="1:18">
      <c r="C572" s="1"/>
    </row>
    <row r="573" spans="1:18">
      <c r="C573" s="1"/>
    </row>
    <row r="574" spans="1:18">
      <c r="C574" s="1"/>
    </row>
    <row r="575" spans="1:18">
      <c r="C575" s="1"/>
    </row>
    <row r="576" spans="1:18">
      <c r="C576" s="1"/>
    </row>
    <row r="577" spans="3:3">
      <c r="C577" s="1"/>
    </row>
    <row r="578" spans="3:3">
      <c r="C578" s="1"/>
    </row>
    <row r="579" spans="3:3">
      <c r="C579" s="1"/>
    </row>
    <row r="580" spans="3:3">
      <c r="C580" s="1"/>
    </row>
    <row r="581" spans="3:3">
      <c r="C581" s="1"/>
    </row>
    <row r="582" spans="3:3">
      <c r="C582" s="1"/>
    </row>
    <row r="583" spans="3:3">
      <c r="C583" s="1"/>
    </row>
    <row r="584" spans="3:3">
      <c r="C584" s="1"/>
    </row>
    <row r="585" spans="3:3">
      <c r="C585" s="1"/>
    </row>
    <row r="586" spans="3:3">
      <c r="C586" s="1"/>
    </row>
    <row r="587" spans="3:3">
      <c r="C587" s="1"/>
    </row>
    <row r="588" spans="3:3">
      <c r="C588" s="1"/>
    </row>
    <row r="589" spans="3:3">
      <c r="C589" s="1"/>
    </row>
    <row r="590" spans="3:3">
      <c r="C590" s="1"/>
    </row>
    <row r="591" spans="3:3">
      <c r="C591" s="1"/>
    </row>
    <row r="592" spans="3:3">
      <c r="C592" s="1"/>
    </row>
    <row r="593" spans="3:3">
      <c r="C593" s="1"/>
    </row>
    <row r="594" spans="3:3">
      <c r="C594" s="1"/>
    </row>
    <row r="595" spans="3:3">
      <c r="C595" s="1"/>
    </row>
    <row r="596" spans="3:3">
      <c r="C596" s="1"/>
    </row>
    <row r="597" spans="3:3">
      <c r="C597" s="1"/>
    </row>
    <row r="598" spans="3:3">
      <c r="C598" s="1"/>
    </row>
    <row r="599" spans="3:3">
      <c r="C599" s="1"/>
    </row>
    <row r="600" spans="3:3">
      <c r="C600" s="1"/>
    </row>
    <row r="601" spans="3:3">
      <c r="C601" s="1"/>
    </row>
    <row r="602" spans="3:3">
      <c r="C602" s="1"/>
    </row>
    <row r="603" spans="3:3">
      <c r="C603" s="1"/>
    </row>
    <row r="604" spans="3:3">
      <c r="C604" s="1"/>
    </row>
    <row r="605" spans="3:3">
      <c r="C605" s="1"/>
    </row>
    <row r="606" spans="3:3">
      <c r="C606" s="1"/>
    </row>
    <row r="607" spans="3:3">
      <c r="C607" s="1"/>
    </row>
    <row r="608" spans="3:3">
      <c r="C608" s="1"/>
    </row>
    <row r="609" spans="3:3">
      <c r="C609" s="1"/>
    </row>
    <row r="610" spans="3:3">
      <c r="C610" s="1"/>
    </row>
    <row r="611" spans="3:3">
      <c r="C611" s="1"/>
    </row>
    <row r="612" spans="3:3">
      <c r="C612" s="1"/>
    </row>
    <row r="613" spans="3:3">
      <c r="C613" s="1"/>
    </row>
    <row r="614" spans="3:3">
      <c r="C614" s="1"/>
    </row>
    <row r="615" spans="3:3">
      <c r="C615" s="1"/>
    </row>
    <row r="616" spans="3:3">
      <c r="C616" s="1"/>
    </row>
    <row r="617" spans="3:3">
      <c r="C617" s="1"/>
    </row>
    <row r="618" spans="3:3">
      <c r="C618" s="1"/>
    </row>
    <row r="619" spans="3:3">
      <c r="C619" s="1"/>
    </row>
    <row r="620" spans="3:3">
      <c r="C620" s="1"/>
    </row>
    <row r="621" spans="3:3">
      <c r="C621" s="1"/>
    </row>
    <row r="622" spans="3:3">
      <c r="C622" s="1"/>
    </row>
    <row r="623" spans="3:3">
      <c r="C623" s="1"/>
    </row>
    <row r="624" spans="3:3">
      <c r="C624" s="1"/>
    </row>
    <row r="625" spans="3:3">
      <c r="C625" s="1"/>
    </row>
    <row r="626" spans="3:3">
      <c r="C626" s="1"/>
    </row>
    <row r="627" spans="3:3">
      <c r="C627" s="1"/>
    </row>
    <row r="628" spans="3:3">
      <c r="C628" s="1"/>
    </row>
    <row r="629" spans="3:3">
      <c r="C629" s="1"/>
    </row>
    <row r="630" spans="3:3">
      <c r="C630" s="1"/>
    </row>
    <row r="631" spans="3:3">
      <c r="C631" s="1"/>
    </row>
    <row r="632" spans="3:3">
      <c r="C632" s="1"/>
    </row>
    <row r="633" spans="3:3">
      <c r="C633" s="1"/>
    </row>
    <row r="634" spans="3:3">
      <c r="C634" s="1"/>
    </row>
    <row r="635" spans="3:3">
      <c r="C635" s="1"/>
    </row>
    <row r="636" spans="3:3">
      <c r="C636" s="1"/>
    </row>
    <row r="637" spans="3:3">
      <c r="C637" s="1"/>
    </row>
    <row r="638" spans="3:3">
      <c r="C638" s="1"/>
    </row>
    <row r="639" spans="3:3">
      <c r="C639" s="1"/>
    </row>
    <row r="640" spans="3:3">
      <c r="C640" s="1"/>
    </row>
    <row r="641" spans="3:3">
      <c r="C641" s="1"/>
    </row>
    <row r="642" spans="3:3">
      <c r="C642" s="1"/>
    </row>
    <row r="643" spans="3:3">
      <c r="C643" s="1"/>
    </row>
    <row r="644" spans="3:3">
      <c r="C644" s="1"/>
    </row>
    <row r="645" spans="3:3">
      <c r="C645" s="1"/>
    </row>
    <row r="646" spans="3:3">
      <c r="C646" s="1"/>
    </row>
    <row r="647" spans="3:3">
      <c r="C647" s="1"/>
    </row>
    <row r="648" spans="3:3">
      <c r="C648" s="1"/>
    </row>
    <row r="649" spans="3:3">
      <c r="C649" s="1"/>
    </row>
    <row r="650" spans="3:3">
      <c r="C650" s="1"/>
    </row>
    <row r="651" spans="3:3">
      <c r="C651" s="1"/>
    </row>
    <row r="652" spans="3:3">
      <c r="C652" s="1"/>
    </row>
    <row r="653" spans="3:3">
      <c r="C653" s="1"/>
    </row>
    <row r="654" spans="3:3">
      <c r="C654" s="1"/>
    </row>
    <row r="655" spans="3:3">
      <c r="C655" s="1"/>
    </row>
    <row r="656" spans="3:3">
      <c r="C656" s="1"/>
    </row>
    <row r="657" spans="3:3">
      <c r="C657" s="1"/>
    </row>
    <row r="658" spans="3:3">
      <c r="C658" s="1"/>
    </row>
    <row r="659" spans="3:3">
      <c r="C659" s="1"/>
    </row>
    <row r="660" spans="3:3">
      <c r="C660" s="1"/>
    </row>
    <row r="661" spans="3:3">
      <c r="C661" s="1"/>
    </row>
    <row r="662" spans="3:3">
      <c r="C662" s="1"/>
    </row>
    <row r="663" spans="3:3">
      <c r="C663" s="1"/>
    </row>
    <row r="664" spans="3:3">
      <c r="C664" s="1"/>
    </row>
    <row r="665" spans="3:3">
      <c r="C665" s="1"/>
    </row>
    <row r="666" spans="3:3">
      <c r="C666" s="1"/>
    </row>
    <row r="667" spans="3:3">
      <c r="C667" s="1"/>
    </row>
    <row r="668" spans="3:3">
      <c r="C668" s="1"/>
    </row>
    <row r="669" spans="3:3">
      <c r="C669" s="1"/>
    </row>
    <row r="670" spans="3:3">
      <c r="C670" s="1"/>
    </row>
    <row r="671" spans="3:3">
      <c r="C671" s="1"/>
    </row>
    <row r="672" spans="3:3">
      <c r="C672" s="1"/>
    </row>
    <row r="673" spans="3:3">
      <c r="C673" s="1"/>
    </row>
    <row r="674" spans="3:3">
      <c r="C674" s="1"/>
    </row>
    <row r="675" spans="3:3">
      <c r="C675" s="1"/>
    </row>
    <row r="676" spans="3:3">
      <c r="C676" s="1"/>
    </row>
    <row r="677" spans="3:3">
      <c r="C677" s="1"/>
    </row>
    <row r="678" spans="3:3">
      <c r="C678" s="1"/>
    </row>
    <row r="679" spans="3:3">
      <c r="C679" s="1"/>
    </row>
    <row r="680" spans="3:3">
      <c r="C680" s="1"/>
    </row>
    <row r="681" spans="3:3">
      <c r="C681" s="1"/>
    </row>
    <row r="682" spans="3:3">
      <c r="C682" s="1"/>
    </row>
    <row r="683" spans="3:3">
      <c r="C683" s="1"/>
    </row>
    <row r="684" spans="3:3">
      <c r="C684" s="1"/>
    </row>
    <row r="685" spans="3:3">
      <c r="C685" s="1"/>
    </row>
    <row r="686" spans="3:3">
      <c r="C686" s="1"/>
    </row>
    <row r="687" spans="3:3">
      <c r="C687" s="1"/>
    </row>
    <row r="688" spans="3:3">
      <c r="C688" s="1"/>
    </row>
    <row r="689" spans="3:3">
      <c r="C689" s="1"/>
    </row>
    <row r="690" spans="3:3">
      <c r="C690" s="1"/>
    </row>
    <row r="691" spans="3:3">
      <c r="C691" s="1"/>
    </row>
    <row r="692" spans="3:3">
      <c r="C692" s="1"/>
    </row>
    <row r="693" spans="3:3">
      <c r="C693" s="1"/>
    </row>
    <row r="694" spans="3:3">
      <c r="C694" s="1"/>
    </row>
    <row r="695" spans="3:3">
      <c r="C695" s="1"/>
    </row>
    <row r="696" spans="3:3">
      <c r="C696" s="1"/>
    </row>
    <row r="697" spans="3:3">
      <c r="C697" s="1"/>
    </row>
    <row r="698" spans="3:3">
      <c r="C698" s="1"/>
    </row>
    <row r="699" spans="3:3">
      <c r="C699" s="1"/>
    </row>
    <row r="700" spans="3:3">
      <c r="C700" s="1"/>
    </row>
    <row r="701" spans="3:3">
      <c r="C701" s="1"/>
    </row>
    <row r="702" spans="3:3">
      <c r="C702" s="1"/>
    </row>
    <row r="703" spans="3:3">
      <c r="C703" s="1"/>
    </row>
    <row r="704" spans="3:3">
      <c r="C704" s="1"/>
    </row>
    <row r="705" spans="3:3">
      <c r="C705" s="1"/>
    </row>
    <row r="706" spans="3:3">
      <c r="C706" s="1"/>
    </row>
    <row r="707" spans="3:3">
      <c r="C707" s="1"/>
    </row>
    <row r="708" spans="3:3">
      <c r="C708" s="1"/>
    </row>
    <row r="709" spans="3:3">
      <c r="C709" s="1"/>
    </row>
    <row r="710" spans="3:3">
      <c r="C710" s="1"/>
    </row>
    <row r="711" spans="3:3">
      <c r="C711" s="1"/>
    </row>
    <row r="712" spans="3:3">
      <c r="C712" s="1"/>
    </row>
    <row r="713" spans="3:3">
      <c r="C713" s="1"/>
    </row>
    <row r="714" spans="3:3">
      <c r="C714" s="1"/>
    </row>
    <row r="715" spans="3:3">
      <c r="C715" s="1"/>
    </row>
    <row r="716" spans="3:3">
      <c r="C716" s="1"/>
    </row>
    <row r="717" spans="3:3">
      <c r="C717" s="1"/>
    </row>
    <row r="718" spans="3:3">
      <c r="C718" s="1"/>
    </row>
    <row r="719" spans="3:3">
      <c r="C719" s="1"/>
    </row>
    <row r="720" spans="3:3">
      <c r="C720" s="1"/>
    </row>
    <row r="721" spans="3:3">
      <c r="C721" s="1"/>
    </row>
    <row r="722" spans="3:3">
      <c r="C722" s="1"/>
    </row>
    <row r="723" spans="3:3">
      <c r="C723" s="1"/>
    </row>
    <row r="724" spans="3:3">
      <c r="C724" s="1"/>
    </row>
    <row r="725" spans="3:3">
      <c r="C725" s="1"/>
    </row>
    <row r="726" spans="3:3">
      <c r="C726" s="1"/>
    </row>
    <row r="727" spans="3:3">
      <c r="C727" s="1"/>
    </row>
    <row r="728" spans="3:3">
      <c r="C728" s="1"/>
    </row>
    <row r="729" spans="3:3">
      <c r="C729" s="1"/>
    </row>
    <row r="730" spans="3:3">
      <c r="C730" s="1"/>
    </row>
    <row r="731" spans="3:3">
      <c r="C731" s="1"/>
    </row>
    <row r="732" spans="3:3">
      <c r="C732" s="1"/>
    </row>
    <row r="733" spans="3:3">
      <c r="C733" s="1"/>
    </row>
    <row r="734" spans="3:3">
      <c r="C734" s="1"/>
    </row>
    <row r="735" spans="3:3">
      <c r="C735" s="1"/>
    </row>
    <row r="736" spans="3:3">
      <c r="C736" s="1"/>
    </row>
    <row r="737" spans="3:3">
      <c r="C737" s="1"/>
    </row>
    <row r="738" spans="3:3">
      <c r="C738" s="1"/>
    </row>
    <row r="739" spans="3:3">
      <c r="C739" s="1"/>
    </row>
    <row r="740" spans="3:3">
      <c r="C740" s="1"/>
    </row>
    <row r="741" spans="3:3">
      <c r="C741" s="1"/>
    </row>
    <row r="742" spans="3:3">
      <c r="C742" s="1"/>
    </row>
    <row r="743" spans="3:3">
      <c r="C743" s="1"/>
    </row>
    <row r="744" spans="3:3">
      <c r="C744" s="1"/>
    </row>
    <row r="745" spans="3:3">
      <c r="C745" s="1"/>
    </row>
    <row r="746" spans="3:3">
      <c r="C746" s="1"/>
    </row>
    <row r="747" spans="3:3">
      <c r="C747" s="1"/>
    </row>
    <row r="748" spans="3:3">
      <c r="C748" s="1"/>
    </row>
    <row r="749" spans="3:3">
      <c r="C749" s="1"/>
    </row>
    <row r="750" spans="3:3">
      <c r="C750" s="1"/>
    </row>
    <row r="751" spans="3:3">
      <c r="C751" s="1"/>
    </row>
    <row r="752" spans="3:3">
      <c r="C752" s="1"/>
    </row>
    <row r="753" spans="3:3">
      <c r="C753" s="1"/>
    </row>
    <row r="754" spans="3:3">
      <c r="C754" s="1"/>
    </row>
    <row r="755" spans="3:3">
      <c r="C755" s="1"/>
    </row>
    <row r="756" spans="3:3">
      <c r="C756" s="1"/>
    </row>
    <row r="757" spans="3:3">
      <c r="C757" s="1"/>
    </row>
    <row r="758" spans="3:3">
      <c r="C758" s="1"/>
    </row>
    <row r="759" spans="3:3">
      <c r="C759" s="1"/>
    </row>
    <row r="760" spans="3:3">
      <c r="C760" s="1"/>
    </row>
    <row r="761" spans="3:3">
      <c r="C761" s="1"/>
    </row>
    <row r="762" spans="3:3">
      <c r="C762" s="1"/>
    </row>
    <row r="763" spans="3:3">
      <c r="C763" s="1"/>
    </row>
    <row r="764" spans="3:3">
      <c r="C764" s="1"/>
    </row>
    <row r="765" spans="3:3">
      <c r="C765" s="1"/>
    </row>
    <row r="766" spans="3:3">
      <c r="C766" s="1"/>
    </row>
    <row r="767" spans="3:3">
      <c r="C767" s="1"/>
    </row>
    <row r="768" spans="3:3">
      <c r="C768" s="1"/>
    </row>
    <row r="769" spans="3:3">
      <c r="C769" s="1"/>
    </row>
    <row r="770" spans="3:3">
      <c r="C770" s="1"/>
    </row>
    <row r="771" spans="3:3">
      <c r="C771" s="1"/>
    </row>
    <row r="772" spans="3:3">
      <c r="C772" s="1"/>
    </row>
    <row r="773" spans="3:3">
      <c r="C773" s="1"/>
    </row>
    <row r="774" spans="3:3">
      <c r="C774" s="1"/>
    </row>
    <row r="775" spans="3:3">
      <c r="C775" s="1"/>
    </row>
    <row r="776" spans="3:3">
      <c r="C776" s="1"/>
    </row>
    <row r="777" spans="3:3">
      <c r="C777" s="1"/>
    </row>
    <row r="778" spans="3:3">
      <c r="C778" s="1"/>
    </row>
    <row r="779" spans="3:3">
      <c r="C779" s="1"/>
    </row>
    <row r="780" spans="3:3">
      <c r="C780" s="1"/>
    </row>
    <row r="781" spans="3:3">
      <c r="C781" s="1"/>
    </row>
    <row r="782" spans="3:3">
      <c r="C782" s="1"/>
    </row>
    <row r="783" spans="3:3">
      <c r="C783" s="1"/>
    </row>
    <row r="784" spans="3:3">
      <c r="C784" s="1"/>
    </row>
    <row r="785" spans="3:3">
      <c r="C785" s="1"/>
    </row>
    <row r="786" spans="3:3">
      <c r="C786" s="1"/>
    </row>
    <row r="787" spans="3:3">
      <c r="C787" s="1"/>
    </row>
    <row r="788" spans="3:3">
      <c r="C788" s="1"/>
    </row>
    <row r="789" spans="3:3">
      <c r="C789" s="1"/>
    </row>
    <row r="790" spans="3:3">
      <c r="C790" s="1"/>
    </row>
    <row r="791" spans="3:3">
      <c r="C791" s="1"/>
    </row>
    <row r="792" spans="3:3">
      <c r="C792" s="1"/>
    </row>
    <row r="793" spans="3:3">
      <c r="C793" s="1"/>
    </row>
    <row r="794" spans="3:3">
      <c r="C794" s="1"/>
    </row>
    <row r="795" spans="3:3">
      <c r="C795" s="1"/>
    </row>
    <row r="796" spans="3:3">
      <c r="C796" s="1"/>
    </row>
    <row r="797" spans="3:3">
      <c r="C797" s="1"/>
    </row>
    <row r="798" spans="3:3">
      <c r="C798" s="1"/>
    </row>
    <row r="799" spans="3:3">
      <c r="C799" s="1"/>
    </row>
    <row r="800" spans="3:3">
      <c r="C800" s="1"/>
    </row>
    <row r="801" spans="3:3">
      <c r="C801" s="1"/>
    </row>
    <row r="802" spans="3:3">
      <c r="C802" s="1"/>
    </row>
    <row r="803" spans="3:3">
      <c r="C803" s="1"/>
    </row>
    <row r="804" spans="3:3">
      <c r="C804" s="1"/>
    </row>
    <row r="805" spans="3:3">
      <c r="C805" s="1"/>
    </row>
    <row r="806" spans="3:3">
      <c r="C806" s="1"/>
    </row>
    <row r="807" spans="3:3">
      <c r="C807" s="1"/>
    </row>
    <row r="808" spans="3:3">
      <c r="C808" s="1"/>
    </row>
    <row r="809" spans="3:3">
      <c r="C809" s="1"/>
    </row>
    <row r="810" spans="3:3">
      <c r="C810" s="1"/>
    </row>
    <row r="811" spans="3:3">
      <c r="C811" s="1"/>
    </row>
    <row r="812" spans="3:3">
      <c r="C812" s="1"/>
    </row>
    <row r="813" spans="3:3">
      <c r="C813" s="1"/>
    </row>
    <row r="814" spans="3:3">
      <c r="C814" s="1"/>
    </row>
    <row r="815" spans="3:3">
      <c r="C815" s="1"/>
    </row>
    <row r="816" spans="3:3">
      <c r="C816" s="1"/>
    </row>
    <row r="817" spans="3:3">
      <c r="C817" s="1"/>
    </row>
    <row r="818" spans="3:3">
      <c r="C818" s="1"/>
    </row>
    <row r="819" spans="3:3">
      <c r="C819" s="1"/>
    </row>
    <row r="820" spans="3:3">
      <c r="C820" s="1"/>
    </row>
    <row r="821" spans="3:3">
      <c r="C821" s="1"/>
    </row>
    <row r="822" spans="3:3">
      <c r="C822" s="1"/>
    </row>
    <row r="823" spans="3:3">
      <c r="C823" s="1"/>
    </row>
    <row r="824" spans="3:3">
      <c r="C824" s="1"/>
    </row>
    <row r="825" spans="3:3">
      <c r="C825" s="1"/>
    </row>
    <row r="826" spans="3:3">
      <c r="C826" s="1"/>
    </row>
    <row r="827" spans="3:3">
      <c r="C827" s="1"/>
    </row>
    <row r="828" spans="3:3">
      <c r="C828" s="1"/>
    </row>
    <row r="829" spans="3:3">
      <c r="C829" s="1"/>
    </row>
    <row r="830" spans="3:3">
      <c r="C830" s="1"/>
    </row>
    <row r="831" spans="3:3">
      <c r="C831" s="1"/>
    </row>
    <row r="832" spans="3:3">
      <c r="C832" s="1"/>
    </row>
    <row r="833" spans="3:3">
      <c r="C833" s="1"/>
    </row>
    <row r="834" spans="3:3">
      <c r="C834" s="1"/>
    </row>
    <row r="835" spans="3:3">
      <c r="C835" s="1"/>
    </row>
    <row r="836" spans="3:3">
      <c r="C836" s="1"/>
    </row>
    <row r="837" spans="3:3">
      <c r="C837" s="1"/>
    </row>
    <row r="838" spans="3:3">
      <c r="C838" s="1"/>
    </row>
    <row r="839" spans="3:3">
      <c r="C839" s="1"/>
    </row>
    <row r="840" spans="3:3">
      <c r="C840" s="1"/>
    </row>
    <row r="841" spans="3:3">
      <c r="C841" s="1"/>
    </row>
    <row r="842" spans="3:3">
      <c r="C842" s="1"/>
    </row>
    <row r="843" spans="3:3">
      <c r="C843" s="1"/>
    </row>
    <row r="844" spans="3:3">
      <c r="C844" s="1"/>
    </row>
    <row r="845" spans="3:3">
      <c r="C845" s="1"/>
    </row>
    <row r="846" spans="3:3">
      <c r="C846" s="1"/>
    </row>
    <row r="847" spans="3:3">
      <c r="C847" s="1"/>
    </row>
    <row r="848" spans="3:3">
      <c r="C848" s="1"/>
    </row>
    <row r="849" spans="3:3">
      <c r="C849" s="1"/>
    </row>
    <row r="850" spans="3:3">
      <c r="C850" s="1"/>
    </row>
    <row r="851" spans="3:3">
      <c r="C851" s="1"/>
    </row>
    <row r="852" spans="3:3">
      <c r="C852" s="1"/>
    </row>
    <row r="853" spans="3:3">
      <c r="C853" s="1"/>
    </row>
    <row r="854" spans="3:3">
      <c r="C854" s="1"/>
    </row>
    <row r="855" spans="3:3">
      <c r="C855" s="1"/>
    </row>
    <row r="856" spans="3:3">
      <c r="C856" s="1"/>
    </row>
    <row r="857" spans="3:3">
      <c r="C857" s="1"/>
    </row>
    <row r="858" spans="3:3">
      <c r="C858" s="1"/>
    </row>
    <row r="859" spans="3:3">
      <c r="C859" s="1"/>
    </row>
    <row r="860" spans="3:3">
      <c r="C860" s="1"/>
    </row>
    <row r="861" spans="3:3">
      <c r="C861" s="1"/>
    </row>
    <row r="862" spans="3:3">
      <c r="C862" s="1"/>
    </row>
    <row r="863" spans="3:3">
      <c r="C863" s="1"/>
    </row>
    <row r="864" spans="3:3">
      <c r="C864" s="1"/>
    </row>
    <row r="865" spans="3:3">
      <c r="C865" s="1"/>
    </row>
    <row r="866" spans="3:3">
      <c r="C866" s="1"/>
    </row>
    <row r="867" spans="3:3">
      <c r="C867" s="1"/>
    </row>
    <row r="868" spans="3:3">
      <c r="C868" s="1"/>
    </row>
    <row r="869" spans="3:3">
      <c r="C869" s="1"/>
    </row>
    <row r="870" spans="3:3">
      <c r="C870" s="1"/>
    </row>
    <row r="871" spans="3:3">
      <c r="C871" s="1"/>
    </row>
    <row r="872" spans="3:3">
      <c r="C872" s="1"/>
    </row>
    <row r="873" spans="3:3">
      <c r="C873" s="1"/>
    </row>
    <row r="874" spans="3:3">
      <c r="C874" s="1"/>
    </row>
    <row r="875" spans="3:3">
      <c r="C875" s="1"/>
    </row>
    <row r="876" spans="3:3">
      <c r="C876" s="1"/>
    </row>
    <row r="877" spans="3:3">
      <c r="C877" s="1"/>
    </row>
    <row r="878" spans="3:3">
      <c r="C878" s="1"/>
    </row>
    <row r="879" spans="3:3">
      <c r="C879" s="1"/>
    </row>
    <row r="880" spans="3:3">
      <c r="C880" s="1"/>
    </row>
    <row r="881" spans="3:3">
      <c r="C881" s="1"/>
    </row>
    <row r="882" spans="3:3">
      <c r="C882" s="1"/>
    </row>
    <row r="883" spans="3:3">
      <c r="C883" s="1"/>
    </row>
    <row r="884" spans="3:3">
      <c r="C884" s="1"/>
    </row>
    <row r="885" spans="3:3">
      <c r="C885" s="1"/>
    </row>
    <row r="886" spans="3:3">
      <c r="C886" s="1"/>
    </row>
    <row r="887" spans="3:3">
      <c r="C887" s="1"/>
    </row>
    <row r="888" spans="3:3">
      <c r="C888" s="1"/>
    </row>
    <row r="889" spans="3:3">
      <c r="C889" s="1"/>
    </row>
    <row r="890" spans="3:3">
      <c r="C890" s="1"/>
    </row>
    <row r="891" spans="3:3">
      <c r="C891" s="1"/>
    </row>
    <row r="892" spans="3:3">
      <c r="C892" s="1"/>
    </row>
    <row r="893" spans="3:3">
      <c r="C893" s="1"/>
    </row>
    <row r="894" spans="3:3">
      <c r="C894" s="1"/>
    </row>
    <row r="895" spans="3:3">
      <c r="C895" s="1"/>
    </row>
    <row r="896" spans="3:3">
      <c r="C896" s="1"/>
    </row>
    <row r="897" spans="3:3">
      <c r="C897" s="1"/>
    </row>
    <row r="898" spans="3:3">
      <c r="C898" s="1"/>
    </row>
    <row r="899" spans="3:3">
      <c r="C899" s="1"/>
    </row>
    <row r="900" spans="3:3">
      <c r="C900" s="1"/>
    </row>
    <row r="901" spans="3:3">
      <c r="C901" s="1"/>
    </row>
    <row r="902" spans="3:3">
      <c r="C902" s="1"/>
    </row>
    <row r="903" spans="3:3">
      <c r="C903" s="1"/>
    </row>
    <row r="904" spans="3:3">
      <c r="C904" s="1"/>
    </row>
    <row r="905" spans="3:3">
      <c r="C905" s="1"/>
    </row>
    <row r="906" spans="3:3">
      <c r="C906" s="1"/>
    </row>
    <row r="907" spans="3:3">
      <c r="C907" s="1"/>
    </row>
    <row r="908" spans="3:3">
      <c r="C908" s="1"/>
    </row>
    <row r="909" spans="3:3">
      <c r="C909" s="1"/>
    </row>
    <row r="910" spans="3:3">
      <c r="C910" s="1"/>
    </row>
    <row r="911" spans="3:3">
      <c r="C911" s="1"/>
    </row>
    <row r="912" spans="3:3">
      <c r="C912" s="1"/>
    </row>
    <row r="913" spans="3:3">
      <c r="C913" s="1"/>
    </row>
    <row r="914" spans="3:3">
      <c r="C914" s="1"/>
    </row>
    <row r="915" spans="3:3">
      <c r="C915" s="1"/>
    </row>
    <row r="916" spans="3:3">
      <c r="C916" s="1"/>
    </row>
    <row r="917" spans="3:3">
      <c r="C917" s="1"/>
    </row>
    <row r="918" spans="3:3">
      <c r="C918" s="1"/>
    </row>
    <row r="919" spans="3:3">
      <c r="C919" s="1"/>
    </row>
    <row r="920" spans="3:3">
      <c r="C920" s="1"/>
    </row>
    <row r="921" spans="3:3">
      <c r="C921" s="1"/>
    </row>
    <row r="922" spans="3:3">
      <c r="C922" s="1"/>
    </row>
    <row r="923" spans="3:3">
      <c r="C923" s="1"/>
    </row>
    <row r="924" spans="3:3">
      <c r="C924" s="1"/>
    </row>
    <row r="925" spans="3:3">
      <c r="C925" s="1"/>
    </row>
    <row r="926" spans="3:3">
      <c r="C926" s="1"/>
    </row>
    <row r="927" spans="3:3">
      <c r="C927" s="1"/>
    </row>
    <row r="928" spans="3:3">
      <c r="C928" s="1"/>
    </row>
    <row r="929" spans="3:3">
      <c r="C929" s="1"/>
    </row>
    <row r="930" spans="3:3">
      <c r="C930" s="1"/>
    </row>
    <row r="931" spans="3:3">
      <c r="C931" s="1"/>
    </row>
    <row r="932" spans="3:3">
      <c r="C932" s="1"/>
    </row>
    <row r="933" spans="3:3">
      <c r="C933" s="1"/>
    </row>
    <row r="934" spans="3:3">
      <c r="C934" s="1"/>
    </row>
    <row r="935" spans="3:3">
      <c r="C935" s="1"/>
    </row>
    <row r="936" spans="3:3">
      <c r="C936" s="1"/>
    </row>
    <row r="937" spans="3:3">
      <c r="C937" s="1"/>
    </row>
    <row r="938" spans="3:3">
      <c r="C938" s="1"/>
    </row>
    <row r="939" spans="3:3">
      <c r="C939" s="1"/>
    </row>
    <row r="940" spans="3:3">
      <c r="C940" s="1"/>
    </row>
    <row r="941" spans="3:3">
      <c r="C941" s="1"/>
    </row>
    <row r="942" spans="3:3">
      <c r="C942" s="1"/>
    </row>
    <row r="943" spans="3:3">
      <c r="C943" s="1"/>
    </row>
    <row r="944" spans="3:3">
      <c r="C944" s="1"/>
    </row>
    <row r="945" spans="3:3">
      <c r="C945" s="1"/>
    </row>
    <row r="946" spans="3:3">
      <c r="C946" s="1"/>
    </row>
    <row r="947" spans="3:3">
      <c r="C947" s="1"/>
    </row>
    <row r="948" spans="3:3">
      <c r="C948" s="1"/>
    </row>
    <row r="949" spans="3:3">
      <c r="C949" s="1"/>
    </row>
    <row r="950" spans="3:3">
      <c r="C950" s="1"/>
    </row>
    <row r="951" spans="3:3">
      <c r="C951" s="1"/>
    </row>
    <row r="952" spans="3:3">
      <c r="C952" s="1"/>
    </row>
    <row r="953" spans="3:3">
      <c r="C953" s="1"/>
    </row>
    <row r="954" spans="3:3">
      <c r="C954" s="1"/>
    </row>
    <row r="955" spans="3:3">
      <c r="C955" s="1"/>
    </row>
    <row r="956" spans="3:3">
      <c r="C956" s="1"/>
    </row>
    <row r="957" spans="3:3">
      <c r="C957" s="1"/>
    </row>
    <row r="958" spans="3:3">
      <c r="C958" s="1"/>
    </row>
    <row r="959" spans="3:3">
      <c r="C959" s="1"/>
    </row>
    <row r="960" spans="3:3">
      <c r="C960" s="1"/>
    </row>
    <row r="961" spans="3:3">
      <c r="C961" s="1"/>
    </row>
    <row r="962" spans="3:3">
      <c r="C962" s="1"/>
    </row>
    <row r="963" spans="3:3">
      <c r="C963" s="1"/>
    </row>
    <row r="964" spans="3:3">
      <c r="C964" s="1"/>
    </row>
    <row r="965" spans="3:3">
      <c r="C965" s="1"/>
    </row>
    <row r="966" spans="3:3">
      <c r="C966" s="1"/>
    </row>
    <row r="967" spans="3:3">
      <c r="C967" s="1"/>
    </row>
    <row r="968" spans="3:3">
      <c r="C968" s="1"/>
    </row>
    <row r="969" spans="3:3">
      <c r="C969" s="1"/>
    </row>
    <row r="970" spans="3:3">
      <c r="C970" s="1"/>
    </row>
    <row r="971" spans="3:3">
      <c r="C971" s="1"/>
    </row>
    <row r="972" spans="3:3">
      <c r="C972" s="1"/>
    </row>
    <row r="973" spans="3:3">
      <c r="C973" s="1"/>
    </row>
    <row r="974" spans="3:3">
      <c r="C974" s="1"/>
    </row>
    <row r="975" spans="3:3">
      <c r="C975" s="1"/>
    </row>
    <row r="976" spans="3:3">
      <c r="C976" s="1"/>
    </row>
    <row r="977" spans="3:3">
      <c r="C977" s="1"/>
    </row>
    <row r="978" spans="3:3">
      <c r="C978" s="1"/>
    </row>
    <row r="979" spans="3:3">
      <c r="C979" s="1"/>
    </row>
    <row r="980" spans="3:3">
      <c r="C980" s="1"/>
    </row>
    <row r="981" spans="3:3">
      <c r="C981" s="1"/>
    </row>
    <row r="982" spans="3:3">
      <c r="C982" s="1"/>
    </row>
    <row r="983" spans="3:3">
      <c r="C983" s="1"/>
    </row>
    <row r="984" spans="3:3">
      <c r="C984" s="1"/>
    </row>
    <row r="985" spans="3:3">
      <c r="C985" s="1"/>
    </row>
    <row r="986" spans="3:3">
      <c r="C986" s="1"/>
    </row>
    <row r="987" spans="3:3">
      <c r="C987" s="1"/>
    </row>
    <row r="988" spans="3:3">
      <c r="C988" s="1"/>
    </row>
    <row r="989" spans="3:3">
      <c r="C989" s="1"/>
    </row>
    <row r="990" spans="3:3">
      <c r="C990" s="1"/>
    </row>
    <row r="991" spans="3:3">
      <c r="C991" s="1"/>
    </row>
    <row r="992" spans="3:3">
      <c r="C992" s="1"/>
    </row>
    <row r="993" spans="3:3">
      <c r="C993" s="1"/>
    </row>
    <row r="994" spans="3:3">
      <c r="C994" s="1"/>
    </row>
    <row r="995" spans="3:3">
      <c r="C995" s="1"/>
    </row>
    <row r="996" spans="3:3">
      <c r="C996" s="1"/>
    </row>
    <row r="997" spans="3:3">
      <c r="C997" s="1"/>
    </row>
    <row r="998" spans="3:3">
      <c r="C998" s="1"/>
    </row>
    <row r="999" spans="3:3">
      <c r="C999" s="1"/>
    </row>
    <row r="1000" spans="3:3">
      <c r="C1000" s="1"/>
    </row>
    <row r="1001" spans="3:3">
      <c r="C1001" s="1"/>
    </row>
    <row r="1002" spans="3:3">
      <c r="C1002" s="1"/>
    </row>
    <row r="1003" spans="3:3">
      <c r="C1003" s="1"/>
    </row>
    <row r="1004" spans="3:3">
      <c r="C1004" s="1"/>
    </row>
    <row r="1005" spans="3:3">
      <c r="C1005" s="1"/>
    </row>
    <row r="1006" spans="3:3">
      <c r="C1006" s="1"/>
    </row>
    <row r="1007" spans="3:3">
      <c r="C1007" s="1"/>
    </row>
    <row r="1008" spans="3:3">
      <c r="C1008" s="1"/>
    </row>
    <row r="1009" spans="3:3">
      <c r="C1009" s="1"/>
    </row>
    <row r="1010" spans="3:3">
      <c r="C1010" s="1"/>
    </row>
    <row r="1011" spans="3:3">
      <c r="C1011" s="1"/>
    </row>
    <row r="1012" spans="3:3">
      <c r="C1012" s="1"/>
    </row>
    <row r="1013" spans="3:3">
      <c r="C1013" s="1"/>
    </row>
    <row r="1014" spans="3:3">
      <c r="C1014" s="1"/>
    </row>
    <row r="1015" spans="3:3">
      <c r="C1015" s="1"/>
    </row>
    <row r="1016" spans="3:3">
      <c r="C1016" s="1"/>
    </row>
    <row r="1017" spans="3:3">
      <c r="C1017" s="1"/>
    </row>
    <row r="1018" spans="3:3">
      <c r="C1018" s="1"/>
    </row>
    <row r="1019" spans="3:3">
      <c r="C1019" s="1"/>
    </row>
    <row r="1020" spans="3:3">
      <c r="C1020" s="1"/>
    </row>
    <row r="1021" spans="3:3">
      <c r="C1021" s="1"/>
    </row>
    <row r="1022" spans="3:3">
      <c r="C1022" s="1"/>
    </row>
    <row r="1023" spans="3:3">
      <c r="C1023" s="1"/>
    </row>
    <row r="1024" spans="3:3">
      <c r="C1024" s="1"/>
    </row>
    <row r="1025" spans="3:3">
      <c r="C1025" s="1"/>
    </row>
    <row r="1026" spans="3:3">
      <c r="C1026" s="1"/>
    </row>
    <row r="1027" spans="3:3">
      <c r="C1027" s="1"/>
    </row>
    <row r="1028" spans="3:3">
      <c r="C1028" s="1"/>
    </row>
    <row r="1029" spans="3:3">
      <c r="C1029" s="1"/>
    </row>
    <row r="1030" spans="3:3">
      <c r="C1030" s="1"/>
    </row>
    <row r="1031" spans="3:3">
      <c r="C1031" s="1"/>
    </row>
    <row r="1032" spans="3:3">
      <c r="C1032" s="1"/>
    </row>
    <row r="1033" spans="3:3">
      <c r="C1033" s="1"/>
    </row>
    <row r="1034" spans="3:3">
      <c r="C1034" s="1"/>
    </row>
    <row r="1035" spans="3:3">
      <c r="C1035" s="1"/>
    </row>
    <row r="1036" spans="3:3">
      <c r="C1036" s="1"/>
    </row>
    <row r="1037" spans="3:3">
      <c r="C1037" s="1"/>
    </row>
    <row r="1038" spans="3:3">
      <c r="C1038" s="1"/>
    </row>
    <row r="1039" spans="3:3">
      <c r="C1039" s="1"/>
    </row>
    <row r="1040" spans="3:3">
      <c r="C1040" s="1"/>
    </row>
    <row r="1041" spans="3:3">
      <c r="C1041" s="1"/>
    </row>
    <row r="1042" spans="3:3">
      <c r="C1042" s="1"/>
    </row>
    <row r="1043" spans="3:3">
      <c r="C1043" s="1"/>
    </row>
    <row r="1044" spans="3:3">
      <c r="C1044" s="1"/>
    </row>
    <row r="1045" spans="3:3">
      <c r="C1045" s="1"/>
    </row>
    <row r="1046" spans="3:3">
      <c r="C1046" s="1"/>
    </row>
    <row r="1047" spans="3:3">
      <c r="C1047" s="1"/>
    </row>
    <row r="1048" spans="3:3">
      <c r="C1048" s="1"/>
    </row>
    <row r="1049" spans="3:3">
      <c r="C1049" s="1"/>
    </row>
    <row r="1050" spans="3:3">
      <c r="C1050" s="1"/>
    </row>
    <row r="1051" spans="3:3">
      <c r="C1051" s="1"/>
    </row>
    <row r="1052" spans="3:3">
      <c r="C1052" s="1"/>
    </row>
    <row r="1053" spans="3:3">
      <c r="C1053" s="1"/>
    </row>
    <row r="1054" spans="3:3">
      <c r="C1054" s="1"/>
    </row>
    <row r="1055" spans="3:3">
      <c r="C1055" s="1"/>
    </row>
    <row r="1056" spans="3:3">
      <c r="C1056" s="1"/>
    </row>
    <row r="1057" spans="3:3">
      <c r="C1057" s="1"/>
    </row>
    <row r="1058" spans="3:3">
      <c r="C1058" s="1"/>
    </row>
    <row r="1059" spans="3:3">
      <c r="C1059" s="1"/>
    </row>
    <row r="1060" spans="3:3">
      <c r="C1060" s="1"/>
    </row>
    <row r="1061" spans="3:3">
      <c r="C1061" s="1"/>
    </row>
    <row r="1062" spans="3:3">
      <c r="C1062" s="1"/>
    </row>
    <row r="1063" spans="3:3">
      <c r="C1063" s="1"/>
    </row>
    <row r="1064" spans="3:3">
      <c r="C1064" s="1"/>
    </row>
    <row r="1065" spans="3:3">
      <c r="C1065" s="1"/>
    </row>
    <row r="1066" spans="3:3">
      <c r="C1066" s="1"/>
    </row>
    <row r="1067" spans="3:3">
      <c r="C1067" s="1"/>
    </row>
    <row r="1068" spans="3:3">
      <c r="C1068" s="1"/>
    </row>
    <row r="1069" spans="3:3">
      <c r="C1069" s="1"/>
    </row>
    <row r="1070" spans="3:3">
      <c r="C1070" s="1"/>
    </row>
    <row r="1071" spans="3:3">
      <c r="C1071" s="1"/>
    </row>
    <row r="1072" spans="3:3">
      <c r="C1072" s="1"/>
    </row>
    <row r="1073" spans="3:3">
      <c r="C1073" s="1"/>
    </row>
    <row r="1074" spans="3:3">
      <c r="C1074" s="1"/>
    </row>
    <row r="1075" spans="3:3">
      <c r="C1075" s="1"/>
    </row>
    <row r="1076" spans="3:3">
      <c r="C1076" s="1"/>
    </row>
    <row r="1077" spans="3:3">
      <c r="C1077" s="1"/>
    </row>
    <row r="1078" spans="3:3">
      <c r="C1078" s="1"/>
    </row>
    <row r="1079" spans="3:3">
      <c r="C1079" s="1"/>
    </row>
    <row r="1080" spans="3:3">
      <c r="C1080" s="1"/>
    </row>
    <row r="1081" spans="3:3">
      <c r="C1081" s="1"/>
    </row>
    <row r="1082" spans="3:3">
      <c r="C1082" s="1"/>
    </row>
    <row r="1083" spans="3:3">
      <c r="C1083" s="1"/>
    </row>
    <row r="1084" spans="3:3">
      <c r="C1084" s="1"/>
    </row>
    <row r="1085" spans="3:3">
      <c r="C1085" s="1"/>
    </row>
    <row r="1086" spans="3:3">
      <c r="C1086" s="1"/>
    </row>
    <row r="1087" spans="3:3">
      <c r="C1087" s="1"/>
    </row>
    <row r="1088" spans="3:3">
      <c r="C1088" s="1"/>
    </row>
    <row r="1089" spans="3:3">
      <c r="C1089" s="1"/>
    </row>
    <row r="1090" spans="3:3">
      <c r="C1090" s="1"/>
    </row>
    <row r="1091" spans="3:3">
      <c r="C1091" s="1"/>
    </row>
    <row r="1092" spans="3:3">
      <c r="C1092" s="1"/>
    </row>
    <row r="1093" spans="3:3">
      <c r="C1093" s="1"/>
    </row>
    <row r="1094" spans="3:3">
      <c r="C1094" s="1"/>
    </row>
    <row r="1095" spans="3:3">
      <c r="C1095" s="1"/>
    </row>
    <row r="1096" spans="3:3">
      <c r="C1096" s="1"/>
    </row>
    <row r="1097" spans="3:3">
      <c r="C1097" s="1"/>
    </row>
    <row r="1098" spans="3:3">
      <c r="C1098" s="1"/>
    </row>
    <row r="1099" spans="3:3">
      <c r="C1099" s="1"/>
    </row>
    <row r="1100" spans="3:3">
      <c r="C1100" s="1"/>
    </row>
    <row r="1101" spans="3:3">
      <c r="C1101" s="1"/>
    </row>
    <row r="1102" spans="3:3">
      <c r="C1102" s="1"/>
    </row>
    <row r="1103" spans="3:3">
      <c r="C1103" s="1"/>
    </row>
    <row r="1104" spans="3:3">
      <c r="C1104" s="1"/>
    </row>
    <row r="1105" spans="3:3">
      <c r="C1105" s="1"/>
    </row>
    <row r="1106" spans="3:3">
      <c r="C1106" s="1"/>
    </row>
    <row r="1107" spans="3:3">
      <c r="C1107" s="1"/>
    </row>
    <row r="1108" spans="3:3">
      <c r="C1108" s="1"/>
    </row>
    <row r="1109" spans="3:3">
      <c r="C1109" s="1"/>
    </row>
    <row r="1110" spans="3:3">
      <c r="C1110" s="1"/>
    </row>
    <row r="1111" spans="3:3">
      <c r="C1111" s="1"/>
    </row>
    <row r="1112" spans="3:3">
      <c r="C1112" s="1"/>
    </row>
    <row r="1113" spans="3:3">
      <c r="C1113" s="1"/>
    </row>
    <row r="1114" spans="3:3">
      <c r="C1114" s="1"/>
    </row>
    <row r="1115" spans="3:3">
      <c r="C1115" s="1"/>
    </row>
    <row r="1116" spans="3:3">
      <c r="C1116" s="1"/>
    </row>
    <row r="1117" spans="3:3">
      <c r="C1117" s="1"/>
    </row>
    <row r="1118" spans="3:3">
      <c r="C1118" s="1"/>
    </row>
    <row r="1119" spans="3:3">
      <c r="C1119" s="1"/>
    </row>
    <row r="1120" spans="3:3">
      <c r="C1120" s="1"/>
    </row>
    <row r="1121" spans="3:3">
      <c r="C1121" s="1"/>
    </row>
    <row r="1122" spans="3:3">
      <c r="C1122" s="1"/>
    </row>
    <row r="1123" spans="3:3">
      <c r="C1123" s="1"/>
    </row>
    <row r="1124" spans="3:3">
      <c r="C1124" s="1"/>
    </row>
    <row r="1125" spans="3:3">
      <c r="C1125" s="1"/>
    </row>
    <row r="1126" spans="3:3">
      <c r="C1126" s="1"/>
    </row>
    <row r="1127" spans="3:3">
      <c r="C1127" s="1"/>
    </row>
    <row r="1128" spans="3:3">
      <c r="C1128" s="1"/>
    </row>
    <row r="1129" spans="3:3">
      <c r="C1129" s="1"/>
    </row>
    <row r="1130" spans="3:3">
      <c r="C1130" s="1"/>
    </row>
    <row r="1131" spans="3:3">
      <c r="C1131" s="1"/>
    </row>
    <row r="1132" spans="3:3">
      <c r="C1132" s="1"/>
    </row>
    <row r="1133" spans="3:3">
      <c r="C1133" s="1"/>
    </row>
    <row r="1134" spans="3:3">
      <c r="C1134" s="1"/>
    </row>
    <row r="1135" spans="3:3">
      <c r="C1135" s="1"/>
    </row>
    <row r="1136" spans="3:3">
      <c r="C1136" s="1"/>
    </row>
    <row r="1137" spans="3:3">
      <c r="C1137" s="1"/>
    </row>
    <row r="1138" spans="3:3">
      <c r="C1138" s="1"/>
    </row>
    <row r="1139" spans="3:3">
      <c r="C1139" s="1"/>
    </row>
    <row r="1140" spans="3:3">
      <c r="C1140" s="1"/>
    </row>
    <row r="1141" spans="3:3">
      <c r="C1141" s="1"/>
    </row>
    <row r="1142" spans="3:3">
      <c r="C1142" s="1"/>
    </row>
    <row r="1143" spans="3:3">
      <c r="C1143" s="1"/>
    </row>
    <row r="1144" spans="3:3">
      <c r="C1144" s="1"/>
    </row>
    <row r="1145" spans="3:3">
      <c r="C1145" s="1"/>
    </row>
    <row r="1146" spans="3:3">
      <c r="C1146" s="1"/>
    </row>
    <row r="1147" spans="3:3">
      <c r="C1147" s="1"/>
    </row>
    <row r="1148" spans="3:3">
      <c r="C1148" s="1"/>
    </row>
    <row r="1149" spans="3:3">
      <c r="C1149" s="1"/>
    </row>
    <row r="1150" spans="3:3">
      <c r="C1150" s="1"/>
    </row>
    <row r="1151" spans="3:3">
      <c r="C1151" s="1"/>
    </row>
    <row r="1152" spans="3:3">
      <c r="C1152" s="1"/>
    </row>
    <row r="1153" spans="3:3">
      <c r="C1153" s="1"/>
    </row>
    <row r="1154" spans="3:3">
      <c r="C1154" s="1"/>
    </row>
    <row r="1155" spans="3:3">
      <c r="C1155" s="1"/>
    </row>
    <row r="1156" spans="3:3">
      <c r="C1156" s="1"/>
    </row>
    <row r="1157" spans="3:3">
      <c r="C1157" s="1"/>
    </row>
    <row r="1158" spans="3:3">
      <c r="C1158" s="1"/>
    </row>
    <row r="1159" spans="3:3">
      <c r="C1159" s="1"/>
    </row>
    <row r="1160" spans="3:3">
      <c r="C1160" s="1"/>
    </row>
    <row r="1161" spans="3:3">
      <c r="C1161" s="1"/>
    </row>
    <row r="1162" spans="3:3">
      <c r="C1162" s="1"/>
    </row>
    <row r="1163" spans="3:3">
      <c r="C1163" s="1"/>
    </row>
    <row r="1164" spans="3:3">
      <c r="C1164" s="1"/>
    </row>
    <row r="1165" spans="3:3">
      <c r="C1165" s="1"/>
    </row>
    <row r="1166" spans="3:3">
      <c r="C1166" s="1"/>
    </row>
    <row r="1167" spans="3:3">
      <c r="C1167" s="1"/>
    </row>
    <row r="1168" spans="3:3">
      <c r="C1168" s="1"/>
    </row>
    <row r="1169" spans="3:3">
      <c r="C1169" s="1"/>
    </row>
    <row r="1170" spans="3:3">
      <c r="C1170" s="1"/>
    </row>
    <row r="1171" spans="3:3">
      <c r="C1171" s="1"/>
    </row>
    <row r="1172" spans="3:3">
      <c r="C1172" s="1"/>
    </row>
    <row r="1173" spans="3:3">
      <c r="C1173" s="1"/>
    </row>
    <row r="1174" spans="3:3">
      <c r="C1174" s="1"/>
    </row>
    <row r="1175" spans="3:3">
      <c r="C1175" s="1"/>
    </row>
    <row r="1176" spans="3:3">
      <c r="C1176" s="1"/>
    </row>
    <row r="1177" spans="3:3">
      <c r="C1177" s="1"/>
    </row>
    <row r="1178" spans="3:3">
      <c r="C1178" s="1"/>
    </row>
    <row r="1179" spans="3:3">
      <c r="C1179" s="1"/>
    </row>
    <row r="1180" spans="3:3">
      <c r="C1180" s="1"/>
    </row>
    <row r="1181" spans="3:3">
      <c r="C1181" s="1"/>
    </row>
    <row r="1182" spans="3:3">
      <c r="C1182" s="1"/>
    </row>
    <row r="1183" spans="3:3">
      <c r="C1183" s="1"/>
    </row>
    <row r="1184" spans="3:3">
      <c r="C1184" s="1"/>
    </row>
    <row r="1185" spans="3:3">
      <c r="C1185" s="1"/>
    </row>
    <row r="1186" spans="3:3">
      <c r="C1186" s="1"/>
    </row>
    <row r="1187" spans="3:3">
      <c r="C1187" s="1"/>
    </row>
    <row r="1188" spans="3:3">
      <c r="C1188" s="1"/>
    </row>
    <row r="1189" spans="3:3">
      <c r="C1189" s="1"/>
    </row>
    <row r="1190" spans="3:3">
      <c r="C1190" s="1"/>
    </row>
    <row r="1191" spans="3:3">
      <c r="C1191" s="1"/>
    </row>
    <row r="1192" spans="3:3">
      <c r="C1192" s="1"/>
    </row>
    <row r="1193" spans="3:3">
      <c r="C1193" s="1"/>
    </row>
    <row r="1194" spans="3:3">
      <c r="C1194" s="1"/>
    </row>
    <row r="1195" spans="3:3">
      <c r="C1195" s="1"/>
    </row>
    <row r="1196" spans="3:3">
      <c r="C1196" s="1"/>
    </row>
    <row r="1197" spans="3:3">
      <c r="C1197" s="1"/>
    </row>
    <row r="1198" spans="3:3">
      <c r="C1198" s="1"/>
    </row>
    <row r="1199" spans="3:3">
      <c r="C1199" s="1"/>
    </row>
    <row r="1200" spans="3:3">
      <c r="C1200" s="1"/>
    </row>
    <row r="1201" spans="3:3">
      <c r="C1201" s="1"/>
    </row>
    <row r="1202" spans="3:3">
      <c r="C1202" s="1"/>
    </row>
    <row r="1203" spans="3:3">
      <c r="C1203" s="1"/>
    </row>
    <row r="1204" spans="3:3">
      <c r="C1204" s="1"/>
    </row>
    <row r="1205" spans="3:3">
      <c r="C1205" s="1"/>
    </row>
    <row r="1206" spans="3:3">
      <c r="C1206" s="1"/>
    </row>
    <row r="1207" spans="3:3">
      <c r="C1207" s="1"/>
    </row>
    <row r="1208" spans="3:3">
      <c r="C1208" s="1"/>
    </row>
    <row r="1209" spans="3:3">
      <c r="C1209" s="1"/>
    </row>
    <row r="1210" spans="3:3">
      <c r="C1210" s="1"/>
    </row>
    <row r="1211" spans="3:3">
      <c r="C1211" s="1"/>
    </row>
    <row r="1212" spans="3:3">
      <c r="C1212" s="1"/>
    </row>
    <row r="1213" spans="3:3">
      <c r="C1213" s="1"/>
    </row>
    <row r="1214" spans="3:3">
      <c r="C1214" s="1"/>
    </row>
    <row r="1215" spans="3:3">
      <c r="C1215" s="1"/>
    </row>
    <row r="1216" spans="3:3">
      <c r="C1216" s="1"/>
    </row>
    <row r="1217" spans="3:3">
      <c r="C1217" s="1"/>
    </row>
    <row r="1218" spans="3:3">
      <c r="C1218" s="1"/>
    </row>
    <row r="1219" spans="3:3">
      <c r="C1219" s="1"/>
    </row>
    <row r="1220" spans="3:3">
      <c r="C1220" s="1"/>
    </row>
    <row r="1221" spans="3:3">
      <c r="C1221" s="1"/>
    </row>
    <row r="1222" spans="3:3">
      <c r="C1222" s="1"/>
    </row>
    <row r="1223" spans="3:3">
      <c r="C1223" s="1"/>
    </row>
    <row r="1224" spans="3:3">
      <c r="C1224" s="1"/>
    </row>
    <row r="1225" spans="3:3">
      <c r="C1225" s="1"/>
    </row>
    <row r="1226" spans="3:3">
      <c r="C1226" s="1"/>
    </row>
    <row r="1227" spans="3:3">
      <c r="C1227" s="1"/>
    </row>
    <row r="1228" spans="3:3">
      <c r="C1228" s="1"/>
    </row>
    <row r="1229" spans="3:3">
      <c r="C1229" s="1"/>
    </row>
    <row r="1230" spans="3:3">
      <c r="C1230" s="1"/>
    </row>
    <row r="1231" spans="3:3">
      <c r="C1231" s="1"/>
    </row>
    <row r="1232" spans="3:3">
      <c r="C1232" s="1"/>
    </row>
    <row r="1233" spans="3:3">
      <c r="C1233" s="1"/>
    </row>
    <row r="1234" spans="3:3">
      <c r="C1234" s="1"/>
    </row>
    <row r="1235" spans="3:3">
      <c r="C1235" s="1"/>
    </row>
    <row r="1236" spans="3:3">
      <c r="C1236" s="1"/>
    </row>
    <row r="1237" spans="3:3">
      <c r="C1237" s="1"/>
    </row>
    <row r="1238" spans="3:3">
      <c r="C1238" s="1"/>
    </row>
    <row r="1239" spans="3:3">
      <c r="C1239" s="1"/>
    </row>
    <row r="1240" spans="3:3">
      <c r="C1240" s="1"/>
    </row>
    <row r="1241" spans="3:3">
      <c r="C1241" s="1"/>
    </row>
    <row r="1242" spans="3:3">
      <c r="C1242" s="1"/>
    </row>
    <row r="1243" spans="3:3">
      <c r="C1243" s="1"/>
    </row>
    <row r="1244" spans="3:3">
      <c r="C1244" s="1"/>
    </row>
    <row r="1245" spans="3:3">
      <c r="C1245" s="1"/>
    </row>
    <row r="1246" spans="3:3">
      <c r="C1246" s="1"/>
    </row>
    <row r="1247" spans="3:3">
      <c r="C1247" s="1"/>
    </row>
    <row r="1248" spans="3:3">
      <c r="C1248" s="1"/>
    </row>
    <row r="1249" spans="3:3">
      <c r="C1249" s="1"/>
    </row>
    <row r="1250" spans="3:3">
      <c r="C1250" s="1"/>
    </row>
    <row r="1251" spans="3:3">
      <c r="C1251" s="1"/>
    </row>
    <row r="1252" spans="3:3">
      <c r="C1252" s="1"/>
    </row>
    <row r="1253" spans="3:3">
      <c r="C1253" s="1"/>
    </row>
    <row r="1254" spans="3:3">
      <c r="C1254" s="1"/>
    </row>
    <row r="1255" spans="3:3">
      <c r="C1255" s="1"/>
    </row>
    <row r="1256" spans="3:3">
      <c r="C1256" s="1"/>
    </row>
    <row r="1257" spans="3:3">
      <c r="C1257" s="1"/>
    </row>
    <row r="1258" spans="3:3">
      <c r="C1258" s="1"/>
    </row>
    <row r="1259" spans="3:3">
      <c r="C1259" s="1"/>
    </row>
    <row r="1260" spans="3:3">
      <c r="C1260" s="1"/>
    </row>
    <row r="1261" spans="3:3">
      <c r="C1261" s="1"/>
    </row>
    <row r="1262" spans="3:3">
      <c r="C1262" s="1"/>
    </row>
    <row r="1263" spans="3:3">
      <c r="C1263" s="1"/>
    </row>
    <row r="1264" spans="3:3">
      <c r="C1264" s="1"/>
    </row>
    <row r="1265" spans="3:3">
      <c r="C1265" s="1"/>
    </row>
    <row r="1266" spans="3:3">
      <c r="C1266" s="1"/>
    </row>
    <row r="1267" spans="3:3">
      <c r="C1267" s="1"/>
    </row>
    <row r="1268" spans="3:3">
      <c r="C1268" s="1"/>
    </row>
    <row r="1269" spans="3:3">
      <c r="C1269" s="1"/>
    </row>
    <row r="1270" spans="3:3">
      <c r="C1270" s="1"/>
    </row>
    <row r="1271" spans="3:3">
      <c r="C1271" s="1"/>
    </row>
    <row r="1272" spans="3:3">
      <c r="C1272" s="1"/>
    </row>
    <row r="1273" spans="3:3">
      <c r="C1273" s="1"/>
    </row>
    <row r="1274" spans="3:3">
      <c r="C1274" s="1"/>
    </row>
    <row r="1275" spans="3:3">
      <c r="C1275" s="1"/>
    </row>
    <row r="1276" spans="3:3">
      <c r="C1276" s="1"/>
    </row>
    <row r="1277" spans="3:3">
      <c r="C1277" s="1"/>
    </row>
    <row r="1278" spans="3:3">
      <c r="C1278" s="1"/>
    </row>
    <row r="1279" spans="3:3">
      <c r="C1279" s="1"/>
    </row>
    <row r="1280" spans="3:3">
      <c r="C1280" s="1"/>
    </row>
    <row r="1281" spans="3:3">
      <c r="C1281" s="1"/>
    </row>
    <row r="1282" spans="3:3">
      <c r="C1282" s="1"/>
    </row>
    <row r="1283" spans="3:3">
      <c r="C1283" s="1"/>
    </row>
    <row r="1284" spans="3:3">
      <c r="C1284" s="1"/>
    </row>
    <row r="1285" spans="3:3">
      <c r="C1285" s="1"/>
    </row>
    <row r="1286" spans="3:3">
      <c r="C1286" s="1"/>
    </row>
    <row r="1287" spans="3:3">
      <c r="C1287" s="1"/>
    </row>
    <row r="1288" spans="3:3">
      <c r="C1288" s="1"/>
    </row>
    <row r="1289" spans="3:3">
      <c r="C1289" s="1"/>
    </row>
    <row r="1290" spans="3:3">
      <c r="C1290" s="1"/>
    </row>
    <row r="1291" spans="3:3">
      <c r="C1291" s="1"/>
    </row>
    <row r="1292" spans="3:3">
      <c r="C1292" s="1"/>
    </row>
    <row r="1293" spans="3:3">
      <c r="C1293" s="1"/>
    </row>
    <row r="1294" spans="3:3">
      <c r="C1294" s="1"/>
    </row>
    <row r="1295" spans="3:3">
      <c r="C1295" s="1"/>
    </row>
    <row r="1296" spans="3:3">
      <c r="C1296" s="1"/>
    </row>
    <row r="1297" spans="3:3">
      <c r="C1297" s="1"/>
    </row>
    <row r="1298" spans="3:3">
      <c r="C1298" s="1"/>
    </row>
    <row r="1299" spans="3:3">
      <c r="C1299" s="1"/>
    </row>
    <row r="1300" spans="3:3">
      <c r="C1300" s="1"/>
    </row>
    <row r="1301" spans="3:3">
      <c r="C1301" s="1"/>
    </row>
    <row r="1302" spans="3:3">
      <c r="C1302" s="1"/>
    </row>
    <row r="1303" spans="3:3">
      <c r="C1303" s="1"/>
    </row>
    <row r="1304" spans="3:3">
      <c r="C1304" s="1"/>
    </row>
    <row r="1305" spans="3:3">
      <c r="C1305" s="1"/>
    </row>
    <row r="1306" spans="3:3">
      <c r="C1306" s="1"/>
    </row>
    <row r="1307" spans="3:3">
      <c r="C1307" s="1"/>
    </row>
    <row r="1308" spans="3:3">
      <c r="C1308" s="1"/>
    </row>
    <row r="1309" spans="3:3">
      <c r="C1309" s="1"/>
    </row>
    <row r="1310" spans="3:3">
      <c r="C1310" s="1"/>
    </row>
    <row r="1311" spans="3:3">
      <c r="C1311" s="1"/>
    </row>
    <row r="1312" spans="3:3">
      <c r="C1312" s="1"/>
    </row>
    <row r="1313" spans="3:3">
      <c r="C1313" s="1"/>
    </row>
    <row r="1314" spans="3:3">
      <c r="C1314" s="1"/>
    </row>
    <row r="1315" spans="3:3">
      <c r="C1315" s="1"/>
    </row>
    <row r="1316" spans="3:3">
      <c r="C1316" s="1"/>
    </row>
    <row r="1317" spans="3:3">
      <c r="C1317" s="1"/>
    </row>
    <row r="1318" spans="3:3">
      <c r="C1318" s="1"/>
    </row>
    <row r="1319" spans="3:3">
      <c r="C1319" s="1"/>
    </row>
    <row r="1320" spans="3:3">
      <c r="C1320" s="1"/>
    </row>
    <row r="1321" spans="3:3">
      <c r="C1321" s="1"/>
    </row>
    <row r="1322" spans="3:3">
      <c r="C1322" s="1"/>
    </row>
    <row r="1323" spans="3:3">
      <c r="C1323" s="1"/>
    </row>
    <row r="1324" spans="3:3">
      <c r="C1324" s="1"/>
    </row>
    <row r="1325" spans="3:3">
      <c r="C1325" s="1"/>
    </row>
    <row r="1326" spans="3:3">
      <c r="C1326" s="1"/>
    </row>
    <row r="1327" spans="3:3">
      <c r="C1327" s="1"/>
    </row>
    <row r="1328" spans="3:3">
      <c r="C1328" s="1"/>
    </row>
    <row r="1329" spans="3:3">
      <c r="C1329" s="1"/>
    </row>
    <row r="1330" spans="3:3">
      <c r="C1330" s="1"/>
    </row>
    <row r="1331" spans="3:3">
      <c r="C1331" s="1"/>
    </row>
    <row r="1332" spans="3:3">
      <c r="C1332" s="1"/>
    </row>
    <row r="1333" spans="3:3">
      <c r="C1333" s="1"/>
    </row>
    <row r="1334" spans="3:3">
      <c r="C1334" s="1"/>
    </row>
    <row r="1335" spans="3:3">
      <c r="C1335" s="1"/>
    </row>
    <row r="1336" spans="3:3">
      <c r="C1336" s="1"/>
    </row>
    <row r="1337" spans="3:3">
      <c r="C1337" s="1"/>
    </row>
    <row r="1338" spans="3:3">
      <c r="C1338" s="1"/>
    </row>
    <row r="1339" spans="3:3">
      <c r="C1339" s="1"/>
    </row>
    <row r="1340" spans="3:3">
      <c r="C1340" s="1"/>
    </row>
    <row r="1341" spans="3:3">
      <c r="C1341" s="1"/>
    </row>
    <row r="1342" spans="3:3">
      <c r="C1342" s="1"/>
    </row>
    <row r="1343" spans="3:3">
      <c r="C1343" s="1"/>
    </row>
    <row r="1344" spans="3:3">
      <c r="C1344" s="1"/>
    </row>
    <row r="1345" spans="3:3">
      <c r="C1345" s="1"/>
    </row>
    <row r="1346" spans="3:3">
      <c r="C1346" s="1"/>
    </row>
    <row r="1347" spans="3:3">
      <c r="C1347" s="1"/>
    </row>
    <row r="1348" spans="3:3">
      <c r="C1348" s="1"/>
    </row>
    <row r="1349" spans="3:3">
      <c r="C1349" s="1"/>
    </row>
    <row r="1350" spans="3:3">
      <c r="C1350" s="1"/>
    </row>
    <row r="1351" spans="3:3">
      <c r="C1351" s="1"/>
    </row>
    <row r="1352" spans="3:3">
      <c r="C1352" s="1"/>
    </row>
    <row r="1353" spans="3:3">
      <c r="C1353" s="1"/>
    </row>
    <row r="1354" spans="3:3">
      <c r="C1354" s="1"/>
    </row>
    <row r="1355" spans="3:3">
      <c r="C1355" s="1"/>
    </row>
    <row r="1356" spans="3:3">
      <c r="C1356" s="1"/>
    </row>
    <row r="1357" spans="3:3">
      <c r="C1357" s="1"/>
    </row>
    <row r="1358" spans="3:3">
      <c r="C1358" s="1"/>
    </row>
    <row r="1359" spans="3:3">
      <c r="C1359" s="1"/>
    </row>
    <row r="1360" spans="3:3">
      <c r="C1360" s="1"/>
    </row>
    <row r="1361" spans="3:3">
      <c r="C1361" s="1"/>
    </row>
    <row r="1362" spans="3:3">
      <c r="C1362" s="1"/>
    </row>
    <row r="1363" spans="3:3">
      <c r="C1363" s="1"/>
    </row>
    <row r="1364" spans="3:3">
      <c r="C1364" s="1"/>
    </row>
    <row r="1365" spans="3:3">
      <c r="C1365" s="1"/>
    </row>
    <row r="1366" spans="3:3">
      <c r="C1366" s="1"/>
    </row>
    <row r="1367" spans="3:3">
      <c r="C1367" s="1"/>
    </row>
    <row r="1368" spans="3:3">
      <c r="C1368" s="1"/>
    </row>
    <row r="1369" spans="3:3">
      <c r="C1369" s="1"/>
    </row>
    <row r="1370" spans="3:3">
      <c r="C1370" s="1"/>
    </row>
    <row r="1371" spans="3:3">
      <c r="C1371" s="1"/>
    </row>
    <row r="1372" spans="3:3">
      <c r="C1372" s="1"/>
    </row>
    <row r="1373" spans="3:3">
      <c r="C1373" s="1"/>
    </row>
    <row r="1374" spans="3:3">
      <c r="C1374" s="1"/>
    </row>
    <row r="1375" spans="3:3">
      <c r="C1375" s="1"/>
    </row>
    <row r="1376" spans="3:3">
      <c r="C1376" s="1"/>
    </row>
    <row r="1377" spans="3:3">
      <c r="C1377" s="1"/>
    </row>
    <row r="1378" spans="3:3">
      <c r="C1378" s="1"/>
    </row>
    <row r="1379" spans="3:3">
      <c r="C1379" s="1"/>
    </row>
    <row r="1380" spans="3:3">
      <c r="C1380" s="1"/>
    </row>
    <row r="1381" spans="3:3">
      <c r="C1381" s="1"/>
    </row>
    <row r="1382" spans="3:3">
      <c r="C1382" s="1"/>
    </row>
    <row r="1383" spans="3:3">
      <c r="C1383" s="1"/>
    </row>
    <row r="1384" spans="3:3">
      <c r="C1384" s="1"/>
    </row>
    <row r="1385" spans="3:3">
      <c r="C1385" s="1"/>
    </row>
    <row r="1386" spans="3:3">
      <c r="C1386" s="1"/>
    </row>
    <row r="1387" spans="3:3">
      <c r="C1387" s="1"/>
    </row>
    <row r="1388" spans="3:3">
      <c r="C1388" s="1"/>
    </row>
    <row r="1389" spans="3:3">
      <c r="C1389" s="1"/>
    </row>
    <row r="1390" spans="3:3">
      <c r="C1390" s="1"/>
    </row>
    <row r="1391" spans="3:3">
      <c r="C1391" s="1"/>
    </row>
    <row r="1392" spans="3:3">
      <c r="C1392" s="1"/>
    </row>
    <row r="1393" spans="3:3">
      <c r="C1393" s="1"/>
    </row>
    <row r="1394" spans="3:3">
      <c r="C1394" s="1"/>
    </row>
    <row r="1395" spans="3:3">
      <c r="C1395" s="1"/>
    </row>
    <row r="1396" spans="3:3">
      <c r="C1396" s="1"/>
    </row>
    <row r="1397" spans="3:3">
      <c r="C1397" s="1"/>
    </row>
    <row r="1398" spans="3:3">
      <c r="C1398" s="1"/>
    </row>
    <row r="1399" spans="3:3">
      <c r="C1399" s="1"/>
    </row>
    <row r="1400" spans="3:3">
      <c r="C1400" s="1"/>
    </row>
    <row r="1401" spans="3:3">
      <c r="C1401" s="1"/>
    </row>
    <row r="1402" spans="3:3">
      <c r="C1402" s="1"/>
    </row>
    <row r="1403" spans="3:3">
      <c r="C1403" s="1"/>
    </row>
    <row r="1404" spans="3:3">
      <c r="C1404" s="1"/>
    </row>
    <row r="1405" spans="3:3">
      <c r="C1405" s="1"/>
    </row>
    <row r="1406" spans="3:3">
      <c r="C1406" s="1"/>
    </row>
    <row r="1407" spans="3:3">
      <c r="C1407" s="1"/>
    </row>
    <row r="1408" spans="3:3">
      <c r="C1408" s="1"/>
    </row>
    <row r="1409" spans="3:3">
      <c r="C1409" s="1"/>
    </row>
    <row r="1410" spans="3:3">
      <c r="C1410" s="1"/>
    </row>
    <row r="1411" spans="3:3">
      <c r="C1411" s="1"/>
    </row>
    <row r="1412" spans="3:3">
      <c r="C1412" s="1"/>
    </row>
    <row r="1413" spans="3:3">
      <c r="C1413" s="1"/>
    </row>
    <row r="1414" spans="3:3">
      <c r="C1414" s="1"/>
    </row>
    <row r="1415" spans="3:3">
      <c r="C1415" s="1"/>
    </row>
    <row r="1416" spans="3:3">
      <c r="C1416" s="1"/>
    </row>
    <row r="1417" spans="3:3">
      <c r="C1417" s="1"/>
    </row>
    <row r="1418" spans="3:3">
      <c r="C1418" s="1"/>
    </row>
    <row r="1419" spans="3:3">
      <c r="C1419" s="1"/>
    </row>
    <row r="1420" spans="3:3">
      <c r="C1420" s="1"/>
    </row>
    <row r="1421" spans="3:3">
      <c r="C1421" s="1"/>
    </row>
    <row r="1422" spans="3:3">
      <c r="C1422" s="1"/>
    </row>
    <row r="1423" spans="3:3">
      <c r="C1423" s="1"/>
    </row>
    <row r="1424" spans="3:3">
      <c r="C1424" s="1"/>
    </row>
    <row r="1425" spans="3:3">
      <c r="C1425" s="1"/>
    </row>
    <row r="1426" spans="3:3">
      <c r="C1426" s="1"/>
    </row>
    <row r="1427" spans="3:3">
      <c r="C1427" s="1"/>
    </row>
    <row r="1428" spans="3:3">
      <c r="C1428" s="1"/>
    </row>
    <row r="1429" spans="3:3">
      <c r="C1429" s="1"/>
    </row>
    <row r="1430" spans="3:3">
      <c r="C1430" s="1"/>
    </row>
    <row r="1431" spans="3:3">
      <c r="C1431" s="1"/>
    </row>
    <row r="1432" spans="3:3">
      <c r="C1432" s="1"/>
    </row>
    <row r="1433" spans="3:3">
      <c r="C1433" s="1"/>
    </row>
    <row r="1434" spans="3:3">
      <c r="C1434" s="1"/>
    </row>
    <row r="1435" spans="3:3">
      <c r="C1435" s="1"/>
    </row>
    <row r="1436" spans="3:3">
      <c r="C1436" s="1"/>
    </row>
    <row r="1437" spans="3:3">
      <c r="C1437" s="1"/>
    </row>
    <row r="1438" spans="3:3">
      <c r="C1438" s="1"/>
    </row>
    <row r="1439" spans="3:3">
      <c r="C1439" s="1"/>
    </row>
    <row r="1440" spans="3:3">
      <c r="C1440" s="1"/>
    </row>
    <row r="1441" spans="3:3">
      <c r="C1441" s="1"/>
    </row>
    <row r="1442" spans="3:3">
      <c r="C1442" s="1"/>
    </row>
    <row r="1443" spans="3:3">
      <c r="C1443" s="1"/>
    </row>
    <row r="1444" spans="3:3">
      <c r="C1444" s="1"/>
    </row>
    <row r="1445" spans="3:3">
      <c r="C1445" s="1"/>
    </row>
    <row r="1446" spans="3:3">
      <c r="C1446" s="1"/>
    </row>
    <row r="1447" spans="3:3">
      <c r="C1447" s="1"/>
    </row>
    <row r="1448" spans="3:3">
      <c r="C1448" s="1"/>
    </row>
    <row r="1449" spans="3:3">
      <c r="C1449" s="1"/>
    </row>
    <row r="1450" spans="3:3">
      <c r="C1450" s="1"/>
    </row>
    <row r="1451" spans="3:3">
      <c r="C1451" s="1"/>
    </row>
    <row r="1452" spans="3:3">
      <c r="C1452" s="1"/>
    </row>
    <row r="1453" spans="3:3">
      <c r="C1453" s="1"/>
    </row>
    <row r="1454" spans="3:3">
      <c r="C1454" s="1"/>
    </row>
    <row r="1455" spans="3:3">
      <c r="C1455" s="1"/>
    </row>
    <row r="1456" spans="3:3">
      <c r="C1456" s="1"/>
    </row>
    <row r="1457" spans="3:3">
      <c r="C1457" s="1"/>
    </row>
    <row r="1458" spans="3:3">
      <c r="C1458" s="1"/>
    </row>
    <row r="1459" spans="3:3">
      <c r="C1459" s="1"/>
    </row>
    <row r="1460" spans="3:3">
      <c r="C1460" s="1"/>
    </row>
    <row r="1461" spans="3:3">
      <c r="C1461" s="1"/>
    </row>
    <row r="1462" spans="3:3">
      <c r="C1462" s="1"/>
    </row>
    <row r="1463" spans="3:3">
      <c r="C1463" s="1"/>
    </row>
    <row r="1464" spans="3:3">
      <c r="C1464" s="1"/>
    </row>
    <row r="1465" spans="3:3">
      <c r="C1465" s="1"/>
    </row>
    <row r="1466" spans="3:3">
      <c r="C1466" s="1"/>
    </row>
    <row r="1467" spans="3:3">
      <c r="C1467" s="1"/>
    </row>
    <row r="1468" spans="3:3">
      <c r="C1468" s="1"/>
    </row>
    <row r="1469" spans="3:3">
      <c r="C1469" s="1"/>
    </row>
    <row r="1470" spans="3:3">
      <c r="C1470" s="1"/>
    </row>
    <row r="1471" spans="3:3">
      <c r="C1471" s="1"/>
    </row>
    <row r="1472" spans="3:3">
      <c r="C1472" s="1"/>
    </row>
    <row r="1473" spans="3:3">
      <c r="C1473" s="1"/>
    </row>
    <row r="1474" spans="3:3">
      <c r="C1474" s="1"/>
    </row>
    <row r="1475" spans="3:3">
      <c r="C1475" s="1"/>
    </row>
    <row r="1476" spans="3:3">
      <c r="C1476" s="1"/>
    </row>
    <row r="1477" spans="3:3">
      <c r="C1477" s="1"/>
    </row>
    <row r="1478" spans="3:3">
      <c r="C1478" s="1"/>
    </row>
    <row r="1479" spans="3:3">
      <c r="C1479" s="1"/>
    </row>
    <row r="1480" spans="3:3">
      <c r="C1480" s="1"/>
    </row>
    <row r="1481" spans="3:3">
      <c r="C1481" s="1"/>
    </row>
    <row r="1482" spans="3:3">
      <c r="C1482" s="1"/>
    </row>
    <row r="1483" spans="3:3">
      <c r="C1483" s="1"/>
    </row>
    <row r="1484" spans="3:3">
      <c r="C1484" s="1"/>
    </row>
    <row r="1485" spans="3:3">
      <c r="C1485" s="1"/>
    </row>
    <row r="1486" spans="3:3">
      <c r="C1486" s="1"/>
    </row>
    <row r="1487" spans="3:3">
      <c r="C1487" s="1"/>
    </row>
    <row r="1488" spans="3:3">
      <c r="C1488" s="1"/>
    </row>
    <row r="1489" spans="3:3">
      <c r="C1489" s="1"/>
    </row>
    <row r="1490" spans="3:3">
      <c r="C1490" s="1"/>
    </row>
    <row r="1491" spans="3:3">
      <c r="C1491" s="1"/>
    </row>
    <row r="1492" spans="3:3">
      <c r="C1492" s="1"/>
    </row>
    <row r="1493" spans="3:3">
      <c r="C1493" s="1"/>
    </row>
    <row r="1494" spans="3:3">
      <c r="C1494" s="1"/>
    </row>
    <row r="1495" spans="3:3">
      <c r="C1495" s="1"/>
    </row>
    <row r="1496" spans="3:3">
      <c r="C1496" s="1"/>
    </row>
    <row r="1497" spans="3:3">
      <c r="C1497" s="1"/>
    </row>
    <row r="1498" spans="3:3">
      <c r="C1498" s="1"/>
    </row>
    <row r="1499" spans="3:3">
      <c r="C1499" s="1"/>
    </row>
    <row r="1500" spans="3:3">
      <c r="C1500" s="1"/>
    </row>
    <row r="1501" spans="3:3">
      <c r="C1501" s="1"/>
    </row>
    <row r="1502" spans="3:3">
      <c r="C1502" s="1"/>
    </row>
    <row r="1503" spans="3:3">
      <c r="C1503" s="1"/>
    </row>
    <row r="1504" spans="3:3">
      <c r="C1504" s="1"/>
    </row>
    <row r="1505" spans="3:3">
      <c r="C1505" s="1"/>
    </row>
    <row r="1506" spans="3:3">
      <c r="C1506" s="1"/>
    </row>
    <row r="1507" spans="3:3">
      <c r="C1507" s="1"/>
    </row>
    <row r="1508" spans="3:3">
      <c r="C1508" s="1"/>
    </row>
    <row r="1509" spans="3:3">
      <c r="C1509" s="1"/>
    </row>
    <row r="1510" spans="3:3">
      <c r="C1510" s="1"/>
    </row>
    <row r="1511" spans="3:3">
      <c r="C1511" s="1"/>
    </row>
    <row r="1512" spans="3:3">
      <c r="C1512" s="1"/>
    </row>
    <row r="1513" spans="3:3">
      <c r="C1513" s="1"/>
    </row>
    <row r="1514" spans="3:3">
      <c r="C1514" s="1"/>
    </row>
    <row r="1515" spans="3:3">
      <c r="C1515" s="1"/>
    </row>
    <row r="1516" spans="3:3">
      <c r="C1516" s="1"/>
    </row>
    <row r="1517" spans="3:3">
      <c r="C1517" s="1"/>
    </row>
    <row r="1518" spans="3:3">
      <c r="C1518" s="1"/>
    </row>
    <row r="1519" spans="3:3">
      <c r="C1519" s="1"/>
    </row>
    <row r="1520" spans="3:3">
      <c r="C1520" s="1"/>
    </row>
    <row r="1521" spans="3:3">
      <c r="C1521" s="1"/>
    </row>
    <row r="1522" spans="3:3">
      <c r="C1522" s="1"/>
    </row>
    <row r="1523" spans="3:3">
      <c r="C1523" s="1"/>
    </row>
    <row r="1524" spans="3:3">
      <c r="C1524" s="1"/>
    </row>
    <row r="1525" spans="3:3">
      <c r="C1525" s="1"/>
    </row>
    <row r="1526" spans="3:3">
      <c r="C1526" s="1"/>
    </row>
    <row r="1527" spans="3:3">
      <c r="C1527" s="1"/>
    </row>
    <row r="1528" spans="3:3">
      <c r="C1528" s="1"/>
    </row>
    <row r="1529" spans="3:3">
      <c r="C1529" s="1"/>
    </row>
    <row r="1530" spans="3:3">
      <c r="C1530" s="1"/>
    </row>
    <row r="1531" spans="3:3">
      <c r="C1531" s="1"/>
    </row>
    <row r="1532" spans="3:3">
      <c r="C1532" s="1"/>
    </row>
    <row r="1533" spans="3:3">
      <c r="C1533" s="1"/>
    </row>
    <row r="1534" spans="3:3">
      <c r="C1534" s="1"/>
    </row>
    <row r="1535" spans="3:3">
      <c r="C1535" s="1"/>
    </row>
    <row r="1536" spans="3:3">
      <c r="C1536" s="1"/>
    </row>
    <row r="1537" spans="3:3">
      <c r="C1537" s="1"/>
    </row>
    <row r="1538" spans="3:3">
      <c r="C1538" s="1"/>
    </row>
    <row r="1539" spans="3:3">
      <c r="C1539" s="1"/>
    </row>
    <row r="1540" spans="3:3">
      <c r="C1540" s="1"/>
    </row>
    <row r="1541" spans="3:3">
      <c r="C1541" s="1"/>
    </row>
    <row r="1542" spans="3:3">
      <c r="C1542" s="1"/>
    </row>
    <row r="1543" spans="3:3">
      <c r="C1543" s="1"/>
    </row>
    <row r="1544" spans="3:3">
      <c r="C1544" s="1"/>
    </row>
    <row r="1545" spans="3:3">
      <c r="C1545" s="1"/>
    </row>
    <row r="1546" spans="3:3">
      <c r="C1546" s="1"/>
    </row>
    <row r="1547" spans="3:3">
      <c r="C1547" s="1"/>
    </row>
    <row r="1548" spans="3:3">
      <c r="C1548" s="1"/>
    </row>
    <row r="1549" spans="3:3">
      <c r="C1549" s="1"/>
    </row>
    <row r="1550" spans="3:3">
      <c r="C1550" s="1"/>
    </row>
    <row r="1551" spans="3:3">
      <c r="C1551" s="1"/>
    </row>
    <row r="1552" spans="3:3">
      <c r="C1552" s="1"/>
    </row>
    <row r="1553" spans="3:3">
      <c r="C1553" s="1"/>
    </row>
    <row r="1554" spans="3:3">
      <c r="C1554" s="1"/>
    </row>
    <row r="1555" spans="3:3">
      <c r="C1555" s="1"/>
    </row>
    <row r="1556" spans="3:3">
      <c r="C1556" s="1"/>
    </row>
    <row r="1557" spans="3:3">
      <c r="C1557" s="1"/>
    </row>
    <row r="1558" spans="3:3">
      <c r="C1558" s="1"/>
    </row>
    <row r="1559" spans="3:3">
      <c r="C1559" s="1"/>
    </row>
    <row r="1560" spans="3:3">
      <c r="C1560" s="1"/>
    </row>
    <row r="1561" spans="3:3">
      <c r="C1561" s="1"/>
    </row>
    <row r="1562" spans="3:3">
      <c r="C1562" s="1"/>
    </row>
    <row r="1563" spans="3:3">
      <c r="C1563" s="1"/>
    </row>
    <row r="1564" spans="3:3">
      <c r="C1564" s="1"/>
    </row>
    <row r="1565" spans="3:3">
      <c r="C1565" s="1"/>
    </row>
    <row r="1566" spans="3:3">
      <c r="C1566" s="1"/>
    </row>
    <row r="1567" spans="3:3">
      <c r="C1567" s="1"/>
    </row>
    <row r="1568" spans="3:3">
      <c r="C1568" s="1"/>
    </row>
    <row r="1569" spans="3:3">
      <c r="C1569" s="1"/>
    </row>
    <row r="1570" spans="3:3">
      <c r="C1570" s="1"/>
    </row>
    <row r="1571" spans="3:3">
      <c r="C1571" s="1"/>
    </row>
    <row r="1572" spans="3:3">
      <c r="C1572" s="1"/>
    </row>
    <row r="1573" spans="3:3">
      <c r="C1573" s="1"/>
    </row>
    <row r="1574" spans="3:3">
      <c r="C1574" s="1"/>
    </row>
    <row r="1575" spans="3:3">
      <c r="C1575" s="1"/>
    </row>
    <row r="1576" spans="3:3">
      <c r="C1576" s="1"/>
    </row>
    <row r="1577" spans="3:3">
      <c r="C1577" s="1"/>
    </row>
    <row r="1578" spans="3:3">
      <c r="C1578" s="1"/>
    </row>
    <row r="1579" spans="3:3">
      <c r="C1579" s="1"/>
    </row>
    <row r="1580" spans="3:3">
      <c r="C1580" s="1"/>
    </row>
    <row r="1581" spans="3:3">
      <c r="C1581" s="1"/>
    </row>
    <row r="1582" spans="3:3">
      <c r="C1582" s="1"/>
    </row>
    <row r="1583" spans="3:3">
      <c r="C1583" s="1"/>
    </row>
    <row r="1584" spans="3:3">
      <c r="C1584" s="1"/>
    </row>
    <row r="1585" spans="3:3">
      <c r="C1585" s="1"/>
    </row>
    <row r="1586" spans="3:3">
      <c r="C1586" s="1"/>
    </row>
    <row r="1587" spans="3:3">
      <c r="C1587" s="1"/>
    </row>
    <row r="1588" spans="3:3">
      <c r="C1588" s="1"/>
    </row>
    <row r="1589" spans="3:3">
      <c r="C1589" s="1"/>
    </row>
    <row r="1590" spans="3:3">
      <c r="C1590" s="1"/>
    </row>
    <row r="1591" spans="3:3">
      <c r="C1591" s="1"/>
    </row>
    <row r="1592" spans="3:3">
      <c r="C1592" s="1"/>
    </row>
    <row r="1593" spans="3:3">
      <c r="C1593" s="1"/>
    </row>
    <row r="1594" spans="3:3">
      <c r="C1594" s="1"/>
    </row>
    <row r="1595" spans="3:3">
      <c r="C1595" s="1"/>
    </row>
    <row r="1596" spans="3:3">
      <c r="C1596" s="1"/>
    </row>
    <row r="1597" spans="3:3">
      <c r="C1597" s="1"/>
    </row>
    <row r="1598" spans="3:3">
      <c r="C1598" s="1"/>
    </row>
    <row r="1599" spans="3:3">
      <c r="C1599" s="1"/>
    </row>
    <row r="1600" spans="3:3">
      <c r="C1600" s="1"/>
    </row>
    <row r="1601" spans="3:3">
      <c r="C1601" s="1"/>
    </row>
    <row r="1602" spans="3:3">
      <c r="C1602" s="1"/>
    </row>
    <row r="1603" spans="3:3">
      <c r="C1603" s="1"/>
    </row>
    <row r="1604" spans="3:3">
      <c r="C1604" s="1"/>
    </row>
    <row r="1605" spans="3:3">
      <c r="C1605" s="1"/>
    </row>
    <row r="1606" spans="3:3">
      <c r="C1606" s="1"/>
    </row>
    <row r="1607" spans="3:3">
      <c r="C1607" s="1"/>
    </row>
    <row r="1608" spans="3:3">
      <c r="C1608" s="1"/>
    </row>
    <row r="1609" spans="3:3">
      <c r="C1609" s="1"/>
    </row>
    <row r="1610" spans="3:3">
      <c r="C1610" s="1"/>
    </row>
    <row r="1611" spans="3:3">
      <c r="C1611" s="1"/>
    </row>
    <row r="1612" spans="3:3">
      <c r="C1612" s="1"/>
    </row>
    <row r="1613" spans="3:3">
      <c r="C1613" s="1"/>
    </row>
    <row r="1614" spans="3:3">
      <c r="C1614" s="1"/>
    </row>
    <row r="1615" spans="3:3">
      <c r="C1615" s="1"/>
    </row>
    <row r="1616" spans="3:3">
      <c r="C1616" s="1"/>
    </row>
    <row r="1617" spans="3:3">
      <c r="C1617" s="1"/>
    </row>
    <row r="1618" spans="3:3">
      <c r="C1618" s="1"/>
    </row>
    <row r="1619" spans="3:3">
      <c r="C1619" s="1"/>
    </row>
    <row r="1620" spans="3:3">
      <c r="C1620" s="1"/>
    </row>
    <row r="1621" spans="3:3">
      <c r="C1621" s="1"/>
    </row>
    <row r="1622" spans="3:3">
      <c r="C1622" s="1"/>
    </row>
    <row r="1623" spans="3:3">
      <c r="C1623" s="1"/>
    </row>
    <row r="1624" spans="3:3">
      <c r="C1624" s="1"/>
    </row>
    <row r="1625" spans="3:3">
      <c r="C1625" s="1"/>
    </row>
    <row r="1626" spans="3:3">
      <c r="C1626" s="1"/>
    </row>
    <row r="1627" spans="3:3">
      <c r="C1627" s="1"/>
    </row>
    <row r="1628" spans="3:3">
      <c r="C1628" s="1"/>
    </row>
    <row r="1629" spans="3:3">
      <c r="C1629" s="1"/>
    </row>
    <row r="1630" spans="3:3">
      <c r="C1630" s="1"/>
    </row>
    <row r="1631" spans="3:3">
      <c r="C1631" s="1"/>
    </row>
    <row r="1632" spans="3:3">
      <c r="C1632" s="1"/>
    </row>
    <row r="1633" spans="3:3">
      <c r="C1633" s="1"/>
    </row>
    <row r="1634" spans="3:3">
      <c r="C1634" s="1"/>
    </row>
    <row r="1635" spans="3:3">
      <c r="C1635" s="1"/>
    </row>
    <row r="1636" spans="3:3">
      <c r="C1636" s="1"/>
    </row>
    <row r="1637" spans="3:3">
      <c r="C1637" s="1"/>
    </row>
    <row r="1638" spans="3:3">
      <c r="C1638" s="1"/>
    </row>
    <row r="1639" spans="3:3">
      <c r="C1639" s="1"/>
    </row>
    <row r="1640" spans="3:3">
      <c r="C1640" s="1"/>
    </row>
    <row r="1641" spans="3:3">
      <c r="C1641" s="1"/>
    </row>
    <row r="1642" spans="3:3">
      <c r="C1642" s="1"/>
    </row>
    <row r="1643" spans="3:3">
      <c r="C1643" s="1"/>
    </row>
    <row r="1644" spans="3:3">
      <c r="C1644" s="1"/>
    </row>
    <row r="1645" spans="3:3">
      <c r="C1645" s="1"/>
    </row>
    <row r="1646" spans="3:3">
      <c r="C1646" s="1"/>
    </row>
    <row r="1647" spans="3:3">
      <c r="C1647" s="1"/>
    </row>
    <row r="1648" spans="3:3">
      <c r="C1648" s="1"/>
    </row>
    <row r="1649" spans="3:3">
      <c r="C1649" s="1"/>
    </row>
    <row r="1650" spans="3:3">
      <c r="C1650" s="1"/>
    </row>
    <row r="1651" spans="3:3">
      <c r="C1651" s="1"/>
    </row>
    <row r="1652" spans="3:3">
      <c r="C1652" s="1"/>
    </row>
    <row r="1653" spans="3:3">
      <c r="C1653" s="1"/>
    </row>
    <row r="1654" spans="3:3">
      <c r="C1654" s="1"/>
    </row>
    <row r="1655" spans="3:3">
      <c r="C1655" s="1"/>
    </row>
    <row r="1656" spans="3:3">
      <c r="C1656" s="1"/>
    </row>
    <row r="1657" spans="3:3">
      <c r="C1657" s="1"/>
    </row>
    <row r="1658" spans="3:3">
      <c r="C1658" s="1"/>
    </row>
    <row r="1659" spans="3:3">
      <c r="C1659" s="1"/>
    </row>
    <row r="1660" spans="3:3">
      <c r="C1660" s="1"/>
    </row>
    <row r="1661" spans="3:3">
      <c r="C1661" s="1"/>
    </row>
    <row r="1662" spans="3:3">
      <c r="C1662" s="1"/>
    </row>
    <row r="1663" spans="3:3">
      <c r="C1663" s="1"/>
    </row>
    <row r="1664" spans="3:3">
      <c r="C1664" s="1"/>
    </row>
    <row r="1665" spans="3:3">
      <c r="C1665" s="1"/>
    </row>
    <row r="1666" spans="3:3">
      <c r="C1666" s="1"/>
    </row>
    <row r="1667" spans="3:3">
      <c r="C1667" s="1"/>
    </row>
    <row r="1668" spans="3:3">
      <c r="C1668" s="1"/>
    </row>
    <row r="1669" spans="3:3">
      <c r="C1669" s="1"/>
    </row>
    <row r="1670" spans="3:3">
      <c r="C1670" s="1"/>
    </row>
    <row r="1671" spans="3:3">
      <c r="C1671" s="1"/>
    </row>
    <row r="1672" spans="3:3">
      <c r="C1672" s="1"/>
    </row>
    <row r="1673" spans="3:3">
      <c r="C1673" s="1"/>
    </row>
    <row r="1674" spans="3:3">
      <c r="C1674" s="1"/>
    </row>
    <row r="1675" spans="3:3">
      <c r="C1675" s="1"/>
    </row>
    <row r="1676" spans="3:3">
      <c r="C1676" s="1"/>
    </row>
    <row r="1677" spans="3:3">
      <c r="C1677" s="1"/>
    </row>
    <row r="1678" spans="3:3">
      <c r="C1678" s="1"/>
    </row>
    <row r="1679" spans="3:3">
      <c r="C1679" s="1"/>
    </row>
    <row r="1680" spans="3:3">
      <c r="C1680" s="1"/>
    </row>
    <row r="1681" spans="3:3">
      <c r="C1681" s="1"/>
    </row>
    <row r="1682" spans="3:3">
      <c r="C1682" s="1"/>
    </row>
    <row r="1683" spans="3:3">
      <c r="C1683" s="1"/>
    </row>
    <row r="1684" spans="3:3">
      <c r="C1684" s="1"/>
    </row>
    <row r="1685" spans="3:3">
      <c r="C1685" s="1"/>
    </row>
    <row r="1686" spans="3:3">
      <c r="C1686" s="1"/>
    </row>
    <row r="1687" spans="3:3">
      <c r="C1687" s="1"/>
    </row>
    <row r="1688" spans="3:3">
      <c r="C1688" s="1"/>
    </row>
    <row r="1689" spans="3:3">
      <c r="C1689" s="1"/>
    </row>
    <row r="1690" spans="3:3">
      <c r="C1690" s="1"/>
    </row>
    <row r="1691" spans="3:3">
      <c r="C1691" s="1"/>
    </row>
    <row r="1692" spans="3:3">
      <c r="C1692" s="1"/>
    </row>
    <row r="1693" spans="3:3">
      <c r="C1693" s="1"/>
    </row>
    <row r="1694" spans="3:3">
      <c r="C1694" s="1"/>
    </row>
    <row r="1695" spans="3:3">
      <c r="C1695" s="1"/>
    </row>
    <row r="1696" spans="3:3">
      <c r="C1696" s="1"/>
    </row>
    <row r="1697" spans="3:3">
      <c r="C1697" s="1"/>
    </row>
    <row r="1698" spans="3:3">
      <c r="C1698" s="1"/>
    </row>
    <row r="1699" spans="3:3">
      <c r="C1699" s="1"/>
    </row>
    <row r="1700" spans="3:3">
      <c r="C1700" s="1"/>
    </row>
    <row r="1701" spans="3:3">
      <c r="C1701" s="1"/>
    </row>
    <row r="1702" spans="3:3">
      <c r="C1702" s="1"/>
    </row>
    <row r="1703" spans="3:3">
      <c r="C1703" s="1"/>
    </row>
    <row r="1704" spans="3:3">
      <c r="C1704" s="1"/>
    </row>
    <row r="1705" spans="3:3">
      <c r="C1705" s="1"/>
    </row>
    <row r="1706" spans="3:3">
      <c r="C1706" s="1"/>
    </row>
    <row r="1707" spans="3:3">
      <c r="C1707" s="1"/>
    </row>
    <row r="1708" spans="3:3">
      <c r="C1708" s="1"/>
    </row>
    <row r="1709" spans="3:3">
      <c r="C1709" s="1"/>
    </row>
    <row r="1710" spans="3:3">
      <c r="C1710" s="1"/>
    </row>
    <row r="1711" spans="3:3">
      <c r="C1711" s="1"/>
    </row>
    <row r="1712" spans="3:3">
      <c r="C1712" s="1"/>
    </row>
    <row r="1713" spans="3:3">
      <c r="C1713" s="1"/>
    </row>
    <row r="1714" spans="3:3">
      <c r="C1714" s="1"/>
    </row>
    <row r="1715" spans="3:3">
      <c r="C1715" s="1"/>
    </row>
    <row r="1716" spans="3:3">
      <c r="C1716" s="1"/>
    </row>
    <row r="1717" spans="3:3">
      <c r="C1717" s="1"/>
    </row>
    <row r="1718" spans="3:3">
      <c r="C1718" s="1"/>
    </row>
    <row r="1719" spans="3:3">
      <c r="C1719" s="1"/>
    </row>
    <row r="1720" spans="3:3">
      <c r="C1720" s="1"/>
    </row>
    <row r="1721" spans="3:3">
      <c r="C1721" s="1"/>
    </row>
    <row r="1722" spans="3:3">
      <c r="C1722" s="1"/>
    </row>
    <row r="1723" spans="3:3">
      <c r="C1723" s="1"/>
    </row>
    <row r="1724" spans="3:3">
      <c r="C1724" s="1"/>
    </row>
    <row r="1725" spans="3:3">
      <c r="C1725" s="1"/>
    </row>
    <row r="1726" spans="3:3">
      <c r="C1726" s="1"/>
    </row>
    <row r="1727" spans="3:3">
      <c r="C1727" s="1"/>
    </row>
    <row r="1728" spans="3:3">
      <c r="C1728" s="1"/>
    </row>
    <row r="1729" spans="3:3">
      <c r="C1729" s="1"/>
    </row>
    <row r="1730" spans="3:3">
      <c r="C1730" s="1"/>
    </row>
    <row r="1731" spans="3:3">
      <c r="C1731" s="1"/>
    </row>
    <row r="1732" spans="3:3">
      <c r="C1732" s="1"/>
    </row>
    <row r="1733" spans="3:3">
      <c r="C1733" s="1"/>
    </row>
    <row r="1734" spans="3:3">
      <c r="C1734" s="1"/>
    </row>
    <row r="1735" spans="3:3">
      <c r="C1735" s="1"/>
    </row>
    <row r="1736" spans="3:3">
      <c r="C1736" s="1"/>
    </row>
    <row r="1737" spans="3:3">
      <c r="C1737" s="1"/>
    </row>
    <row r="1738" spans="3:3">
      <c r="C1738" s="1"/>
    </row>
    <row r="1739" spans="3:3">
      <c r="C1739" s="1"/>
    </row>
    <row r="1740" spans="3:3">
      <c r="C1740" s="1"/>
    </row>
    <row r="1741" spans="3:3">
      <c r="C1741" s="1"/>
    </row>
    <row r="1742" spans="3:3">
      <c r="C1742" s="1"/>
    </row>
    <row r="1743" spans="3:3">
      <c r="C1743" s="1"/>
    </row>
    <row r="1744" spans="3:3">
      <c r="C1744" s="1"/>
    </row>
    <row r="1745" spans="3:3">
      <c r="C1745" s="1"/>
    </row>
    <row r="1746" spans="3:3">
      <c r="C1746" s="1"/>
    </row>
    <row r="1747" spans="3:3">
      <c r="C1747" s="1"/>
    </row>
    <row r="1748" spans="3:3">
      <c r="C1748" s="1"/>
    </row>
    <row r="1749" spans="3:3">
      <c r="C1749" s="1"/>
    </row>
    <row r="1750" spans="3:3">
      <c r="C1750" s="1"/>
    </row>
    <row r="1751" spans="3:3">
      <c r="C1751" s="1"/>
    </row>
    <row r="1752" spans="3:3">
      <c r="C1752" s="1"/>
    </row>
    <row r="1753" spans="3:3">
      <c r="C1753" s="1"/>
    </row>
    <row r="1754" spans="3:3">
      <c r="C1754" s="1"/>
    </row>
    <row r="1755" spans="3:3">
      <c r="C1755" s="1"/>
    </row>
    <row r="1756" spans="3:3">
      <c r="C1756" s="1"/>
    </row>
    <row r="1757" spans="3:3">
      <c r="C1757" s="1"/>
    </row>
    <row r="1758" spans="3:3">
      <c r="C1758" s="1"/>
    </row>
    <row r="1759" spans="3:3">
      <c r="C1759" s="1"/>
    </row>
    <row r="1760" spans="3:3">
      <c r="C1760" s="1"/>
    </row>
    <row r="1761" spans="3:3">
      <c r="C1761" s="1"/>
    </row>
    <row r="1762" spans="3:3">
      <c r="C1762" s="1"/>
    </row>
    <row r="1763" spans="3:3">
      <c r="C1763" s="1"/>
    </row>
    <row r="1764" spans="3:3">
      <c r="C1764" s="1"/>
    </row>
    <row r="1765" spans="3:3">
      <c r="C1765" s="1"/>
    </row>
    <row r="1766" spans="3:3">
      <c r="C1766" s="1"/>
    </row>
    <row r="1767" spans="3:3">
      <c r="C1767" s="1"/>
    </row>
    <row r="1768" spans="3:3">
      <c r="C1768" s="1"/>
    </row>
    <row r="1769" spans="3:3">
      <c r="C1769" s="1"/>
    </row>
    <row r="1770" spans="3:3">
      <c r="C1770" s="1"/>
    </row>
    <row r="1771" spans="3:3">
      <c r="C1771" s="1"/>
    </row>
    <row r="1772" spans="3:3">
      <c r="C1772" s="1"/>
    </row>
    <row r="1773" spans="3:3">
      <c r="C1773" s="1"/>
    </row>
    <row r="1774" spans="3:3">
      <c r="C1774" s="1"/>
    </row>
    <row r="1775" spans="3:3">
      <c r="C1775" s="1"/>
    </row>
    <row r="1776" spans="3:3">
      <c r="C1776" s="1"/>
    </row>
    <row r="1777" spans="3:3">
      <c r="C1777" s="1"/>
    </row>
    <row r="1778" spans="3:3">
      <c r="C1778" s="1"/>
    </row>
    <row r="1779" spans="3:3">
      <c r="C1779" s="1"/>
    </row>
    <row r="1780" spans="3:3">
      <c r="C1780" s="1"/>
    </row>
    <row r="1781" spans="3:3">
      <c r="C1781" s="1"/>
    </row>
    <row r="1782" spans="3:3">
      <c r="C1782" s="1"/>
    </row>
    <row r="1783" spans="3:3">
      <c r="C1783" s="1"/>
    </row>
    <row r="1784" spans="3:3">
      <c r="C1784" s="1"/>
    </row>
    <row r="1785" spans="3:3">
      <c r="C1785" s="1"/>
    </row>
    <row r="1786" spans="3:3">
      <c r="C1786" s="1"/>
    </row>
    <row r="1787" spans="3:3">
      <c r="C1787" s="1"/>
    </row>
    <row r="1788" spans="3:3">
      <c r="C1788" s="1"/>
    </row>
    <row r="1789" spans="3:3">
      <c r="C1789" s="1"/>
    </row>
    <row r="1790" spans="3:3">
      <c r="C1790" s="1"/>
    </row>
    <row r="1791" spans="3:3">
      <c r="C1791" s="1"/>
    </row>
    <row r="1792" spans="3:3">
      <c r="C1792" s="1"/>
    </row>
    <row r="1793" spans="3:3">
      <c r="C1793" s="1"/>
    </row>
    <row r="1794" spans="3:3">
      <c r="C1794" s="1"/>
    </row>
    <row r="1795" spans="3:3">
      <c r="C1795" s="1"/>
    </row>
    <row r="1796" spans="3:3">
      <c r="C1796" s="1"/>
    </row>
    <row r="1797" spans="3:3">
      <c r="C1797" s="1"/>
    </row>
    <row r="1798" spans="3:3">
      <c r="C1798" s="1"/>
    </row>
    <row r="1799" spans="3:3">
      <c r="C1799" s="1"/>
    </row>
    <row r="1800" spans="3:3">
      <c r="C1800" s="1"/>
    </row>
    <row r="1801" spans="3:3">
      <c r="C1801" s="1"/>
    </row>
    <row r="1802" spans="3:3">
      <c r="C1802" s="1"/>
    </row>
    <row r="1803" spans="3:3">
      <c r="C1803" s="1"/>
    </row>
    <row r="1804" spans="3:3">
      <c r="C1804" s="1"/>
    </row>
    <row r="1805" spans="3:3">
      <c r="C1805" s="1"/>
    </row>
    <row r="1806" spans="3:3">
      <c r="C1806" s="1"/>
    </row>
    <row r="1807" spans="3:3">
      <c r="C1807" s="1"/>
    </row>
    <row r="1808" spans="3:3">
      <c r="C1808" s="1"/>
    </row>
    <row r="1809" spans="3:3">
      <c r="C1809" s="1"/>
    </row>
    <row r="1810" spans="3:3">
      <c r="C1810" s="1"/>
    </row>
    <row r="1811" spans="3:3">
      <c r="C1811" s="1"/>
    </row>
    <row r="1812" spans="3:3">
      <c r="C1812" s="1"/>
    </row>
    <row r="1813" spans="3:3">
      <c r="C1813" s="1"/>
    </row>
    <row r="1814" spans="3:3">
      <c r="C1814" s="1"/>
    </row>
    <row r="1815" spans="3:3">
      <c r="C1815" s="1"/>
    </row>
    <row r="1816" spans="3:3">
      <c r="C1816" s="1"/>
    </row>
    <row r="1817" spans="3:3">
      <c r="C1817" s="1"/>
    </row>
    <row r="1818" spans="3:3">
      <c r="C1818" s="1"/>
    </row>
    <row r="1819" spans="3:3">
      <c r="C1819" s="1"/>
    </row>
    <row r="1820" spans="3:3">
      <c r="C1820" s="1"/>
    </row>
    <row r="1821" spans="3:3">
      <c r="C1821" s="1"/>
    </row>
    <row r="1822" spans="3:3">
      <c r="C1822" s="1"/>
    </row>
    <row r="1823" spans="3:3">
      <c r="C1823" s="1"/>
    </row>
    <row r="1824" spans="3:3">
      <c r="C1824" s="1"/>
    </row>
    <row r="1825" spans="3:3">
      <c r="C1825" s="1"/>
    </row>
    <row r="1826" spans="3:3">
      <c r="C1826" s="1"/>
    </row>
    <row r="1827" spans="3:3">
      <c r="C1827" s="1"/>
    </row>
    <row r="1828" spans="3:3">
      <c r="C1828" s="1"/>
    </row>
    <row r="1829" spans="3:3">
      <c r="C1829" s="1"/>
    </row>
    <row r="1830" spans="3:3">
      <c r="C1830" s="1"/>
    </row>
    <row r="1831" spans="3:3">
      <c r="C1831" s="1"/>
    </row>
    <row r="1832" spans="3:3">
      <c r="C1832" s="1"/>
    </row>
    <row r="1833" spans="3:3">
      <c r="C1833" s="1"/>
    </row>
    <row r="1834" spans="3:3">
      <c r="C1834" s="1"/>
    </row>
    <row r="1835" spans="3:3">
      <c r="C1835" s="1"/>
    </row>
    <row r="1836" spans="3:3">
      <c r="C1836" s="1"/>
    </row>
    <row r="1837" spans="3:3">
      <c r="C1837" s="1"/>
    </row>
    <row r="1838" spans="3:3">
      <c r="C1838" s="1"/>
    </row>
    <row r="1839" spans="3:3">
      <c r="C1839" s="1"/>
    </row>
    <row r="1840" spans="3:3">
      <c r="C1840" s="1"/>
    </row>
    <row r="1841" spans="3:3">
      <c r="C1841" s="1"/>
    </row>
    <row r="1842" spans="3:3">
      <c r="C1842" s="1"/>
    </row>
    <row r="1843" spans="3:3">
      <c r="C1843" s="1"/>
    </row>
    <row r="1844" spans="3:3">
      <c r="C1844" s="1"/>
    </row>
    <row r="1845" spans="3:3">
      <c r="C1845" s="1"/>
    </row>
    <row r="1846" spans="3:3">
      <c r="C1846" s="1"/>
    </row>
    <row r="1847" spans="3:3">
      <c r="C1847" s="1"/>
    </row>
    <row r="1848" spans="3:3">
      <c r="C1848" s="1"/>
    </row>
    <row r="1849" spans="3:3">
      <c r="C1849" s="1"/>
    </row>
    <row r="1850" spans="3:3">
      <c r="C1850" s="1"/>
    </row>
    <row r="1851" spans="3:3">
      <c r="C1851" s="1"/>
    </row>
    <row r="1852" spans="3:3">
      <c r="C1852" s="1"/>
    </row>
    <row r="1853" spans="3:3">
      <c r="C1853" s="1"/>
    </row>
    <row r="1854" spans="3:3">
      <c r="C1854" s="1"/>
    </row>
    <row r="1855" spans="3:3">
      <c r="C1855" s="1"/>
    </row>
    <row r="1856" spans="3:3">
      <c r="C1856" s="1"/>
    </row>
    <row r="1857" spans="3:3">
      <c r="C1857" s="1"/>
    </row>
    <row r="1858" spans="3:3">
      <c r="C1858" s="1"/>
    </row>
    <row r="1859" spans="3:3">
      <c r="C1859" s="1"/>
    </row>
    <row r="1860" spans="3:3">
      <c r="C1860" s="1"/>
    </row>
    <row r="1861" spans="3:3">
      <c r="C1861" s="1"/>
    </row>
    <row r="1862" spans="3:3">
      <c r="C1862" s="1"/>
    </row>
    <row r="1863" spans="3:3">
      <c r="C1863" s="1"/>
    </row>
    <row r="1864" spans="3:3">
      <c r="C1864" s="1"/>
    </row>
    <row r="1865" spans="3:3">
      <c r="C1865" s="1"/>
    </row>
    <row r="1866" spans="3:3">
      <c r="C1866" s="1"/>
    </row>
    <row r="1867" spans="3:3">
      <c r="C1867" s="1"/>
    </row>
    <row r="1868" spans="3:3">
      <c r="C1868" s="1"/>
    </row>
    <row r="1869" spans="3:3">
      <c r="C1869" s="1"/>
    </row>
    <row r="1870" spans="3:3">
      <c r="C1870" s="1"/>
    </row>
    <row r="1871" spans="3:3">
      <c r="C1871" s="1"/>
    </row>
    <row r="1872" spans="3:3">
      <c r="C1872" s="1"/>
    </row>
    <row r="1873" spans="3:3">
      <c r="C1873" s="1"/>
    </row>
    <row r="1874" spans="3:3">
      <c r="C1874" s="1"/>
    </row>
    <row r="1875" spans="3:3">
      <c r="C1875" s="1"/>
    </row>
    <row r="1876" spans="3:3">
      <c r="C1876" s="1"/>
    </row>
    <row r="1877" spans="3:3">
      <c r="C1877" s="1"/>
    </row>
    <row r="1878" spans="3:3">
      <c r="C1878" s="1"/>
    </row>
    <row r="1879" spans="3:3">
      <c r="C1879" s="1"/>
    </row>
    <row r="1880" spans="3:3">
      <c r="C1880" s="1"/>
    </row>
    <row r="1881" spans="3:3">
      <c r="C1881" s="1"/>
    </row>
    <row r="1882" spans="3:3">
      <c r="C1882" s="1"/>
    </row>
    <row r="1883" spans="3:3">
      <c r="C1883" s="1"/>
    </row>
    <row r="1884" spans="3:3">
      <c r="C1884" s="1"/>
    </row>
    <row r="1885" spans="3:3">
      <c r="C1885" s="1"/>
    </row>
    <row r="1886" spans="3:3">
      <c r="C1886" s="1"/>
    </row>
    <row r="1887" spans="3:3">
      <c r="C1887" s="1"/>
    </row>
    <row r="1888" spans="3:3">
      <c r="C1888" s="1"/>
    </row>
    <row r="1889" spans="3:3">
      <c r="C1889" s="1"/>
    </row>
    <row r="1890" spans="3:3">
      <c r="C1890" s="1"/>
    </row>
    <row r="1891" spans="3:3">
      <c r="C1891" s="1"/>
    </row>
    <row r="1892" spans="3:3">
      <c r="C1892" s="1"/>
    </row>
    <row r="1893" spans="3:3">
      <c r="C1893" s="1"/>
    </row>
    <row r="1894" spans="3:3">
      <c r="C1894" s="1"/>
    </row>
    <row r="1895" spans="3:3">
      <c r="C1895" s="1"/>
    </row>
    <row r="1896" spans="3:3">
      <c r="C1896" s="1"/>
    </row>
    <row r="1897" spans="3:3">
      <c r="C1897" s="1"/>
    </row>
    <row r="1898" spans="3:3">
      <c r="C1898" s="1"/>
    </row>
    <row r="1899" spans="3:3">
      <c r="C1899" s="1"/>
    </row>
    <row r="1900" spans="3:3">
      <c r="C1900" s="1"/>
    </row>
    <row r="1901" spans="3:3">
      <c r="C1901" s="1"/>
    </row>
    <row r="1902" spans="3:3">
      <c r="C1902" s="1"/>
    </row>
    <row r="1903" spans="3:3">
      <c r="C1903" s="1"/>
    </row>
    <row r="1904" spans="3:3">
      <c r="C1904" s="1"/>
    </row>
    <row r="1905" spans="3:3">
      <c r="C1905" s="1"/>
    </row>
    <row r="1906" spans="3:3">
      <c r="C1906" s="1"/>
    </row>
    <row r="1907" spans="3:3">
      <c r="C1907" s="1"/>
    </row>
    <row r="1908" spans="3:3">
      <c r="C1908" s="1"/>
    </row>
    <row r="1909" spans="3:3">
      <c r="C1909" s="1"/>
    </row>
    <row r="1910" spans="3:3">
      <c r="C1910" s="1"/>
    </row>
    <row r="1911" spans="3:3">
      <c r="C1911" s="1"/>
    </row>
    <row r="1912" spans="3:3">
      <c r="C1912" s="1"/>
    </row>
    <row r="1913" spans="3:3">
      <c r="C1913" s="1"/>
    </row>
    <row r="1914" spans="3:3">
      <c r="C1914" s="1"/>
    </row>
    <row r="1915" spans="3:3">
      <c r="C1915" s="1"/>
    </row>
    <row r="1916" spans="3:3">
      <c r="C1916" s="1"/>
    </row>
    <row r="1917" spans="3:3">
      <c r="C1917" s="1"/>
    </row>
    <row r="1918" spans="3:3">
      <c r="C1918" s="1"/>
    </row>
    <row r="1919" spans="3:3">
      <c r="C1919" s="1"/>
    </row>
    <row r="1920" spans="3:3">
      <c r="C1920" s="1"/>
    </row>
    <row r="1921" spans="3:3">
      <c r="C1921" s="1"/>
    </row>
    <row r="1922" spans="3:3">
      <c r="C1922" s="1"/>
    </row>
    <row r="1923" spans="3:3">
      <c r="C1923" s="1"/>
    </row>
    <row r="1924" spans="3:3">
      <c r="C1924" s="1"/>
    </row>
    <row r="1925" spans="3:3">
      <c r="C1925" s="1"/>
    </row>
    <row r="1926" spans="3:3">
      <c r="C1926" s="1"/>
    </row>
    <row r="1927" spans="3:3">
      <c r="C1927" s="1"/>
    </row>
    <row r="1928" spans="3:3">
      <c r="C1928" s="1"/>
    </row>
    <row r="1929" spans="3:3">
      <c r="C1929" s="1"/>
    </row>
    <row r="1930" spans="3:3">
      <c r="C1930" s="1"/>
    </row>
    <row r="1931" spans="3:3">
      <c r="C1931" s="1"/>
    </row>
    <row r="1932" spans="3:3">
      <c r="C1932" s="1"/>
    </row>
    <row r="1933" spans="3:3">
      <c r="C1933" s="1"/>
    </row>
    <row r="1934" spans="3:3">
      <c r="C1934" s="1"/>
    </row>
    <row r="1935" spans="3:3">
      <c r="C1935" s="1"/>
    </row>
    <row r="1936" spans="3:3">
      <c r="C1936" s="1"/>
    </row>
    <row r="1937" spans="3:3">
      <c r="C1937" s="1"/>
    </row>
    <row r="1938" spans="3:3">
      <c r="C1938" s="1"/>
    </row>
    <row r="1939" spans="3:3">
      <c r="C1939" s="1"/>
    </row>
    <row r="1940" spans="3:3">
      <c r="C1940" s="1"/>
    </row>
    <row r="1941" spans="3:3">
      <c r="C1941" s="1"/>
    </row>
    <row r="1942" spans="3:3">
      <c r="C1942" s="1"/>
    </row>
    <row r="1943" spans="3:3">
      <c r="C1943" s="1"/>
    </row>
    <row r="1944" spans="3:3">
      <c r="C1944" s="1"/>
    </row>
    <row r="1945" spans="3:3">
      <c r="C1945" s="1"/>
    </row>
    <row r="1946" spans="3:3">
      <c r="C1946" s="1"/>
    </row>
    <row r="1947" spans="3:3">
      <c r="C1947" s="1"/>
    </row>
    <row r="1948" spans="3:3">
      <c r="C1948" s="1"/>
    </row>
    <row r="1949" spans="3:3">
      <c r="C1949" s="1"/>
    </row>
    <row r="1950" spans="3:3">
      <c r="C1950" s="1"/>
    </row>
    <row r="1951" spans="3:3">
      <c r="C1951" s="1"/>
    </row>
    <row r="1952" spans="3:3">
      <c r="C1952" s="1"/>
    </row>
    <row r="1953" spans="3:3">
      <c r="C1953" s="1"/>
    </row>
    <row r="1954" spans="3:3">
      <c r="C1954" s="1"/>
    </row>
    <row r="1955" spans="3:3">
      <c r="C1955" s="1"/>
    </row>
    <row r="1956" spans="3:3">
      <c r="C1956" s="1"/>
    </row>
    <row r="1957" spans="3:3">
      <c r="C1957" s="1"/>
    </row>
    <row r="1958" spans="3:3">
      <c r="C1958" s="1"/>
    </row>
    <row r="1959" spans="3:3">
      <c r="C1959" s="1"/>
    </row>
    <row r="1960" spans="3:3">
      <c r="C1960" s="1"/>
    </row>
    <row r="1961" spans="3:3">
      <c r="C1961" s="1"/>
    </row>
    <row r="1962" spans="3:3">
      <c r="C1962" s="1"/>
    </row>
    <row r="1963" spans="3:3">
      <c r="C1963" s="1"/>
    </row>
    <row r="1964" spans="3:3">
      <c r="C1964" s="1"/>
    </row>
    <row r="1965" spans="3:3">
      <c r="C1965" s="1"/>
    </row>
    <row r="1966" spans="3:3">
      <c r="C1966" s="1"/>
    </row>
    <row r="1967" spans="3:3">
      <c r="C1967" s="1"/>
    </row>
    <row r="1968" spans="3:3">
      <c r="C1968" s="1"/>
    </row>
    <row r="1969" spans="3:3">
      <c r="C1969" s="1"/>
    </row>
    <row r="1970" spans="3:3">
      <c r="C1970" s="1"/>
    </row>
    <row r="1971" spans="3:3">
      <c r="C1971" s="1"/>
    </row>
    <row r="1972" spans="3:3">
      <c r="C1972" s="1"/>
    </row>
    <row r="1973" spans="3:3">
      <c r="C1973" s="1"/>
    </row>
    <row r="1974" spans="3:3">
      <c r="C1974" s="1"/>
    </row>
    <row r="1975" spans="3:3">
      <c r="C1975" s="1"/>
    </row>
    <row r="1976" spans="3:3">
      <c r="C1976" s="1"/>
    </row>
    <row r="1977" spans="3:3">
      <c r="C1977" s="1"/>
    </row>
    <row r="1978" spans="3:3">
      <c r="C1978" s="1"/>
    </row>
    <row r="1979" spans="3:3">
      <c r="C1979" s="1"/>
    </row>
    <row r="1980" spans="3:3">
      <c r="C1980" s="1"/>
    </row>
    <row r="1981" spans="3:3">
      <c r="C1981" s="1"/>
    </row>
    <row r="1982" spans="3:3">
      <c r="C1982" s="1"/>
    </row>
    <row r="1983" spans="3:3">
      <c r="C1983" s="1"/>
    </row>
    <row r="1984" spans="3:3">
      <c r="C1984" s="1"/>
    </row>
    <row r="1985" spans="3:3">
      <c r="C1985" s="1"/>
    </row>
    <row r="1986" spans="3:3">
      <c r="C1986" s="1"/>
    </row>
    <row r="1987" spans="3:3">
      <c r="C1987" s="1"/>
    </row>
    <row r="1988" spans="3:3">
      <c r="C1988" s="1"/>
    </row>
    <row r="1989" spans="3:3">
      <c r="C1989" s="1"/>
    </row>
    <row r="1990" spans="3:3">
      <c r="C1990" s="1"/>
    </row>
    <row r="1991" spans="3:3">
      <c r="C1991" s="1"/>
    </row>
    <row r="1992" spans="3:3">
      <c r="C1992" s="1"/>
    </row>
    <row r="1993" spans="3:3">
      <c r="C1993" s="1"/>
    </row>
    <row r="1994" spans="3:3">
      <c r="C1994" s="1"/>
    </row>
    <row r="1995" spans="3:3">
      <c r="C1995" s="1"/>
    </row>
    <row r="1996" spans="3:3">
      <c r="C1996" s="1"/>
    </row>
    <row r="1997" spans="3:3">
      <c r="C1997" s="1"/>
    </row>
    <row r="1998" spans="3:3">
      <c r="C1998" s="1"/>
    </row>
    <row r="1999" spans="3:3">
      <c r="C1999" s="1"/>
    </row>
    <row r="2000" spans="3:3">
      <c r="C2000" s="1"/>
    </row>
    <row r="2001" spans="3:3">
      <c r="C2001" s="1"/>
    </row>
    <row r="2002" spans="3:3">
      <c r="C2002" s="1"/>
    </row>
    <row r="2003" spans="3:3">
      <c r="C2003" s="1"/>
    </row>
    <row r="2004" spans="3:3">
      <c r="C2004" s="1"/>
    </row>
    <row r="2005" spans="3:3">
      <c r="C2005" s="1"/>
    </row>
    <row r="2006" spans="3:3">
      <c r="C2006" s="1"/>
    </row>
    <row r="2007" spans="3:3">
      <c r="C2007" s="1"/>
    </row>
    <row r="2008" spans="3:3">
      <c r="C2008" s="1"/>
    </row>
    <row r="2009" spans="3:3">
      <c r="C2009" s="1"/>
    </row>
    <row r="2010" spans="3:3">
      <c r="C2010" s="1"/>
    </row>
    <row r="2011" spans="3:3">
      <c r="C2011" s="1"/>
    </row>
    <row r="2012" spans="3:3">
      <c r="C2012" s="1"/>
    </row>
    <row r="2013" spans="3:3">
      <c r="C2013" s="1"/>
    </row>
    <row r="2014" spans="3:3">
      <c r="C2014" s="1"/>
    </row>
    <row r="2015" spans="3:3">
      <c r="C2015" s="1"/>
    </row>
    <row r="2016" spans="3:3">
      <c r="C2016" s="1"/>
    </row>
    <row r="2017" spans="3:3">
      <c r="C2017" s="1"/>
    </row>
    <row r="2018" spans="3:3">
      <c r="C2018" s="1"/>
    </row>
    <row r="2019" spans="3:3">
      <c r="C2019" s="1"/>
    </row>
    <row r="2020" spans="3:3">
      <c r="C2020" s="1"/>
    </row>
    <row r="2021" spans="3:3">
      <c r="C2021" s="1"/>
    </row>
    <row r="2022" spans="3:3">
      <c r="C2022" s="1"/>
    </row>
    <row r="2023" spans="3:3">
      <c r="C2023" s="1"/>
    </row>
    <row r="2024" spans="3:3">
      <c r="C2024" s="1"/>
    </row>
    <row r="2025" spans="3:3">
      <c r="C2025" s="1"/>
    </row>
    <row r="2026" spans="3:3">
      <c r="C2026" s="1"/>
    </row>
    <row r="2027" spans="3:3">
      <c r="C2027" s="1"/>
    </row>
    <row r="2028" spans="3:3">
      <c r="C2028" s="1"/>
    </row>
    <row r="2029" spans="3:3">
      <c r="C2029" s="1"/>
    </row>
    <row r="2030" spans="3:3">
      <c r="C2030" s="1"/>
    </row>
    <row r="2031" spans="3:3">
      <c r="C2031" s="1"/>
    </row>
    <row r="2032" spans="3:3">
      <c r="C2032" s="1"/>
    </row>
    <row r="2033" spans="3:3">
      <c r="C2033" s="1"/>
    </row>
    <row r="2034" spans="3:3">
      <c r="C2034" s="1"/>
    </row>
    <row r="2035" spans="3:3">
      <c r="C2035" s="1"/>
    </row>
    <row r="2036" spans="3:3">
      <c r="C2036" s="1"/>
    </row>
    <row r="2037" spans="3:3">
      <c r="C2037" s="1"/>
    </row>
    <row r="2038" spans="3:3">
      <c r="C2038" s="1"/>
    </row>
    <row r="2039" spans="3:3">
      <c r="C2039" s="1"/>
    </row>
    <row r="2040" spans="3:3">
      <c r="C2040" s="1"/>
    </row>
    <row r="2041" spans="3:3">
      <c r="C2041" s="1"/>
    </row>
    <row r="2042" spans="3:3">
      <c r="C2042" s="1"/>
    </row>
    <row r="2043" spans="3:3">
      <c r="C2043" s="1"/>
    </row>
    <row r="2044" spans="3:3">
      <c r="C2044" s="1"/>
    </row>
    <row r="2045" spans="3:3">
      <c r="C2045" s="1"/>
    </row>
    <row r="2046" spans="3:3">
      <c r="C2046" s="1"/>
    </row>
    <row r="2047" spans="3:3">
      <c r="C2047" s="1"/>
    </row>
    <row r="2048" spans="3:3">
      <c r="C2048" s="1"/>
    </row>
    <row r="2049" spans="3:3">
      <c r="C2049" s="1"/>
    </row>
    <row r="2050" spans="3:3">
      <c r="C2050" s="1"/>
    </row>
    <row r="2051" spans="3:3">
      <c r="C2051" s="1"/>
    </row>
    <row r="2052" spans="3:3">
      <c r="C2052" s="1"/>
    </row>
    <row r="2053" spans="3:3">
      <c r="C2053" s="1"/>
    </row>
    <row r="2054" spans="3:3">
      <c r="C2054" s="1"/>
    </row>
    <row r="2055" spans="3:3">
      <c r="C2055" s="1"/>
    </row>
    <row r="2056" spans="3:3">
      <c r="C2056" s="1"/>
    </row>
    <row r="2057" spans="3:3">
      <c r="C2057" s="1"/>
    </row>
    <row r="2058" spans="3:3">
      <c r="C2058" s="1"/>
    </row>
    <row r="2059" spans="3:3">
      <c r="C2059" s="1"/>
    </row>
    <row r="2060" spans="3:3">
      <c r="C2060" s="1"/>
    </row>
    <row r="2061" spans="3:3">
      <c r="C2061" s="1"/>
    </row>
    <row r="2062" spans="3:3">
      <c r="C2062" s="1"/>
    </row>
    <row r="2063" spans="3:3">
      <c r="C2063" s="1"/>
    </row>
    <row r="2064" spans="3:3">
      <c r="C2064" s="1"/>
    </row>
    <row r="2065" spans="3:3">
      <c r="C2065" s="1"/>
    </row>
    <row r="2066" spans="3:3">
      <c r="C2066" s="1"/>
    </row>
    <row r="2067" spans="3:3">
      <c r="C2067" s="1"/>
    </row>
    <row r="2068" spans="3:3">
      <c r="C2068" s="1"/>
    </row>
    <row r="2069" spans="3:3">
      <c r="C2069" s="1"/>
    </row>
    <row r="2070" spans="3:3">
      <c r="C2070" s="1"/>
    </row>
    <row r="2071" spans="3:3">
      <c r="C2071" s="1"/>
    </row>
    <row r="2072" spans="3:3">
      <c r="C2072" s="1"/>
    </row>
    <row r="2073" spans="3:3">
      <c r="C2073" s="1"/>
    </row>
    <row r="2074" spans="3:3">
      <c r="C2074" s="1"/>
    </row>
    <row r="2075" spans="3:3">
      <c r="C2075" s="1"/>
    </row>
    <row r="2076" spans="3:3">
      <c r="C2076" s="1"/>
    </row>
    <row r="2077" spans="3:3">
      <c r="C2077" s="1"/>
    </row>
    <row r="2078" spans="3:3">
      <c r="C2078" s="1"/>
    </row>
    <row r="2079" spans="3:3">
      <c r="C2079" s="1"/>
    </row>
    <row r="2080" spans="3:3">
      <c r="C2080" s="1"/>
    </row>
    <row r="2081" spans="3:3">
      <c r="C2081" s="1"/>
    </row>
    <row r="2082" spans="3:3">
      <c r="C2082" s="1"/>
    </row>
    <row r="2083" spans="3:3">
      <c r="C2083" s="1"/>
    </row>
    <row r="2084" spans="3:3">
      <c r="C2084" s="1"/>
    </row>
    <row r="2085" spans="3:3">
      <c r="C2085" s="1"/>
    </row>
    <row r="2086" spans="3:3">
      <c r="C2086" s="1"/>
    </row>
    <row r="2087" spans="3:3">
      <c r="C2087" s="1"/>
    </row>
    <row r="2088" spans="3:3">
      <c r="C2088" s="1"/>
    </row>
    <row r="2089" spans="3:3">
      <c r="C2089" s="1"/>
    </row>
    <row r="2090" spans="3:3">
      <c r="C2090" s="1"/>
    </row>
    <row r="2091" spans="3:3">
      <c r="C2091" s="1"/>
    </row>
    <row r="2092" spans="3:3">
      <c r="C2092" s="1"/>
    </row>
    <row r="2093" spans="3:3">
      <c r="C2093" s="1"/>
    </row>
    <row r="2094" spans="3:3">
      <c r="C2094" s="1"/>
    </row>
    <row r="2095" spans="3:3">
      <c r="C2095" s="1"/>
    </row>
    <row r="2096" spans="3:3">
      <c r="C2096" s="1"/>
    </row>
    <row r="2097" spans="3:3">
      <c r="C2097" s="1"/>
    </row>
    <row r="2098" spans="3:3">
      <c r="C2098" s="1"/>
    </row>
    <row r="2099" spans="3:3">
      <c r="C2099" s="1"/>
    </row>
    <row r="2100" spans="3:3">
      <c r="C2100" s="1"/>
    </row>
    <row r="2101" spans="3:3">
      <c r="C2101" s="1"/>
    </row>
    <row r="2102" spans="3:3">
      <c r="C2102" s="1"/>
    </row>
    <row r="2103" spans="3:3">
      <c r="C2103" s="1"/>
    </row>
    <row r="2104" spans="3:3">
      <c r="C2104" s="1"/>
    </row>
    <row r="2105" spans="3:3">
      <c r="C2105" s="1"/>
    </row>
    <row r="2106" spans="3:3">
      <c r="C2106" s="1"/>
    </row>
    <row r="2107" spans="3:3">
      <c r="C2107" s="1"/>
    </row>
    <row r="2108" spans="3:3">
      <c r="C2108" s="1"/>
    </row>
    <row r="2109" spans="3:3">
      <c r="C2109" s="1"/>
    </row>
    <row r="2110" spans="3:3">
      <c r="C2110" s="1"/>
    </row>
    <row r="2111" spans="3:3">
      <c r="C2111" s="1"/>
    </row>
    <row r="2112" spans="3:3">
      <c r="C2112" s="1"/>
    </row>
    <row r="2113" spans="3:3">
      <c r="C2113" s="1"/>
    </row>
    <row r="2114" spans="3:3">
      <c r="C2114" s="1"/>
    </row>
    <row r="2115" spans="3:3">
      <c r="C2115" s="1"/>
    </row>
    <row r="2116" spans="3:3">
      <c r="C2116" s="1"/>
    </row>
    <row r="2117" spans="3:3">
      <c r="C2117" s="1"/>
    </row>
    <row r="2118" spans="3:3">
      <c r="C2118" s="1"/>
    </row>
    <row r="2119" spans="3:3">
      <c r="C2119" s="1"/>
    </row>
    <row r="2120" spans="3:3">
      <c r="C2120" s="1"/>
    </row>
    <row r="2121" spans="3:3">
      <c r="C2121" s="1"/>
    </row>
    <row r="2122" spans="3:3">
      <c r="C2122" s="1"/>
    </row>
    <row r="2123" spans="3:3">
      <c r="C2123" s="1"/>
    </row>
    <row r="2124" spans="3:3">
      <c r="C2124" s="1"/>
    </row>
    <row r="2125" spans="3:3">
      <c r="C2125" s="1"/>
    </row>
    <row r="2126" spans="3:3">
      <c r="C2126" s="1"/>
    </row>
    <row r="2127" spans="3:3">
      <c r="C2127" s="1"/>
    </row>
    <row r="2128" spans="3:3">
      <c r="C2128" s="1"/>
    </row>
    <row r="2129" spans="3:3">
      <c r="C2129" s="1"/>
    </row>
    <row r="2130" spans="3:3">
      <c r="C2130" s="1"/>
    </row>
    <row r="2131" spans="3:3">
      <c r="C2131" s="1"/>
    </row>
    <row r="2132" spans="3:3">
      <c r="C2132" s="1"/>
    </row>
    <row r="2133" spans="3:3">
      <c r="C2133" s="1"/>
    </row>
    <row r="2134" spans="3:3">
      <c r="C2134" s="1"/>
    </row>
    <row r="2135" spans="3:3">
      <c r="C2135" s="1"/>
    </row>
    <row r="2136" spans="3:3">
      <c r="C2136" s="1"/>
    </row>
    <row r="2137" spans="3:3">
      <c r="C2137" s="1"/>
    </row>
    <row r="2138" spans="3:3">
      <c r="C2138" s="1"/>
    </row>
    <row r="2139" spans="3:3">
      <c r="C2139" s="1"/>
    </row>
    <row r="2140" spans="3:3">
      <c r="C2140" s="1"/>
    </row>
    <row r="2141" spans="3:3">
      <c r="C2141" s="1"/>
    </row>
    <row r="2142" spans="3:3">
      <c r="C2142" s="1"/>
    </row>
    <row r="2143" spans="3:3">
      <c r="C2143" s="1"/>
    </row>
    <row r="2144" spans="3:3">
      <c r="C2144" s="1"/>
    </row>
    <row r="2145" spans="3:3">
      <c r="C2145" s="1"/>
    </row>
    <row r="2146" spans="3:3">
      <c r="C2146" s="1"/>
    </row>
    <row r="2147" spans="3:3">
      <c r="C2147" s="1"/>
    </row>
    <row r="2148" spans="3:3">
      <c r="C2148" s="1"/>
    </row>
    <row r="2149" spans="3:3">
      <c r="C2149" s="1"/>
    </row>
    <row r="2150" spans="3:3">
      <c r="C2150" s="1"/>
    </row>
    <row r="2151" spans="3:3">
      <c r="C2151" s="1"/>
    </row>
    <row r="2152" spans="3:3">
      <c r="C2152" s="1"/>
    </row>
    <row r="2153" spans="3:3">
      <c r="C2153" s="1"/>
    </row>
    <row r="2154" spans="3:3">
      <c r="C2154" s="1"/>
    </row>
    <row r="2155" spans="3:3">
      <c r="C2155" s="1"/>
    </row>
    <row r="2156" spans="3:3">
      <c r="C2156" s="1"/>
    </row>
    <row r="2157" spans="3:3">
      <c r="C2157" s="1"/>
    </row>
    <row r="2158" spans="3:3">
      <c r="C2158" s="1"/>
    </row>
    <row r="2159" spans="3:3">
      <c r="C2159" s="1"/>
    </row>
    <row r="2160" spans="3:3">
      <c r="C2160" s="1"/>
    </row>
    <row r="2161" spans="3:3">
      <c r="C2161" s="1"/>
    </row>
    <row r="2162" spans="3:3">
      <c r="C2162" s="1"/>
    </row>
    <row r="2163" spans="3:3">
      <c r="C2163" s="1"/>
    </row>
    <row r="2164" spans="3:3">
      <c r="C2164" s="1"/>
    </row>
    <row r="2165" spans="3:3">
      <c r="C2165" s="1"/>
    </row>
    <row r="2166" spans="3:3">
      <c r="C2166" s="1"/>
    </row>
    <row r="2167" spans="3:3">
      <c r="C2167" s="1"/>
    </row>
    <row r="2168" spans="3:3">
      <c r="C2168" s="1"/>
    </row>
    <row r="2169" spans="3:3">
      <c r="C2169" s="1"/>
    </row>
    <row r="2170" spans="3:3">
      <c r="C2170" s="1"/>
    </row>
    <row r="2171" spans="3:3">
      <c r="C2171" s="1"/>
    </row>
    <row r="2172" spans="3:3">
      <c r="C2172" s="1"/>
    </row>
    <row r="2173" spans="3:3">
      <c r="C2173" s="1"/>
    </row>
    <row r="2174" spans="3:3">
      <c r="C2174" s="1"/>
    </row>
    <row r="2175" spans="3:3">
      <c r="C2175" s="1"/>
    </row>
    <row r="2176" spans="3:3">
      <c r="C2176" s="1"/>
    </row>
    <row r="2177" spans="3:3">
      <c r="C2177" s="1"/>
    </row>
    <row r="2178" spans="3:3">
      <c r="C2178" s="1"/>
    </row>
    <row r="2179" spans="3:3">
      <c r="C2179" s="1"/>
    </row>
    <row r="2180" spans="3:3">
      <c r="C2180" s="1"/>
    </row>
    <row r="2181" spans="3:3">
      <c r="C2181" s="1"/>
    </row>
    <row r="2182" spans="3:3">
      <c r="C2182" s="1"/>
    </row>
    <row r="2183" spans="3:3">
      <c r="C2183" s="1"/>
    </row>
    <row r="2184" spans="3:3">
      <c r="C2184" s="1"/>
    </row>
    <row r="2185" spans="3:3">
      <c r="C2185" s="1"/>
    </row>
    <row r="2186" spans="3:3">
      <c r="C2186" s="1"/>
    </row>
    <row r="2187" spans="3:3">
      <c r="C2187" s="1"/>
    </row>
    <row r="2188" spans="3:3">
      <c r="C2188" s="1"/>
    </row>
    <row r="2189" spans="3:3">
      <c r="C2189" s="1"/>
    </row>
    <row r="2190" spans="3:3">
      <c r="C2190" s="1"/>
    </row>
    <row r="2191" spans="3:3">
      <c r="C2191" s="1"/>
    </row>
    <row r="2192" spans="3:3">
      <c r="C2192" s="1"/>
    </row>
    <row r="2193" spans="3:3">
      <c r="C2193" s="1"/>
    </row>
    <row r="2194" spans="3:3">
      <c r="C2194" s="1"/>
    </row>
    <row r="2195" spans="3:3">
      <c r="C2195" s="1"/>
    </row>
    <row r="2196" spans="3:3">
      <c r="C2196" s="1"/>
    </row>
    <row r="2197" spans="3:3">
      <c r="C2197" s="1"/>
    </row>
    <row r="2198" spans="3:3">
      <c r="C2198" s="1"/>
    </row>
    <row r="2199" spans="3:3">
      <c r="C2199" s="1"/>
    </row>
    <row r="2200" spans="3:3">
      <c r="C2200" s="1"/>
    </row>
    <row r="2201" spans="3:3">
      <c r="C2201" s="1"/>
    </row>
    <row r="2202" spans="3:3">
      <c r="C2202" s="1"/>
    </row>
    <row r="2203" spans="3:3">
      <c r="C2203" s="1"/>
    </row>
    <row r="2204" spans="3:3">
      <c r="C2204" s="1"/>
    </row>
    <row r="2205" spans="3:3">
      <c r="C2205" s="1"/>
    </row>
    <row r="2206" spans="3:3">
      <c r="C2206" s="1"/>
    </row>
    <row r="2207" spans="3:3">
      <c r="C2207" s="1"/>
    </row>
    <row r="2208" spans="3:3">
      <c r="C2208" s="1"/>
    </row>
    <row r="2209" spans="3:3">
      <c r="C2209" s="1"/>
    </row>
    <row r="2210" spans="3:3">
      <c r="C2210" s="1"/>
    </row>
    <row r="2211" spans="3:3">
      <c r="C2211" s="1"/>
    </row>
    <row r="2212" spans="3:3">
      <c r="C2212" s="1"/>
    </row>
    <row r="2213" spans="3:3">
      <c r="C2213" s="1"/>
    </row>
    <row r="2214" spans="3:3">
      <c r="C2214" s="1"/>
    </row>
    <row r="2215" spans="3:3">
      <c r="C2215" s="1"/>
    </row>
    <row r="2216" spans="3:3">
      <c r="C2216" s="1"/>
    </row>
    <row r="2217" spans="3:3">
      <c r="C2217" s="1"/>
    </row>
    <row r="2218" spans="3:3">
      <c r="C2218" s="1"/>
    </row>
    <row r="2219" spans="3:3">
      <c r="C2219" s="1"/>
    </row>
    <row r="2220" spans="3:3">
      <c r="C2220" s="1"/>
    </row>
    <row r="2221" spans="3:3">
      <c r="C2221" s="1"/>
    </row>
    <row r="2222" spans="3:3">
      <c r="C2222" s="1"/>
    </row>
    <row r="2223" spans="3:3">
      <c r="C2223" s="1"/>
    </row>
    <row r="2224" spans="3:3">
      <c r="C2224" s="1"/>
    </row>
    <row r="2225" spans="3:3">
      <c r="C2225" s="1"/>
    </row>
    <row r="2226" spans="3:3">
      <c r="C2226" s="1"/>
    </row>
    <row r="2227" spans="3:3">
      <c r="C2227" s="1"/>
    </row>
    <row r="2228" spans="3:3">
      <c r="C2228" s="1"/>
    </row>
    <row r="2229" spans="3:3">
      <c r="C2229" s="1"/>
    </row>
    <row r="2230" spans="3:3">
      <c r="C2230" s="1"/>
    </row>
    <row r="2231" spans="3:3">
      <c r="C2231" s="1"/>
    </row>
    <row r="2232" spans="3:3">
      <c r="C2232" s="1"/>
    </row>
    <row r="2233" spans="3:3">
      <c r="C2233" s="1"/>
    </row>
    <row r="2234" spans="3:3">
      <c r="C2234" s="1"/>
    </row>
    <row r="2235" spans="3:3">
      <c r="C2235" s="1"/>
    </row>
    <row r="2236" spans="3:3">
      <c r="C2236" s="1"/>
    </row>
    <row r="2237" spans="3:3">
      <c r="C2237" s="1"/>
    </row>
    <row r="2238" spans="3:3">
      <c r="C2238" s="1"/>
    </row>
    <row r="2239" spans="3:3">
      <c r="C2239" s="1"/>
    </row>
    <row r="2240" spans="3:3">
      <c r="C2240" s="1"/>
    </row>
    <row r="2241" spans="3:3">
      <c r="C2241" s="1"/>
    </row>
    <row r="2242" spans="3:3">
      <c r="C2242" s="1"/>
    </row>
    <row r="2243" spans="3:3">
      <c r="C2243" s="1"/>
    </row>
    <row r="2244" spans="3:3">
      <c r="C2244" s="1"/>
    </row>
    <row r="2245" spans="3:3">
      <c r="C2245" s="1"/>
    </row>
    <row r="2246" spans="3:3">
      <c r="C2246" s="1"/>
    </row>
    <row r="2247" spans="3:3">
      <c r="C2247" s="1"/>
    </row>
    <row r="2248" spans="3:3">
      <c r="C2248" s="1"/>
    </row>
    <row r="2249" spans="3:3">
      <c r="C2249" s="1"/>
    </row>
    <row r="2250" spans="3:3">
      <c r="C2250" s="1"/>
    </row>
    <row r="2251" spans="3:3">
      <c r="C2251" s="1"/>
    </row>
    <row r="2252" spans="3:3">
      <c r="C2252" s="1"/>
    </row>
    <row r="2253" spans="3:3">
      <c r="C2253" s="1"/>
    </row>
    <row r="2254" spans="3:3">
      <c r="C2254" s="1"/>
    </row>
    <row r="2255" spans="3:3">
      <c r="C2255" s="1"/>
    </row>
    <row r="2256" spans="3:3">
      <c r="C2256" s="1"/>
    </row>
    <row r="2257" spans="3:3">
      <c r="C2257" s="1"/>
    </row>
    <row r="2258" spans="3:3">
      <c r="C2258" s="1"/>
    </row>
    <row r="2259" spans="3:3">
      <c r="C2259" s="1"/>
    </row>
    <row r="2260" spans="3:3">
      <c r="C2260" s="1"/>
    </row>
    <row r="2261" spans="3:3">
      <c r="C2261" s="1"/>
    </row>
    <row r="2262" spans="3:3">
      <c r="C2262" s="1"/>
    </row>
    <row r="2263" spans="3:3">
      <c r="C2263" s="1"/>
    </row>
    <row r="2264" spans="3:3">
      <c r="C2264" s="1"/>
    </row>
    <row r="2265" spans="3:3">
      <c r="C2265" s="1"/>
    </row>
    <row r="2266" spans="3:3">
      <c r="C2266" s="1"/>
    </row>
    <row r="2267" spans="3:3">
      <c r="C2267" s="1"/>
    </row>
    <row r="2268" spans="3:3">
      <c r="C2268" s="1"/>
    </row>
    <row r="2269" spans="3:3">
      <c r="C2269" s="1"/>
    </row>
    <row r="2270" spans="3:3">
      <c r="C2270" s="1"/>
    </row>
    <row r="2271" spans="3:3">
      <c r="C2271" s="1"/>
    </row>
    <row r="2272" spans="3:3">
      <c r="C2272" s="1"/>
    </row>
    <row r="2273" spans="3:3">
      <c r="C2273" s="1"/>
    </row>
    <row r="2274" spans="3:3">
      <c r="C2274" s="1"/>
    </row>
    <row r="2275" spans="3:3">
      <c r="C2275" s="1"/>
    </row>
    <row r="2276" spans="3:3">
      <c r="C2276" s="1"/>
    </row>
    <row r="2277" spans="3:3">
      <c r="C2277" s="1"/>
    </row>
    <row r="2278" spans="3:3">
      <c r="C2278" s="1"/>
    </row>
    <row r="2279" spans="3:3">
      <c r="C2279" s="1"/>
    </row>
    <row r="2280" spans="3:3">
      <c r="C2280" s="1"/>
    </row>
    <row r="2281" spans="3:3">
      <c r="C2281" s="1"/>
    </row>
    <row r="2282" spans="3:3">
      <c r="C2282" s="1"/>
    </row>
    <row r="2283" spans="3:3">
      <c r="C2283" s="1"/>
    </row>
    <row r="2284" spans="3:3">
      <c r="C2284" s="1"/>
    </row>
    <row r="2285" spans="3:3">
      <c r="C2285" s="1"/>
    </row>
    <row r="2286" spans="3:3">
      <c r="C2286" s="1"/>
    </row>
    <row r="2287" spans="3:3">
      <c r="C2287" s="1"/>
    </row>
    <row r="2288" spans="3:3">
      <c r="C2288" s="1"/>
    </row>
    <row r="2289" spans="3:3">
      <c r="C2289" s="1"/>
    </row>
    <row r="2290" spans="3:3">
      <c r="C2290" s="1"/>
    </row>
    <row r="2291" spans="3:3">
      <c r="C2291" s="1"/>
    </row>
    <row r="2292" spans="3:3">
      <c r="C2292" s="1"/>
    </row>
    <row r="2293" spans="3:3">
      <c r="C2293" s="1"/>
    </row>
    <row r="2294" spans="3:3">
      <c r="C2294" s="1"/>
    </row>
    <row r="2295" spans="3:3">
      <c r="C2295" s="1"/>
    </row>
    <row r="2296" spans="3:3">
      <c r="C2296" s="1"/>
    </row>
    <row r="2297" spans="3:3">
      <c r="C2297" s="1"/>
    </row>
    <row r="2298" spans="3:3">
      <c r="C2298" s="1"/>
    </row>
    <row r="2299" spans="3:3">
      <c r="C2299" s="1"/>
    </row>
    <row r="2300" spans="3:3">
      <c r="C2300" s="1"/>
    </row>
    <row r="2301" spans="3:3">
      <c r="C2301" s="1"/>
    </row>
    <row r="2302" spans="3:3">
      <c r="C2302" s="1"/>
    </row>
    <row r="2303" spans="3:3">
      <c r="C2303" s="1"/>
    </row>
    <row r="2304" spans="3:3">
      <c r="C2304" s="1"/>
    </row>
    <row r="2305" spans="3:3">
      <c r="C2305" s="1"/>
    </row>
    <row r="2306" spans="3:3">
      <c r="C2306" s="1"/>
    </row>
    <row r="2307" spans="3:3">
      <c r="C2307" s="1"/>
    </row>
    <row r="2308" spans="3:3">
      <c r="C2308" s="1"/>
    </row>
    <row r="2309" spans="3:3">
      <c r="C2309" s="1"/>
    </row>
    <row r="2310" spans="3:3">
      <c r="C2310" s="1"/>
    </row>
    <row r="2311" spans="3:3">
      <c r="C2311" s="1"/>
    </row>
    <row r="2312" spans="3:3">
      <c r="C2312" s="1"/>
    </row>
    <row r="2313" spans="3:3">
      <c r="C2313" s="1"/>
    </row>
    <row r="2314" spans="3:3">
      <c r="C2314" s="1"/>
    </row>
    <row r="2315" spans="3:3">
      <c r="C2315" s="1"/>
    </row>
    <row r="2316" spans="3:3">
      <c r="C2316" s="1"/>
    </row>
    <row r="2317" spans="3:3">
      <c r="C2317" s="1"/>
    </row>
    <row r="2318" spans="3:3">
      <c r="C2318" s="1"/>
    </row>
    <row r="2319" spans="3:3">
      <c r="C2319" s="1"/>
    </row>
    <row r="2320" spans="3:3">
      <c r="C2320" s="1"/>
    </row>
    <row r="2321" spans="3:3">
      <c r="C2321" s="1"/>
    </row>
    <row r="2322" spans="3:3">
      <c r="C2322" s="1"/>
    </row>
    <row r="2323" spans="3:3">
      <c r="C2323" s="1"/>
    </row>
    <row r="2324" spans="3:3">
      <c r="C2324" s="1"/>
    </row>
    <row r="2325" spans="3:3">
      <c r="C2325" s="1"/>
    </row>
    <row r="2326" spans="3:3">
      <c r="C2326" s="1"/>
    </row>
    <row r="2327" spans="3:3">
      <c r="C2327" s="1"/>
    </row>
    <row r="2328" spans="3:3">
      <c r="C2328" s="1"/>
    </row>
    <row r="2329" spans="3:3">
      <c r="C2329" s="1"/>
    </row>
    <row r="2330" spans="3:3">
      <c r="C2330" s="1"/>
    </row>
    <row r="2331" spans="3:3">
      <c r="C2331" s="1"/>
    </row>
    <row r="2332" spans="3:3">
      <c r="C2332" s="1"/>
    </row>
    <row r="2333" spans="3:3">
      <c r="C2333" s="1"/>
    </row>
    <row r="2334" spans="3:3">
      <c r="C2334" s="1"/>
    </row>
    <row r="2335" spans="3:3">
      <c r="C2335" s="1"/>
    </row>
    <row r="2336" spans="3:3">
      <c r="C2336" s="1"/>
    </row>
    <row r="2337" spans="3:3">
      <c r="C2337" s="1"/>
    </row>
    <row r="2338" spans="3:3">
      <c r="C2338" s="1"/>
    </row>
    <row r="2339" spans="3:3">
      <c r="C2339" s="1"/>
    </row>
    <row r="2340" spans="3:3">
      <c r="C2340" s="1"/>
    </row>
    <row r="2341" spans="3:3">
      <c r="C2341" s="1"/>
    </row>
    <row r="2342" spans="3:3">
      <c r="C2342" s="1"/>
    </row>
    <row r="2343" spans="3:3">
      <c r="C2343" s="1"/>
    </row>
    <row r="2344" spans="3:3">
      <c r="C2344" s="1"/>
    </row>
    <row r="2345" spans="3:3">
      <c r="C2345" s="1"/>
    </row>
    <row r="2346" spans="3:3">
      <c r="C2346" s="1"/>
    </row>
    <row r="2347" spans="3:3">
      <c r="C2347" s="1"/>
    </row>
    <row r="2348" spans="3:3">
      <c r="C2348" s="1"/>
    </row>
    <row r="2349" spans="3:3">
      <c r="C2349" s="1"/>
    </row>
    <row r="2350" spans="3:3">
      <c r="C2350" s="1"/>
    </row>
    <row r="2351" spans="3:3">
      <c r="C2351" s="1"/>
    </row>
    <row r="2352" spans="3:3">
      <c r="C2352" s="1"/>
    </row>
    <row r="2353" spans="3:3">
      <c r="C2353" s="1"/>
    </row>
    <row r="2354" spans="3:3">
      <c r="C2354" s="1"/>
    </row>
    <row r="2355" spans="3:3">
      <c r="C2355" s="1"/>
    </row>
    <row r="2356" spans="3:3">
      <c r="C2356" s="1"/>
    </row>
    <row r="2357" spans="3:3">
      <c r="C2357" s="1"/>
    </row>
    <row r="2358" spans="3:3">
      <c r="C2358" s="1"/>
    </row>
    <row r="2359" spans="3:3">
      <c r="C2359" s="1"/>
    </row>
    <row r="2360" spans="3:3">
      <c r="C2360" s="1"/>
    </row>
    <row r="2361" spans="3:3">
      <c r="C2361" s="1"/>
    </row>
    <row r="2362" spans="3:3">
      <c r="C2362" s="1"/>
    </row>
    <row r="2363" spans="3:3">
      <c r="C2363" s="1"/>
    </row>
    <row r="2364" spans="3:3">
      <c r="C2364" s="1"/>
    </row>
    <row r="2365" spans="3:3">
      <c r="C2365" s="1"/>
    </row>
    <row r="2366" spans="3:3">
      <c r="C2366" s="1"/>
    </row>
    <row r="2367" spans="3:3">
      <c r="C2367" s="1"/>
    </row>
    <row r="2368" spans="3:3">
      <c r="C2368" s="1"/>
    </row>
    <row r="2369" spans="3:3">
      <c r="C2369" s="1"/>
    </row>
    <row r="2370" spans="3:3">
      <c r="C2370" s="1"/>
    </row>
    <row r="2371" spans="3:3">
      <c r="C2371" s="1"/>
    </row>
    <row r="2372" spans="3:3">
      <c r="C2372" s="1"/>
    </row>
    <row r="2373" spans="3:3">
      <c r="C2373" s="1"/>
    </row>
    <row r="2374" spans="3:3">
      <c r="C2374" s="1"/>
    </row>
    <row r="2375" spans="3:3">
      <c r="C2375" s="1"/>
    </row>
    <row r="2376" spans="3:3">
      <c r="C2376" s="1"/>
    </row>
    <row r="2377" spans="3:3">
      <c r="C2377" s="1"/>
    </row>
    <row r="2378" spans="3:3">
      <c r="C2378" s="1"/>
    </row>
    <row r="2379" spans="3:3">
      <c r="C2379" s="1"/>
    </row>
    <row r="2380" spans="3:3">
      <c r="C2380" s="1"/>
    </row>
    <row r="2381" spans="3:3">
      <c r="C2381" s="1"/>
    </row>
    <row r="2382" spans="3:3">
      <c r="C2382" s="1"/>
    </row>
    <row r="2383" spans="3:3">
      <c r="C2383" s="1"/>
    </row>
    <row r="2384" spans="3:3">
      <c r="C2384" s="1"/>
    </row>
    <row r="2385" spans="3:3">
      <c r="C2385" s="1"/>
    </row>
    <row r="2386" spans="3:3">
      <c r="C2386" s="1"/>
    </row>
    <row r="2387" spans="3:3">
      <c r="C2387" s="1"/>
    </row>
    <row r="2388" spans="3:3">
      <c r="C2388" s="1"/>
    </row>
    <row r="2389" spans="3:3">
      <c r="C2389" s="1"/>
    </row>
    <row r="2390" spans="3:3">
      <c r="C2390" s="1"/>
    </row>
    <row r="2391" spans="3:3">
      <c r="C2391" s="1"/>
    </row>
    <row r="2392" spans="3:3">
      <c r="C2392" s="1"/>
    </row>
    <row r="2393" spans="3:3">
      <c r="C2393" s="1"/>
    </row>
    <row r="2394" spans="3:3">
      <c r="C2394" s="1"/>
    </row>
    <row r="2395" spans="3:3">
      <c r="C2395" s="1"/>
    </row>
    <row r="2396" spans="3:3">
      <c r="C2396" s="1"/>
    </row>
    <row r="2397" spans="3:3">
      <c r="C2397" s="1"/>
    </row>
    <row r="2398" spans="3:3">
      <c r="C2398" s="1"/>
    </row>
    <row r="2399" spans="3:3">
      <c r="C2399" s="1"/>
    </row>
    <row r="2400" spans="3:3">
      <c r="C2400" s="1"/>
    </row>
    <row r="2401" spans="3:3">
      <c r="C2401" s="1"/>
    </row>
    <row r="2402" spans="3:3">
      <c r="C2402" s="1"/>
    </row>
    <row r="2403" spans="3:3">
      <c r="C2403" s="1"/>
    </row>
    <row r="2404" spans="3:3">
      <c r="C2404" s="1"/>
    </row>
    <row r="2405" spans="3:3">
      <c r="C2405" s="1"/>
    </row>
    <row r="2406" spans="3:3">
      <c r="C2406" s="1"/>
    </row>
    <row r="2407" spans="3:3">
      <c r="C2407" s="1"/>
    </row>
    <row r="2408" spans="3:3">
      <c r="C2408" s="1"/>
    </row>
    <row r="2409" spans="3:3">
      <c r="C2409" s="1"/>
    </row>
    <row r="2410" spans="3:3">
      <c r="C2410" s="1"/>
    </row>
    <row r="2411" spans="3:3">
      <c r="C2411" s="1"/>
    </row>
    <row r="2412" spans="3:3">
      <c r="C2412" s="1"/>
    </row>
    <row r="2413" spans="3:3">
      <c r="C2413" s="1"/>
    </row>
    <row r="2414" spans="3:3">
      <c r="C2414" s="1"/>
    </row>
    <row r="2415" spans="3:3">
      <c r="C2415" s="1"/>
    </row>
    <row r="2416" spans="3:3">
      <c r="C2416" s="1"/>
    </row>
    <row r="2417" spans="3:3">
      <c r="C2417" s="1"/>
    </row>
    <row r="2418" spans="3:3">
      <c r="C2418" s="1"/>
    </row>
    <row r="2419" spans="3:3">
      <c r="C2419" s="1"/>
    </row>
    <row r="2420" spans="3:3">
      <c r="C2420" s="1"/>
    </row>
    <row r="2421" spans="3:3">
      <c r="C2421" s="1"/>
    </row>
    <row r="2422" spans="3:3">
      <c r="C2422" s="1"/>
    </row>
    <row r="2423" spans="3:3">
      <c r="C2423" s="1"/>
    </row>
    <row r="2424" spans="3:3">
      <c r="C2424" s="1"/>
    </row>
    <row r="2425" spans="3:3">
      <c r="C2425" s="1"/>
    </row>
    <row r="2426" spans="3:3">
      <c r="C2426" s="1"/>
    </row>
    <row r="2427" spans="3:3">
      <c r="C2427" s="1"/>
    </row>
    <row r="2428" spans="3:3">
      <c r="C2428" s="1"/>
    </row>
    <row r="2429" spans="3:3">
      <c r="C2429" s="1"/>
    </row>
    <row r="2430" spans="3:3">
      <c r="C2430" s="1"/>
    </row>
    <row r="2431" spans="3:3">
      <c r="C2431" s="1"/>
    </row>
    <row r="2432" spans="3:3">
      <c r="C2432" s="1"/>
    </row>
    <row r="2433" spans="3:3">
      <c r="C2433" s="1"/>
    </row>
    <row r="2434" spans="3:3">
      <c r="C2434" s="1"/>
    </row>
    <row r="2435" spans="3:3">
      <c r="C2435" s="1"/>
    </row>
    <row r="2436" spans="3:3">
      <c r="C2436" s="1"/>
    </row>
    <row r="2437" spans="3:3">
      <c r="C2437" s="1"/>
    </row>
    <row r="2438" spans="3:3">
      <c r="C2438" s="1"/>
    </row>
    <row r="2439" spans="3:3">
      <c r="C2439" s="1"/>
    </row>
    <row r="2440" spans="3:3">
      <c r="C2440" s="1"/>
    </row>
    <row r="2441" spans="3:3">
      <c r="C2441" s="1"/>
    </row>
    <row r="2442" spans="3:3">
      <c r="C2442" s="1"/>
    </row>
    <row r="2443" spans="3:3">
      <c r="C2443" s="1"/>
    </row>
    <row r="2444" spans="3:3">
      <c r="C2444" s="1"/>
    </row>
    <row r="2445" spans="3:3">
      <c r="C2445" s="1"/>
    </row>
    <row r="2446" spans="3:3">
      <c r="C2446" s="1"/>
    </row>
    <row r="2447" spans="3:3">
      <c r="C2447" s="1"/>
    </row>
    <row r="2448" spans="3:3">
      <c r="C2448" s="1"/>
    </row>
    <row r="2449" spans="3:3">
      <c r="C2449" s="1"/>
    </row>
    <row r="2450" spans="3:3">
      <c r="C2450" s="1"/>
    </row>
    <row r="2451" spans="3:3">
      <c r="C2451" s="1"/>
    </row>
    <row r="2452" spans="3:3">
      <c r="C2452" s="1"/>
    </row>
    <row r="2453" spans="3:3">
      <c r="C2453" s="1"/>
    </row>
    <row r="2454" spans="3:3">
      <c r="C2454" s="1"/>
    </row>
    <row r="2455" spans="3:3">
      <c r="C2455" s="1"/>
    </row>
    <row r="2456" spans="3:3">
      <c r="C2456" s="1"/>
    </row>
    <row r="2457" spans="3:3">
      <c r="C2457" s="1"/>
    </row>
    <row r="2458" spans="3:3">
      <c r="C2458" s="1"/>
    </row>
    <row r="2459" spans="3:3">
      <c r="C2459" s="1"/>
    </row>
    <row r="2460" spans="3:3">
      <c r="C2460" s="1"/>
    </row>
    <row r="2461" spans="3:3">
      <c r="C2461" s="1"/>
    </row>
    <row r="2462" spans="3:3">
      <c r="C2462" s="1"/>
    </row>
    <row r="2463" spans="3:3">
      <c r="C2463" s="1"/>
    </row>
    <row r="2464" spans="3:3">
      <c r="C2464" s="1"/>
    </row>
    <row r="2465" spans="3:3">
      <c r="C2465" s="1"/>
    </row>
    <row r="2466" spans="3:3">
      <c r="C2466" s="1"/>
    </row>
    <row r="2467" spans="3:3">
      <c r="C2467" s="1"/>
    </row>
    <row r="2468" spans="3:3">
      <c r="C2468" s="1"/>
    </row>
    <row r="2469" spans="3:3">
      <c r="C2469" s="1"/>
    </row>
    <row r="2470" spans="3:3">
      <c r="C2470" s="1"/>
    </row>
    <row r="2471" spans="3:3">
      <c r="C2471" s="1"/>
    </row>
    <row r="2472" spans="3:3">
      <c r="C2472" s="1"/>
    </row>
    <row r="2473" spans="3:3">
      <c r="C2473" s="1"/>
    </row>
    <row r="2474" spans="3:3">
      <c r="C2474" s="1"/>
    </row>
    <row r="2475" spans="3:3">
      <c r="C2475" s="1"/>
    </row>
    <row r="2476" spans="3:3">
      <c r="C2476" s="1"/>
    </row>
    <row r="2477" spans="3:3">
      <c r="C2477" s="1"/>
    </row>
    <row r="2478" spans="3:3">
      <c r="C2478" s="1"/>
    </row>
    <row r="2479" spans="3:3">
      <c r="C2479" s="1"/>
    </row>
    <row r="2480" spans="3:3">
      <c r="C2480" s="1"/>
    </row>
    <row r="2481" spans="3:3">
      <c r="C2481" s="1"/>
    </row>
    <row r="2482" spans="3:3">
      <c r="C2482" s="1"/>
    </row>
    <row r="2483" spans="3:3">
      <c r="C2483" s="1"/>
    </row>
    <row r="2484" spans="3:3">
      <c r="C2484" s="1"/>
    </row>
    <row r="2485" spans="3:3">
      <c r="C2485" s="1"/>
    </row>
    <row r="2486" spans="3:3">
      <c r="C2486" s="1"/>
    </row>
    <row r="2487" spans="3:3">
      <c r="C2487" s="1"/>
    </row>
    <row r="2488" spans="3:3">
      <c r="C2488" s="1"/>
    </row>
    <row r="2489" spans="3:3">
      <c r="C2489" s="1"/>
    </row>
    <row r="2490" spans="3:3">
      <c r="C2490" s="1"/>
    </row>
    <row r="2491" spans="3:3">
      <c r="C2491" s="1"/>
    </row>
    <row r="2492" spans="3:3">
      <c r="C2492" s="1"/>
    </row>
    <row r="2493" spans="3:3">
      <c r="C2493" s="1"/>
    </row>
    <row r="2494" spans="3:3">
      <c r="C2494" s="1"/>
    </row>
    <row r="2495" spans="3:3">
      <c r="C2495" s="1"/>
    </row>
    <row r="2496" spans="3:3">
      <c r="C2496" s="1"/>
    </row>
    <row r="2497" spans="3:3">
      <c r="C2497" s="1"/>
    </row>
    <row r="2498" spans="3:3">
      <c r="C2498" s="1"/>
    </row>
    <row r="2499" spans="3:3">
      <c r="C2499" s="1"/>
    </row>
    <row r="2500" spans="3:3">
      <c r="C2500" s="1"/>
    </row>
    <row r="2501" spans="3:3">
      <c r="C2501" s="1"/>
    </row>
    <row r="2502" spans="3:3">
      <c r="C2502" s="1"/>
    </row>
    <row r="2503" spans="3:3">
      <c r="C2503" s="1"/>
    </row>
    <row r="2504" spans="3:3">
      <c r="C2504" s="1"/>
    </row>
    <row r="2505" spans="3:3">
      <c r="C2505" s="1"/>
    </row>
    <row r="2506" spans="3:3">
      <c r="C2506" s="1"/>
    </row>
    <row r="2507" spans="3:3">
      <c r="C2507" s="1"/>
    </row>
    <row r="2508" spans="3:3">
      <c r="C2508" s="1"/>
    </row>
    <row r="2509" spans="3:3">
      <c r="C2509" s="1"/>
    </row>
    <row r="2510" spans="3:3">
      <c r="C2510" s="1"/>
    </row>
    <row r="2511" spans="3:3">
      <c r="C2511" s="1"/>
    </row>
    <row r="2512" spans="3:3">
      <c r="C2512" s="1"/>
    </row>
    <row r="2513" spans="3:3">
      <c r="C2513" s="1"/>
    </row>
    <row r="2514" spans="3:3">
      <c r="C2514" s="1"/>
    </row>
    <row r="2515" spans="3:3">
      <c r="C2515" s="1"/>
    </row>
    <row r="2516" spans="3:3">
      <c r="C2516" s="1"/>
    </row>
    <row r="2517" spans="3:3">
      <c r="C2517" s="1"/>
    </row>
    <row r="2518" spans="3:3">
      <c r="C2518" s="1"/>
    </row>
    <row r="2519" spans="3:3">
      <c r="C2519" s="1"/>
    </row>
    <row r="2520" spans="3:3">
      <c r="C2520" s="1"/>
    </row>
    <row r="2521" spans="3:3">
      <c r="C2521" s="1"/>
    </row>
    <row r="2522" spans="3:3">
      <c r="C2522" s="1"/>
    </row>
    <row r="2523" spans="3:3">
      <c r="C2523" s="1"/>
    </row>
    <row r="2524" spans="3:3">
      <c r="C2524" s="1"/>
    </row>
    <row r="2525" spans="3:3">
      <c r="C2525" s="1"/>
    </row>
    <row r="2526" spans="3:3">
      <c r="C2526" s="1"/>
    </row>
    <row r="2527" spans="3:3">
      <c r="C2527" s="1"/>
    </row>
    <row r="2528" spans="3:3">
      <c r="C2528" s="1"/>
    </row>
    <row r="2529" spans="3:3">
      <c r="C2529" s="1"/>
    </row>
    <row r="2530" spans="3:3">
      <c r="C2530" s="1"/>
    </row>
    <row r="2531" spans="3:3">
      <c r="C2531" s="1"/>
    </row>
    <row r="2532" spans="3:3">
      <c r="C2532" s="1"/>
    </row>
    <row r="2533" spans="3:3">
      <c r="C2533" s="1"/>
    </row>
    <row r="2534" spans="3:3">
      <c r="C2534" s="1"/>
    </row>
    <row r="2535" spans="3:3">
      <c r="C2535" s="1"/>
    </row>
    <row r="2536" spans="3:3">
      <c r="C2536" s="1"/>
    </row>
    <row r="2537" spans="3:3">
      <c r="C2537" s="1"/>
    </row>
    <row r="2538" spans="3:3">
      <c r="C2538" s="1"/>
    </row>
    <row r="2539" spans="3:3">
      <c r="C2539" s="1"/>
    </row>
    <row r="2540" spans="3:3">
      <c r="C2540" s="1"/>
    </row>
    <row r="2541" spans="3:3">
      <c r="C2541" s="1"/>
    </row>
    <row r="2542" spans="3:3">
      <c r="C2542" s="1"/>
    </row>
    <row r="2543" spans="3:3">
      <c r="C2543" s="1"/>
    </row>
    <row r="2544" spans="3:3">
      <c r="C2544" s="1"/>
    </row>
    <row r="2545" spans="3:3">
      <c r="C2545" s="1"/>
    </row>
    <row r="2546" spans="3:3">
      <c r="C2546" s="1"/>
    </row>
    <row r="2547" spans="3:3">
      <c r="C2547" s="1"/>
    </row>
    <row r="2548" spans="3:3">
      <c r="C2548" s="1"/>
    </row>
    <row r="2549" spans="3:3">
      <c r="C2549" s="1"/>
    </row>
    <row r="2550" spans="3:3">
      <c r="C2550" s="1"/>
    </row>
    <row r="2551" spans="3:3">
      <c r="C2551" s="1"/>
    </row>
    <row r="2552" spans="3:3">
      <c r="C2552" s="1"/>
    </row>
    <row r="2553" spans="3:3">
      <c r="C2553" s="1"/>
    </row>
    <row r="2554" spans="3:3">
      <c r="C2554" s="1"/>
    </row>
    <row r="2555" spans="3:3">
      <c r="C2555" s="1"/>
    </row>
    <row r="2556" spans="3:3">
      <c r="C2556" s="1"/>
    </row>
    <row r="2557" spans="3:3">
      <c r="C2557" s="1"/>
    </row>
    <row r="2558" spans="3:3">
      <c r="C2558" s="1"/>
    </row>
    <row r="2559" spans="3:3">
      <c r="C2559" s="1"/>
    </row>
    <row r="2560" spans="3:3">
      <c r="C2560" s="1"/>
    </row>
    <row r="2561" spans="3:3">
      <c r="C2561" s="1"/>
    </row>
    <row r="2562" spans="3:3">
      <c r="C2562" s="1"/>
    </row>
    <row r="2563" spans="3:3">
      <c r="C2563" s="1"/>
    </row>
    <row r="2564" spans="3:3">
      <c r="C2564" s="1"/>
    </row>
    <row r="2565" spans="3:3">
      <c r="C2565" s="1"/>
    </row>
    <row r="2566" spans="3:3">
      <c r="C2566" s="1"/>
    </row>
    <row r="2567" spans="3:3">
      <c r="C2567" s="1"/>
    </row>
    <row r="2568" spans="3:3">
      <c r="C2568" s="1"/>
    </row>
    <row r="2569" spans="3:3">
      <c r="C2569" s="1"/>
    </row>
    <row r="2570" spans="3:3">
      <c r="C2570" s="1"/>
    </row>
    <row r="2571" spans="3:3">
      <c r="C2571" s="1"/>
    </row>
    <row r="2572" spans="3:3">
      <c r="C2572" s="1"/>
    </row>
    <row r="2573" spans="3:3">
      <c r="C2573" s="1"/>
    </row>
    <row r="2574" spans="3:3">
      <c r="C2574" s="1"/>
    </row>
    <row r="2575" spans="3:3">
      <c r="C2575" s="1"/>
    </row>
    <row r="2576" spans="3:3">
      <c r="C2576" s="1"/>
    </row>
    <row r="2577" spans="3:3">
      <c r="C2577" s="1"/>
    </row>
    <row r="2578" spans="3:3">
      <c r="C2578" s="1"/>
    </row>
    <row r="2579" spans="3:3">
      <c r="C2579" s="1"/>
    </row>
    <row r="2580" spans="3:3">
      <c r="C2580" s="1"/>
    </row>
    <row r="2581" spans="3:3">
      <c r="C2581" s="1"/>
    </row>
    <row r="2582" spans="3:3">
      <c r="C2582" s="1"/>
    </row>
    <row r="2583" spans="3:3">
      <c r="C2583" s="1"/>
    </row>
    <row r="2584" spans="3:3">
      <c r="C2584" s="1"/>
    </row>
    <row r="2585" spans="3:3">
      <c r="C2585" s="1"/>
    </row>
    <row r="2586" spans="3:3">
      <c r="C2586" s="1"/>
    </row>
    <row r="2587" spans="3:3">
      <c r="C2587" s="1"/>
    </row>
    <row r="2588" spans="3:3">
      <c r="C2588" s="1"/>
    </row>
    <row r="2589" spans="3:3">
      <c r="C2589" s="1"/>
    </row>
    <row r="2590" spans="3:3">
      <c r="C2590" s="1"/>
    </row>
    <row r="2591" spans="3:3">
      <c r="C2591" s="1"/>
    </row>
    <row r="2592" spans="3:3">
      <c r="C2592" s="1"/>
    </row>
    <row r="2593" spans="3:3">
      <c r="C2593" s="1"/>
    </row>
    <row r="2594" spans="3:3">
      <c r="C2594" s="1"/>
    </row>
    <row r="2595" spans="3:3">
      <c r="C2595" s="1"/>
    </row>
    <row r="2596" spans="3:3">
      <c r="C2596" s="1"/>
    </row>
    <row r="2597" spans="3:3">
      <c r="C2597" s="1"/>
    </row>
    <row r="2598" spans="3:3">
      <c r="C2598" s="1"/>
    </row>
    <row r="2599" spans="3:3">
      <c r="C2599" s="1"/>
    </row>
    <row r="2600" spans="3:3">
      <c r="C2600" s="1"/>
    </row>
    <row r="2601" spans="3:3">
      <c r="C2601" s="1"/>
    </row>
    <row r="2602" spans="3:3">
      <c r="C2602" s="1"/>
    </row>
    <row r="2603" spans="3:3">
      <c r="C2603" s="1"/>
    </row>
    <row r="2604" spans="3:3">
      <c r="C2604" s="1"/>
    </row>
    <row r="2605" spans="3:3">
      <c r="C2605" s="1"/>
    </row>
    <row r="2606" spans="3:3">
      <c r="C2606" s="1"/>
    </row>
    <row r="2607" spans="3:3">
      <c r="C2607" s="1"/>
    </row>
    <row r="2608" spans="3:3">
      <c r="C2608" s="1"/>
    </row>
    <row r="2609" spans="3:3">
      <c r="C2609" s="1"/>
    </row>
    <row r="2610" spans="3:3">
      <c r="C2610" s="1"/>
    </row>
    <row r="2611" spans="3:3">
      <c r="C2611" s="1"/>
    </row>
    <row r="2612" spans="3:3">
      <c r="C2612" s="1"/>
    </row>
    <row r="2613" spans="3:3">
      <c r="C2613" s="1"/>
    </row>
    <row r="2614" spans="3:3">
      <c r="C2614" s="1"/>
    </row>
    <row r="2615" spans="3:3">
      <c r="C2615" s="1"/>
    </row>
    <row r="2616" spans="3:3">
      <c r="C2616" s="1"/>
    </row>
    <row r="2617" spans="3:3">
      <c r="C2617" s="1"/>
    </row>
    <row r="2618" spans="3:3">
      <c r="C2618" s="1"/>
    </row>
    <row r="2619" spans="3:3">
      <c r="C2619" s="1"/>
    </row>
    <row r="2620" spans="3:3">
      <c r="C2620" s="1"/>
    </row>
    <row r="2621" spans="3:3">
      <c r="C2621" s="1"/>
    </row>
    <row r="2622" spans="3:3">
      <c r="C2622" s="1"/>
    </row>
    <row r="2623" spans="3:3">
      <c r="C2623" s="1"/>
    </row>
    <row r="2624" spans="3:3">
      <c r="C2624" s="1"/>
    </row>
    <row r="2625" spans="3:3">
      <c r="C2625" s="1"/>
    </row>
    <row r="2626" spans="3:3">
      <c r="C2626" s="1"/>
    </row>
    <row r="2627" spans="3:3">
      <c r="C2627" s="1"/>
    </row>
    <row r="2628" spans="3:3">
      <c r="C2628" s="1"/>
    </row>
    <row r="2629" spans="3:3">
      <c r="C2629" s="1"/>
    </row>
    <row r="2630" spans="3:3">
      <c r="C2630" s="1"/>
    </row>
    <row r="2631" spans="3:3">
      <c r="C2631" s="1"/>
    </row>
    <row r="2632" spans="3:3">
      <c r="C2632" s="1"/>
    </row>
    <row r="2633" spans="3:3">
      <c r="C2633" s="1"/>
    </row>
    <row r="2634" spans="3:3">
      <c r="C2634" s="1"/>
    </row>
    <row r="2635" spans="3:3">
      <c r="C2635" s="1"/>
    </row>
    <row r="2636" spans="3:3">
      <c r="C2636" s="1"/>
    </row>
    <row r="2637" spans="3:3">
      <c r="C2637" s="1"/>
    </row>
    <row r="2638" spans="3:3">
      <c r="C2638" s="1"/>
    </row>
    <row r="2639" spans="3:3">
      <c r="C2639" s="1"/>
    </row>
    <row r="2640" spans="3:3">
      <c r="C2640" s="1"/>
    </row>
    <row r="2641" spans="3:3">
      <c r="C2641" s="1"/>
    </row>
    <row r="2642" spans="3:3">
      <c r="C2642" s="1"/>
    </row>
    <row r="2643" spans="3:3">
      <c r="C2643" s="1"/>
    </row>
    <row r="2644" spans="3:3">
      <c r="C2644" s="1"/>
    </row>
    <row r="2645" spans="3:3">
      <c r="C2645" s="1"/>
    </row>
    <row r="2646" spans="3:3">
      <c r="C2646" s="1"/>
    </row>
    <row r="2647" spans="3:3">
      <c r="C2647" s="1"/>
    </row>
    <row r="2648" spans="3:3">
      <c r="C2648" s="1"/>
    </row>
    <row r="2649" spans="3:3">
      <c r="C2649" s="1"/>
    </row>
    <row r="2650" spans="3:3">
      <c r="C2650" s="1"/>
    </row>
    <row r="2651" spans="3:3">
      <c r="C2651" s="1"/>
    </row>
    <row r="2652" spans="3:3">
      <c r="C2652" s="1"/>
    </row>
    <row r="2653" spans="3:3">
      <c r="C2653" s="1"/>
    </row>
    <row r="2654" spans="3:3">
      <c r="C2654" s="1"/>
    </row>
    <row r="2655" spans="3:3">
      <c r="C2655" s="1"/>
    </row>
    <row r="2656" spans="3:3">
      <c r="C2656" s="1"/>
    </row>
    <row r="2657" spans="3:3">
      <c r="C2657" s="1"/>
    </row>
    <row r="2658" spans="3:3">
      <c r="C2658" s="1"/>
    </row>
    <row r="2659" spans="3:3">
      <c r="C2659" s="1"/>
    </row>
    <row r="2660" spans="3:3">
      <c r="C2660" s="1"/>
    </row>
    <row r="2661" spans="3:3">
      <c r="C2661" s="1"/>
    </row>
    <row r="2662" spans="3:3">
      <c r="C2662" s="1"/>
    </row>
    <row r="2663" spans="3:3">
      <c r="C2663" s="1"/>
    </row>
    <row r="2664" spans="3:3">
      <c r="C2664" s="1"/>
    </row>
    <row r="2665" spans="3:3">
      <c r="C2665" s="1"/>
    </row>
    <row r="2666" spans="3:3">
      <c r="C2666" s="1"/>
    </row>
    <row r="2667" spans="3:3">
      <c r="C2667" s="1"/>
    </row>
    <row r="2668" spans="3:3">
      <c r="C2668" s="1"/>
    </row>
    <row r="2669" spans="3:3">
      <c r="C2669" s="1"/>
    </row>
    <row r="2670" spans="3:3">
      <c r="C2670" s="1"/>
    </row>
    <row r="2671" spans="3:3">
      <c r="C2671" s="1"/>
    </row>
    <row r="2672" spans="3:3">
      <c r="C2672" s="1"/>
    </row>
    <row r="2673" spans="3:3">
      <c r="C2673" s="1"/>
    </row>
    <row r="2674" spans="3:3">
      <c r="C2674" s="1"/>
    </row>
    <row r="2675" spans="3:3">
      <c r="C2675" s="1"/>
    </row>
    <row r="2676" spans="3:3">
      <c r="C2676" s="1"/>
    </row>
    <row r="2677" spans="3:3">
      <c r="C2677" s="1"/>
    </row>
    <row r="2678" spans="3:3">
      <c r="C2678" s="1"/>
    </row>
    <row r="2679" spans="3:3">
      <c r="C2679" s="1"/>
    </row>
    <row r="2680" spans="3:3">
      <c r="C2680" s="1"/>
    </row>
    <row r="2681" spans="3:3">
      <c r="C2681" s="1"/>
    </row>
    <row r="2682" spans="3:3">
      <c r="C2682" s="1"/>
    </row>
    <row r="2683" spans="3:3">
      <c r="C2683" s="1"/>
    </row>
    <row r="2684" spans="3:3">
      <c r="C2684" s="1"/>
    </row>
    <row r="2685" spans="3:3">
      <c r="C2685" s="1"/>
    </row>
    <row r="2686" spans="3:3">
      <c r="C2686" s="1"/>
    </row>
    <row r="2687" spans="3:3">
      <c r="C2687" s="1"/>
    </row>
    <row r="2688" spans="3:3">
      <c r="C2688" s="1"/>
    </row>
    <row r="2689" spans="3:3">
      <c r="C2689" s="1"/>
    </row>
    <row r="2690" spans="3:3">
      <c r="C2690" s="1"/>
    </row>
    <row r="2691" spans="3:3">
      <c r="C2691" s="1"/>
    </row>
    <row r="2692" spans="3:3">
      <c r="C2692" s="1"/>
    </row>
    <row r="2693" spans="3:3">
      <c r="C2693" s="1"/>
    </row>
    <row r="2694" spans="3:3">
      <c r="C2694" s="1"/>
    </row>
    <row r="2695" spans="3:3">
      <c r="C2695" s="1"/>
    </row>
    <row r="2696" spans="3:3">
      <c r="C2696" s="1"/>
    </row>
    <row r="2697" spans="3:3">
      <c r="C2697" s="1"/>
    </row>
    <row r="2698" spans="3:3">
      <c r="C2698" s="1"/>
    </row>
    <row r="2699" spans="3:3">
      <c r="C2699" s="1"/>
    </row>
    <row r="2700" spans="3:3">
      <c r="C2700" s="1"/>
    </row>
    <row r="2701" spans="3:3">
      <c r="C2701" s="1"/>
    </row>
    <row r="2702" spans="3:3">
      <c r="C2702" s="1"/>
    </row>
    <row r="2703" spans="3:3">
      <c r="C2703" s="1"/>
    </row>
    <row r="2704" spans="3:3">
      <c r="C2704" s="1"/>
    </row>
    <row r="2705" spans="3:3">
      <c r="C2705" s="1"/>
    </row>
    <row r="2706" spans="3:3">
      <c r="C2706" s="1"/>
    </row>
    <row r="2707" spans="3:3">
      <c r="C2707" s="1"/>
    </row>
    <row r="2708" spans="3:3">
      <c r="C2708" s="1"/>
    </row>
    <row r="2709" spans="3:3">
      <c r="C2709" s="1"/>
    </row>
    <row r="2710" spans="3:3">
      <c r="C2710" s="1"/>
    </row>
    <row r="2711" spans="3:3">
      <c r="C2711" s="1"/>
    </row>
    <row r="2712" spans="3:3">
      <c r="C2712" s="1"/>
    </row>
    <row r="2713" spans="3:3">
      <c r="C2713" s="1"/>
    </row>
    <row r="2714" spans="3:3">
      <c r="C2714" s="1"/>
    </row>
    <row r="2715" spans="3:3">
      <c r="C2715" s="1"/>
    </row>
    <row r="2716" spans="3:3">
      <c r="C2716" s="1"/>
    </row>
    <row r="2717" spans="3:3">
      <c r="C2717" s="1"/>
    </row>
    <row r="2718" spans="3:3">
      <c r="C2718" s="1"/>
    </row>
    <row r="2719" spans="3:3">
      <c r="C2719" s="1"/>
    </row>
    <row r="2720" spans="3:3">
      <c r="C2720" s="1"/>
    </row>
    <row r="2721" spans="3:3">
      <c r="C2721" s="1"/>
    </row>
    <row r="2722" spans="3:3">
      <c r="C2722" s="1"/>
    </row>
    <row r="2723" spans="3:3">
      <c r="C2723" s="1"/>
    </row>
    <row r="2724" spans="3:3">
      <c r="C2724" s="1"/>
    </row>
    <row r="2725" spans="3:3">
      <c r="C2725" s="1"/>
    </row>
    <row r="2726" spans="3:3">
      <c r="C2726" s="1"/>
    </row>
    <row r="2727" spans="3:3">
      <c r="C2727" s="1"/>
    </row>
    <row r="2728" spans="3:3">
      <c r="C2728" s="1"/>
    </row>
    <row r="2729" spans="3:3">
      <c r="C2729" s="1"/>
    </row>
    <row r="2730" spans="3:3">
      <c r="C2730" s="1"/>
    </row>
    <row r="2731" spans="3:3">
      <c r="C2731" s="1"/>
    </row>
    <row r="2732" spans="3:3">
      <c r="C2732" s="1"/>
    </row>
    <row r="2733" spans="3:3">
      <c r="C2733" s="1"/>
    </row>
    <row r="2734" spans="3:3">
      <c r="C2734" s="1"/>
    </row>
    <row r="2735" spans="3:3">
      <c r="C2735" s="1"/>
    </row>
    <row r="2736" spans="3:3">
      <c r="C2736" s="1"/>
    </row>
    <row r="2737" spans="3:3">
      <c r="C2737" s="1"/>
    </row>
    <row r="2738" spans="3:3">
      <c r="C2738" s="1"/>
    </row>
    <row r="2739" spans="3:3">
      <c r="C2739" s="1"/>
    </row>
    <row r="2740" spans="3:3">
      <c r="C2740" s="1"/>
    </row>
    <row r="2741" spans="3:3">
      <c r="C2741" s="1"/>
    </row>
    <row r="2742" spans="3:3">
      <c r="C2742" s="1"/>
    </row>
    <row r="2743" spans="3:3">
      <c r="C2743" s="1"/>
    </row>
    <row r="2744" spans="3:3">
      <c r="C2744" s="1"/>
    </row>
    <row r="2745" spans="3:3">
      <c r="C2745" s="1"/>
    </row>
    <row r="2746" spans="3:3">
      <c r="C2746" s="1"/>
    </row>
    <row r="2747" spans="3:3">
      <c r="C2747" s="1"/>
    </row>
    <row r="2748" spans="3:3">
      <c r="C2748" s="1"/>
    </row>
    <row r="2749" spans="3:3">
      <c r="C2749" s="1"/>
    </row>
    <row r="2750" spans="3:3">
      <c r="C2750" s="1"/>
    </row>
    <row r="2751" spans="3:3">
      <c r="C2751" s="1"/>
    </row>
    <row r="2752" spans="3:3">
      <c r="C2752" s="1"/>
    </row>
    <row r="2753" spans="3:3">
      <c r="C2753" s="1"/>
    </row>
    <row r="2754" spans="3:3">
      <c r="C2754" s="1"/>
    </row>
    <row r="2755" spans="3:3">
      <c r="C2755" s="1"/>
    </row>
    <row r="2756" spans="3:3">
      <c r="C2756" s="1"/>
    </row>
    <row r="2757" spans="3:3">
      <c r="C2757" s="1"/>
    </row>
    <row r="2758" spans="3:3">
      <c r="C2758" s="1"/>
    </row>
    <row r="2759" spans="3:3">
      <c r="C2759" s="1"/>
    </row>
    <row r="2760" spans="3:3">
      <c r="C2760" s="1"/>
    </row>
    <row r="2761" spans="3:3">
      <c r="C2761" s="1"/>
    </row>
    <row r="2762" spans="3:3">
      <c r="C2762" s="1"/>
    </row>
    <row r="2763" spans="3:3">
      <c r="C2763" s="1"/>
    </row>
    <row r="2764" spans="3:3">
      <c r="C2764" s="1"/>
    </row>
    <row r="2765" spans="3:3">
      <c r="C2765" s="1"/>
    </row>
    <row r="2766" spans="3:3">
      <c r="C2766" s="1"/>
    </row>
    <row r="2767" spans="3:3">
      <c r="C2767" s="1"/>
    </row>
    <row r="2768" spans="3:3">
      <c r="C2768" s="1"/>
    </row>
    <row r="2769" spans="3:3">
      <c r="C2769" s="1"/>
    </row>
    <row r="2770" spans="3:3">
      <c r="C2770" s="1"/>
    </row>
    <row r="2771" spans="3:3">
      <c r="C2771" s="1"/>
    </row>
    <row r="2772" spans="3:3">
      <c r="C2772" s="1"/>
    </row>
    <row r="2773" spans="3:3">
      <c r="C2773" s="1"/>
    </row>
    <row r="2774" spans="3:3">
      <c r="C2774" s="1"/>
    </row>
    <row r="2775" spans="3:3">
      <c r="C2775" s="1"/>
    </row>
    <row r="2776" spans="3:3">
      <c r="C2776" s="1"/>
    </row>
    <row r="2777" spans="3:3">
      <c r="C2777" s="1"/>
    </row>
    <row r="2778" spans="3:3">
      <c r="C2778" s="1"/>
    </row>
    <row r="2779" spans="3:3">
      <c r="C2779" s="1"/>
    </row>
    <row r="2780" spans="3:3">
      <c r="C2780" s="1"/>
    </row>
    <row r="2781" spans="3:3">
      <c r="C2781" s="1"/>
    </row>
    <row r="2782" spans="3:3">
      <c r="C2782" s="1"/>
    </row>
    <row r="2783" spans="3:3">
      <c r="C2783" s="1"/>
    </row>
    <row r="2784" spans="3:3">
      <c r="C2784" s="1"/>
    </row>
    <row r="2785" spans="3:3">
      <c r="C2785" s="1"/>
    </row>
    <row r="2786" spans="3:3">
      <c r="C2786" s="1"/>
    </row>
    <row r="2787" spans="3:3">
      <c r="C2787" s="1"/>
    </row>
    <row r="2788" spans="3:3">
      <c r="C2788" s="1"/>
    </row>
    <row r="2789" spans="3:3">
      <c r="C2789" s="1"/>
    </row>
    <row r="2790" spans="3:3">
      <c r="C2790" s="1"/>
    </row>
    <row r="2791" spans="3:3">
      <c r="C2791" s="1"/>
    </row>
    <row r="2792" spans="3:3">
      <c r="C2792" s="1"/>
    </row>
    <row r="2793" spans="3:3">
      <c r="C2793" s="1"/>
    </row>
    <row r="2794" spans="3:3">
      <c r="C2794" s="1"/>
    </row>
    <row r="2795" spans="3:3">
      <c r="C2795" s="1"/>
    </row>
    <row r="2796" spans="3:3">
      <c r="C2796" s="1"/>
    </row>
    <row r="2797" spans="3:3">
      <c r="C2797" s="1"/>
    </row>
    <row r="2798" spans="3:3">
      <c r="C2798" s="1"/>
    </row>
    <row r="2799" spans="3:3">
      <c r="C2799" s="1"/>
    </row>
    <row r="2800" spans="3:3">
      <c r="C2800" s="1"/>
    </row>
    <row r="2801" spans="3:3">
      <c r="C2801" s="1"/>
    </row>
    <row r="2802" spans="3:3">
      <c r="C2802" s="1"/>
    </row>
    <row r="2803" spans="3:3">
      <c r="C2803" s="1"/>
    </row>
    <row r="2804" spans="3:3">
      <c r="C2804" s="1"/>
    </row>
    <row r="2805" spans="3:3">
      <c r="C2805" s="1"/>
    </row>
    <row r="2806" spans="3:3">
      <c r="C2806" s="1"/>
    </row>
    <row r="2807" spans="3:3">
      <c r="C2807" s="1"/>
    </row>
    <row r="2808" spans="3:3">
      <c r="C2808" s="1"/>
    </row>
    <row r="2809" spans="3:3">
      <c r="C2809" s="1"/>
    </row>
    <row r="2810" spans="3:3">
      <c r="C2810" s="1"/>
    </row>
    <row r="2811" spans="3:3">
      <c r="C2811" s="1"/>
    </row>
    <row r="2812" spans="3:3">
      <c r="C2812" s="1"/>
    </row>
    <row r="2813" spans="3:3">
      <c r="C2813" s="1"/>
    </row>
    <row r="2814" spans="3:3">
      <c r="C2814" s="1"/>
    </row>
    <row r="2815" spans="3:3">
      <c r="C2815" s="1"/>
    </row>
    <row r="2816" spans="3:3">
      <c r="C2816" s="1"/>
    </row>
    <row r="2817" spans="3:3">
      <c r="C2817" s="1"/>
    </row>
    <row r="2818" spans="3:3">
      <c r="C2818" s="1"/>
    </row>
    <row r="2819" spans="3:3">
      <c r="C2819" s="1"/>
    </row>
    <row r="2820" spans="3:3">
      <c r="C2820" s="1"/>
    </row>
    <row r="2821" spans="3:3">
      <c r="C2821" s="1"/>
    </row>
    <row r="2822" spans="3:3">
      <c r="C2822" s="1"/>
    </row>
    <row r="2823" spans="3:3">
      <c r="C2823" s="1"/>
    </row>
    <row r="2824" spans="3:3">
      <c r="C2824" s="1"/>
    </row>
    <row r="2825" spans="3:3">
      <c r="C2825" s="1"/>
    </row>
    <row r="2826" spans="3:3">
      <c r="C2826" s="1"/>
    </row>
    <row r="2827" spans="3:3">
      <c r="C2827" s="1"/>
    </row>
    <row r="2828" spans="3:3">
      <c r="C2828" s="1"/>
    </row>
    <row r="2829" spans="3:3">
      <c r="C2829" s="1"/>
    </row>
    <row r="2830" spans="3:3">
      <c r="C2830" s="1"/>
    </row>
    <row r="2831" spans="3:3">
      <c r="C2831" s="1"/>
    </row>
    <row r="2832" spans="3:3">
      <c r="C2832" s="1"/>
    </row>
    <row r="2833" spans="3:3">
      <c r="C2833" s="1"/>
    </row>
    <row r="2834" spans="3:3">
      <c r="C2834" s="1"/>
    </row>
    <row r="2835" spans="3:3">
      <c r="C2835" s="1"/>
    </row>
    <row r="2836" spans="3:3">
      <c r="C2836" s="1"/>
    </row>
    <row r="2837" spans="3:3">
      <c r="C2837" s="1"/>
    </row>
    <row r="2838" spans="3:3">
      <c r="C2838" s="1"/>
    </row>
    <row r="2839" spans="3:3">
      <c r="C2839" s="1"/>
    </row>
    <row r="2840" spans="3:3">
      <c r="C2840" s="1"/>
    </row>
    <row r="2841" spans="3:3">
      <c r="C2841" s="1"/>
    </row>
    <row r="2842" spans="3:3">
      <c r="C2842" s="1"/>
    </row>
    <row r="2843" spans="3:3">
      <c r="C2843" s="1"/>
    </row>
    <row r="2844" spans="3:3">
      <c r="C2844" s="1"/>
    </row>
    <row r="2845" spans="3:3">
      <c r="C2845" s="1"/>
    </row>
    <row r="2846" spans="3:3">
      <c r="C2846" s="1"/>
    </row>
    <row r="2847" spans="3:3">
      <c r="C2847" s="1"/>
    </row>
    <row r="2848" spans="3:3">
      <c r="C2848" s="1"/>
    </row>
    <row r="2849" spans="3:3">
      <c r="C2849" s="1"/>
    </row>
    <row r="2850" spans="3:3">
      <c r="C2850" s="1"/>
    </row>
    <row r="2851" spans="3:3">
      <c r="C2851" s="1"/>
    </row>
    <row r="2852" spans="3:3">
      <c r="C2852" s="1"/>
    </row>
    <row r="2853" spans="3:3">
      <c r="C2853" s="1"/>
    </row>
    <row r="2854" spans="3:3">
      <c r="C2854" s="1"/>
    </row>
    <row r="2855" spans="3:3">
      <c r="C2855" s="1"/>
    </row>
    <row r="2856" spans="3:3">
      <c r="C2856" s="1"/>
    </row>
    <row r="2857" spans="3:3">
      <c r="C2857" s="1"/>
    </row>
    <row r="2858" spans="3:3">
      <c r="C2858" s="1"/>
    </row>
    <row r="2859" spans="3:3">
      <c r="C2859" s="1"/>
    </row>
    <row r="2860" spans="3:3">
      <c r="C2860" s="1"/>
    </row>
    <row r="2861" spans="3:3">
      <c r="C2861" s="1"/>
    </row>
    <row r="2862" spans="3:3">
      <c r="C2862" s="1"/>
    </row>
    <row r="2863" spans="3:3">
      <c r="C2863" s="1"/>
    </row>
    <row r="2864" spans="3:3">
      <c r="C2864" s="1"/>
    </row>
    <row r="2865" spans="3:3">
      <c r="C2865" s="1"/>
    </row>
    <row r="2866" spans="3:3">
      <c r="C2866" s="1"/>
    </row>
    <row r="2867" spans="3:3">
      <c r="C2867" s="1"/>
    </row>
    <row r="2868" spans="3:3">
      <c r="C2868" s="1"/>
    </row>
    <row r="2869" spans="3:3">
      <c r="C2869" s="1"/>
    </row>
    <row r="2870" spans="3:3">
      <c r="C2870" s="1"/>
    </row>
    <row r="2871" spans="3:3">
      <c r="C2871" s="1"/>
    </row>
    <row r="2872" spans="3:3">
      <c r="C2872" s="1"/>
    </row>
    <row r="2873" spans="3:3">
      <c r="C2873" s="1"/>
    </row>
    <row r="2874" spans="3:3">
      <c r="C2874" s="1"/>
    </row>
    <row r="2875" spans="3:3">
      <c r="C2875" s="1"/>
    </row>
    <row r="2876" spans="3:3">
      <c r="C2876" s="1"/>
    </row>
    <row r="2877" spans="3:3">
      <c r="C2877" s="1"/>
    </row>
    <row r="2878" spans="3:3">
      <c r="C2878" s="1"/>
    </row>
    <row r="2879" spans="3:3">
      <c r="C2879" s="1"/>
    </row>
    <row r="2880" spans="3:3">
      <c r="C2880" s="1"/>
    </row>
    <row r="2881" spans="3:3">
      <c r="C2881" s="1"/>
    </row>
    <row r="2882" spans="3:3">
      <c r="C2882" s="1"/>
    </row>
    <row r="2883" spans="3:3">
      <c r="C2883" s="1"/>
    </row>
    <row r="2884" spans="3:3">
      <c r="C2884" s="1"/>
    </row>
    <row r="2885" spans="3:3">
      <c r="C2885" s="1"/>
    </row>
    <row r="2886" spans="3:3">
      <c r="C2886" s="1"/>
    </row>
    <row r="2887" spans="3:3">
      <c r="C2887" s="1"/>
    </row>
    <row r="2888" spans="3:3">
      <c r="C2888" s="1"/>
    </row>
    <row r="2889" spans="3:3">
      <c r="C2889" s="1"/>
    </row>
    <row r="2890" spans="3:3">
      <c r="C2890" s="1"/>
    </row>
    <row r="2891" spans="3:3">
      <c r="C2891" s="1"/>
    </row>
    <row r="2892" spans="3:3">
      <c r="C2892" s="1"/>
    </row>
    <row r="2893" spans="3:3">
      <c r="C2893" s="1"/>
    </row>
    <row r="2894" spans="3:3">
      <c r="C2894" s="1"/>
    </row>
    <row r="2895" spans="3:3">
      <c r="C2895" s="1"/>
    </row>
    <row r="2896" spans="3:3">
      <c r="C2896" s="1"/>
    </row>
    <row r="2897" spans="3:3">
      <c r="C2897" s="1"/>
    </row>
    <row r="2898" spans="3:3">
      <c r="C2898" s="1"/>
    </row>
    <row r="2899" spans="3:3">
      <c r="C2899" s="1"/>
    </row>
    <row r="2900" spans="3:3">
      <c r="C2900" s="1"/>
    </row>
    <row r="2901" spans="3:3">
      <c r="C2901" s="1"/>
    </row>
    <row r="2902" spans="3:3">
      <c r="C2902" s="1"/>
    </row>
    <row r="2903" spans="3:3">
      <c r="C2903" s="1"/>
    </row>
    <row r="2904" spans="3:3">
      <c r="C2904" s="1"/>
    </row>
    <row r="2905" spans="3:3">
      <c r="C2905" s="1"/>
    </row>
    <row r="2906" spans="3:3">
      <c r="C2906" s="1"/>
    </row>
    <row r="2907" spans="3:3">
      <c r="C2907" s="1"/>
    </row>
    <row r="2908" spans="3:3">
      <c r="C2908" s="1"/>
    </row>
    <row r="2909" spans="3:3">
      <c r="C2909" s="1"/>
    </row>
    <row r="2910" spans="3:3">
      <c r="C2910" s="1"/>
    </row>
    <row r="2911" spans="3:3">
      <c r="C2911" s="1"/>
    </row>
    <row r="2912" spans="3:3">
      <c r="C2912" s="1"/>
    </row>
    <row r="2913" spans="3:3">
      <c r="C2913" s="1"/>
    </row>
    <row r="2914" spans="3:3">
      <c r="C2914" s="1"/>
    </row>
    <row r="2915" spans="3:3">
      <c r="C2915" s="1"/>
    </row>
    <row r="2916" spans="3:3">
      <c r="C2916" s="1"/>
    </row>
    <row r="2917" spans="3:3">
      <c r="C2917" s="1"/>
    </row>
    <row r="2918" spans="3:3">
      <c r="C2918" s="1"/>
    </row>
    <row r="2919" spans="3:3">
      <c r="C2919" s="1"/>
    </row>
    <row r="2920" spans="3:3">
      <c r="C2920" s="1"/>
    </row>
    <row r="2921" spans="3:3">
      <c r="C2921" s="1"/>
    </row>
    <row r="2922" spans="3:3">
      <c r="C2922" s="1"/>
    </row>
    <row r="2923" spans="3:3">
      <c r="C2923" s="1"/>
    </row>
    <row r="2924" spans="3:3">
      <c r="C2924" s="1"/>
    </row>
    <row r="2925" spans="3:3">
      <c r="C2925" s="1"/>
    </row>
    <row r="2926" spans="3:3">
      <c r="C2926" s="1"/>
    </row>
    <row r="2927" spans="3:3">
      <c r="C2927" s="1"/>
    </row>
    <row r="2928" spans="3:3">
      <c r="C2928" s="1"/>
    </row>
    <row r="2929" spans="3:3">
      <c r="C2929" s="1"/>
    </row>
    <row r="2930" spans="3:3">
      <c r="C2930" s="1"/>
    </row>
    <row r="2931" spans="3:3">
      <c r="C2931" s="1"/>
    </row>
    <row r="2932" spans="3:3">
      <c r="C2932" s="1"/>
    </row>
    <row r="2933" spans="3:3">
      <c r="C2933" s="1"/>
    </row>
    <row r="2934" spans="3:3">
      <c r="C2934" s="1"/>
    </row>
    <row r="2935" spans="3:3">
      <c r="C2935" s="1"/>
    </row>
    <row r="2936" spans="3:3">
      <c r="C2936" s="1"/>
    </row>
    <row r="2937" spans="3:3">
      <c r="C2937" s="1"/>
    </row>
    <row r="2938" spans="3:3">
      <c r="C2938" s="1"/>
    </row>
    <row r="2939" spans="3:3">
      <c r="C2939" s="1"/>
    </row>
    <row r="2940" spans="3:3">
      <c r="C2940" s="1"/>
    </row>
    <row r="2941" spans="3:3">
      <c r="C2941" s="1"/>
    </row>
    <row r="2942" spans="3:3">
      <c r="C2942" s="1"/>
    </row>
    <row r="2943" spans="3:3">
      <c r="C2943" s="1"/>
    </row>
    <row r="2944" spans="3:3">
      <c r="C2944" s="1"/>
    </row>
    <row r="2945" spans="3:3">
      <c r="C2945" s="1"/>
    </row>
    <row r="2946" spans="3:3">
      <c r="C2946" s="1"/>
    </row>
    <row r="2947" spans="3:3">
      <c r="C2947" s="1"/>
    </row>
    <row r="2948" spans="3:3">
      <c r="C2948" s="1"/>
    </row>
    <row r="2949" spans="3:3">
      <c r="C2949" s="1"/>
    </row>
    <row r="2950" spans="3:3">
      <c r="C2950" s="1"/>
    </row>
    <row r="2951" spans="3:3">
      <c r="C2951" s="1"/>
    </row>
    <row r="2952" spans="3:3">
      <c r="C2952" s="1"/>
    </row>
    <row r="2953" spans="3:3">
      <c r="C2953" s="1"/>
    </row>
    <row r="2954" spans="3:3">
      <c r="C2954" s="1"/>
    </row>
    <row r="2955" spans="3:3">
      <c r="C2955" s="1"/>
    </row>
    <row r="2956" spans="3:3">
      <c r="C2956" s="1"/>
    </row>
    <row r="2957" spans="3:3">
      <c r="C2957" s="1"/>
    </row>
    <row r="2958" spans="3:3">
      <c r="C2958" s="1"/>
    </row>
    <row r="2959" spans="3:3">
      <c r="C2959" s="1"/>
    </row>
    <row r="2960" spans="3:3">
      <c r="C2960" s="1"/>
    </row>
    <row r="2961" spans="3:3">
      <c r="C2961" s="1"/>
    </row>
    <row r="2962" spans="3:3">
      <c r="C2962" s="1"/>
    </row>
    <row r="2963" spans="3:3">
      <c r="C2963" s="1"/>
    </row>
    <row r="2964" spans="3:3">
      <c r="C2964" s="1"/>
    </row>
    <row r="2965" spans="3:3">
      <c r="C2965" s="1"/>
    </row>
    <row r="2966" spans="3:3">
      <c r="C2966" s="1"/>
    </row>
    <row r="2967" spans="3:3">
      <c r="C2967" s="1"/>
    </row>
    <row r="2968" spans="3:3">
      <c r="C2968" s="1"/>
    </row>
    <row r="2969" spans="3:3">
      <c r="C2969" s="1"/>
    </row>
    <row r="2970" spans="3:3">
      <c r="C2970" s="1"/>
    </row>
    <row r="2971" spans="3:3">
      <c r="C2971" s="1"/>
    </row>
    <row r="2972" spans="3:3">
      <c r="C2972" s="1"/>
    </row>
    <row r="2973" spans="3:3">
      <c r="C2973" s="1"/>
    </row>
    <row r="2974" spans="3:3">
      <c r="C2974" s="1"/>
    </row>
    <row r="2975" spans="3:3">
      <c r="C2975" s="1"/>
    </row>
    <row r="2976" spans="3:3">
      <c r="C2976" s="1"/>
    </row>
    <row r="2977" spans="3:3">
      <c r="C2977" s="1"/>
    </row>
    <row r="2978" spans="3:3">
      <c r="C2978" s="1"/>
    </row>
    <row r="2979" spans="3:3">
      <c r="C2979" s="1"/>
    </row>
    <row r="2980" spans="3:3">
      <c r="C2980" s="1"/>
    </row>
    <row r="2981" spans="3:3">
      <c r="C2981" s="1"/>
    </row>
    <row r="2982" spans="3:3">
      <c r="C2982" s="1"/>
    </row>
    <row r="2983" spans="3:3">
      <c r="C2983" s="1"/>
    </row>
    <row r="2984" spans="3:3">
      <c r="C2984" s="1"/>
    </row>
    <row r="2985" spans="3:3">
      <c r="C2985" s="1"/>
    </row>
    <row r="2986" spans="3:3">
      <c r="C2986" s="1"/>
    </row>
    <row r="2987" spans="3:3">
      <c r="C2987" s="1"/>
    </row>
    <row r="2988" spans="3:3">
      <c r="C2988" s="1"/>
    </row>
    <row r="2989" spans="3:3">
      <c r="C2989" s="1"/>
    </row>
    <row r="2990" spans="3:3">
      <c r="C2990" s="1"/>
    </row>
    <row r="2991" spans="3:3">
      <c r="C2991" s="1"/>
    </row>
    <row r="2992" spans="3:3">
      <c r="C2992" s="1"/>
    </row>
    <row r="2993" spans="3:3">
      <c r="C2993" s="1"/>
    </row>
    <row r="2994" spans="3:3">
      <c r="C2994" s="1"/>
    </row>
    <row r="2995" spans="3:3">
      <c r="C2995" s="1"/>
    </row>
    <row r="2996" spans="3:3">
      <c r="C2996" s="1"/>
    </row>
    <row r="2997" spans="3:3">
      <c r="C2997" s="1"/>
    </row>
    <row r="2998" spans="3:3">
      <c r="C2998" s="1"/>
    </row>
    <row r="2999" spans="3:3">
      <c r="C2999" s="1"/>
    </row>
    <row r="3000" spans="3:3">
      <c r="C3000" s="1"/>
    </row>
    <row r="3001" spans="3:3">
      <c r="C3001" s="1"/>
    </row>
    <row r="3002" spans="3:3">
      <c r="C3002" s="1"/>
    </row>
    <row r="3003" spans="3:3">
      <c r="C3003" s="1"/>
    </row>
    <row r="3004" spans="3:3">
      <c r="C3004" s="1"/>
    </row>
    <row r="3005" spans="3:3">
      <c r="C3005" s="1"/>
    </row>
    <row r="3006" spans="3:3">
      <c r="C3006" s="1"/>
    </row>
    <row r="3007" spans="3:3">
      <c r="C3007" s="1"/>
    </row>
    <row r="3008" spans="3:3">
      <c r="C3008" s="1"/>
    </row>
    <row r="3009" spans="3:3">
      <c r="C3009" s="1"/>
    </row>
    <row r="3010" spans="3:3">
      <c r="C3010" s="1"/>
    </row>
    <row r="3011" spans="3:3">
      <c r="C3011" s="1"/>
    </row>
    <row r="3012" spans="3:3">
      <c r="C3012" s="1"/>
    </row>
    <row r="3013" spans="3:3">
      <c r="C3013" s="1"/>
    </row>
    <row r="3014" spans="3:3">
      <c r="C3014" s="1"/>
    </row>
    <row r="3015" spans="3:3">
      <c r="C3015" s="1"/>
    </row>
    <row r="3016" spans="3:3">
      <c r="C3016" s="1"/>
    </row>
    <row r="3017" spans="3:3">
      <c r="C3017" s="1"/>
    </row>
    <row r="3018" spans="3:3">
      <c r="C3018" s="1"/>
    </row>
    <row r="3019" spans="3:3">
      <c r="C3019" s="1"/>
    </row>
    <row r="3020" spans="3:3">
      <c r="C3020" s="1"/>
    </row>
    <row r="3021" spans="3:3">
      <c r="C3021" s="1"/>
    </row>
    <row r="3022" spans="3:3">
      <c r="C3022" s="1"/>
    </row>
    <row r="3023" spans="3:3">
      <c r="C3023" s="1"/>
    </row>
    <row r="3024" spans="3:3">
      <c r="C3024" s="1"/>
    </row>
    <row r="3025" spans="3:3">
      <c r="C3025" s="1"/>
    </row>
    <row r="3026" spans="3:3">
      <c r="C3026" s="1"/>
    </row>
    <row r="3027" spans="3:3">
      <c r="C3027" s="1"/>
    </row>
    <row r="3028" spans="3:3">
      <c r="C3028" s="1"/>
    </row>
    <row r="3029" spans="3:3">
      <c r="C3029" s="1"/>
    </row>
    <row r="3030" spans="3:3">
      <c r="C3030" s="1"/>
    </row>
    <row r="3031" spans="3:3">
      <c r="C3031" s="1"/>
    </row>
    <row r="3032" spans="3:3">
      <c r="C3032" s="1"/>
    </row>
    <row r="3033" spans="3:3">
      <c r="C3033" s="1"/>
    </row>
    <row r="3034" spans="3:3">
      <c r="C3034" s="1"/>
    </row>
    <row r="3035" spans="3:3">
      <c r="C3035" s="1"/>
    </row>
    <row r="3036" spans="3:3">
      <c r="C3036" s="1"/>
    </row>
    <row r="3037" spans="3:3">
      <c r="C3037" s="1"/>
    </row>
    <row r="3038" spans="3:3">
      <c r="C3038" s="1"/>
    </row>
    <row r="3039" spans="3:3">
      <c r="C3039" s="1"/>
    </row>
    <row r="3040" spans="3:3">
      <c r="C3040" s="1"/>
    </row>
    <row r="3041" spans="3:3">
      <c r="C3041" s="1"/>
    </row>
    <row r="3042" spans="3:3">
      <c r="C3042" s="1"/>
    </row>
    <row r="3043" spans="3:3">
      <c r="C3043" s="1"/>
    </row>
    <row r="3044" spans="3:3">
      <c r="C3044" s="1"/>
    </row>
    <row r="3045" spans="3:3">
      <c r="C3045" s="1"/>
    </row>
    <row r="3046" spans="3:3">
      <c r="C3046" s="1"/>
    </row>
    <row r="3047" spans="3:3">
      <c r="C3047" s="1"/>
    </row>
    <row r="3048" spans="3:3">
      <c r="C3048" s="1"/>
    </row>
    <row r="3049" spans="3:3">
      <c r="C3049" s="1"/>
    </row>
    <row r="3050" spans="3:3">
      <c r="C3050" s="1"/>
    </row>
    <row r="3051" spans="3:3">
      <c r="C3051" s="1"/>
    </row>
    <row r="3052" spans="3:3">
      <c r="C3052" s="1"/>
    </row>
    <row r="3053" spans="3:3">
      <c r="C3053" s="1"/>
    </row>
    <row r="3054" spans="3:3">
      <c r="C3054" s="1"/>
    </row>
    <row r="3055" spans="3:3">
      <c r="C3055" s="1"/>
    </row>
    <row r="3056" spans="3:3">
      <c r="C3056" s="1"/>
    </row>
    <row r="3057" spans="3:3">
      <c r="C3057" s="1"/>
    </row>
    <row r="3058" spans="3:3">
      <c r="C3058" s="1"/>
    </row>
    <row r="3059" spans="3:3">
      <c r="C3059" s="1"/>
    </row>
    <row r="3060" spans="3:3">
      <c r="C3060" s="1"/>
    </row>
    <row r="3061" spans="3:3">
      <c r="C3061" s="1"/>
    </row>
    <row r="3062" spans="3:3">
      <c r="C3062" s="1"/>
    </row>
    <row r="3063" spans="3:3">
      <c r="C3063" s="1"/>
    </row>
    <row r="3064" spans="3:3">
      <c r="C3064" s="1"/>
    </row>
    <row r="3065" spans="3:3">
      <c r="C3065" s="1"/>
    </row>
    <row r="3066" spans="3:3">
      <c r="C3066" s="1"/>
    </row>
    <row r="3067" spans="3:3">
      <c r="C3067" s="1"/>
    </row>
    <row r="3068" spans="3:3">
      <c r="C3068" s="1"/>
    </row>
    <row r="3069" spans="3:3">
      <c r="C3069" s="1"/>
    </row>
    <row r="3070" spans="3:3">
      <c r="C3070" s="1"/>
    </row>
    <row r="3071" spans="3:3">
      <c r="C3071" s="1"/>
    </row>
    <row r="3072" spans="3:3">
      <c r="C3072" s="1"/>
    </row>
    <row r="3073" spans="3:3">
      <c r="C3073" s="1"/>
    </row>
    <row r="3074" spans="3:3">
      <c r="C3074" s="1"/>
    </row>
    <row r="3075" spans="3:3">
      <c r="C3075" s="1"/>
    </row>
    <row r="3076" spans="3:3">
      <c r="C3076" s="1"/>
    </row>
    <row r="3077" spans="3:3">
      <c r="C3077" s="1"/>
    </row>
    <row r="3078" spans="3:3">
      <c r="C3078" s="1"/>
    </row>
    <row r="3079" spans="3:3">
      <c r="C3079" s="1"/>
    </row>
    <row r="3080" spans="3:3">
      <c r="C3080" s="1"/>
    </row>
    <row r="3081" spans="3:3">
      <c r="C3081" s="1"/>
    </row>
    <row r="3082" spans="3:3">
      <c r="C3082" s="1"/>
    </row>
    <row r="3083" spans="3:3">
      <c r="C3083" s="1"/>
    </row>
    <row r="3084" spans="3:3">
      <c r="C3084" s="1"/>
    </row>
    <row r="3085" spans="3:3">
      <c r="C3085" s="1"/>
    </row>
    <row r="3086" spans="3:3">
      <c r="C3086" s="1"/>
    </row>
    <row r="3087" spans="3:3">
      <c r="C3087" s="1"/>
    </row>
    <row r="3088" spans="3:3">
      <c r="C3088" s="1"/>
    </row>
    <row r="3089" spans="3:3">
      <c r="C3089" s="1"/>
    </row>
    <row r="3090" spans="3:3">
      <c r="C3090" s="1"/>
    </row>
    <row r="3091" spans="3:3">
      <c r="C3091" s="1"/>
    </row>
    <row r="3092" spans="3:3">
      <c r="C3092" s="1"/>
    </row>
    <row r="3093" spans="3:3">
      <c r="C3093" s="1"/>
    </row>
    <row r="3094" spans="3:3">
      <c r="C3094" s="1"/>
    </row>
    <row r="3095" spans="3:3">
      <c r="C3095" s="1"/>
    </row>
    <row r="3096" spans="3:3">
      <c r="C3096" s="1"/>
    </row>
    <row r="3097" spans="3:3">
      <c r="C3097" s="1"/>
    </row>
    <row r="3098" spans="3:3">
      <c r="C3098" s="1"/>
    </row>
    <row r="3099" spans="3:3">
      <c r="C3099" s="1"/>
    </row>
    <row r="3100" spans="3:3">
      <c r="C3100" s="1"/>
    </row>
    <row r="3101" spans="3:3">
      <c r="C3101" s="1"/>
    </row>
    <row r="3102" spans="3:3">
      <c r="C3102" s="1"/>
    </row>
    <row r="3103" spans="3:3">
      <c r="C3103" s="1"/>
    </row>
    <row r="3104" spans="3:3">
      <c r="C3104" s="1"/>
    </row>
    <row r="3105" spans="3:3">
      <c r="C3105" s="1"/>
    </row>
    <row r="3106" spans="3:3">
      <c r="C3106" s="1"/>
    </row>
    <row r="3107" spans="3:3">
      <c r="C3107" s="1"/>
    </row>
    <row r="3108" spans="3:3">
      <c r="C3108" s="1"/>
    </row>
    <row r="3109" spans="3:3">
      <c r="C3109" s="1"/>
    </row>
    <row r="3110" spans="3:3">
      <c r="C3110" s="1"/>
    </row>
    <row r="3111" spans="3:3">
      <c r="C3111" s="1"/>
    </row>
    <row r="3112" spans="3:3">
      <c r="C3112" s="1"/>
    </row>
    <row r="3113" spans="3:3">
      <c r="C3113" s="1"/>
    </row>
    <row r="3114" spans="3:3">
      <c r="C3114" s="1"/>
    </row>
    <row r="3115" spans="3:3">
      <c r="C3115" s="1"/>
    </row>
    <row r="3116" spans="3:3">
      <c r="C3116" s="1"/>
    </row>
    <row r="3117" spans="3:3">
      <c r="C3117" s="1"/>
    </row>
    <row r="3118" spans="3:3">
      <c r="C3118" s="1"/>
    </row>
    <row r="3119" spans="3:3">
      <c r="C3119" s="1"/>
    </row>
    <row r="3120" spans="3:3">
      <c r="C3120" s="1"/>
    </row>
    <row r="3121" spans="3:3">
      <c r="C3121" s="1"/>
    </row>
    <row r="3122" spans="3:3">
      <c r="C3122" s="1"/>
    </row>
    <row r="3123" spans="3:3">
      <c r="C3123" s="1"/>
    </row>
    <row r="3124" spans="3:3">
      <c r="C3124" s="1"/>
    </row>
    <row r="3125" spans="3:3">
      <c r="C3125" s="1"/>
    </row>
    <row r="3126" spans="3:3">
      <c r="C3126" s="1"/>
    </row>
    <row r="3127" spans="3:3">
      <c r="C3127" s="1"/>
    </row>
    <row r="3128" spans="3:3">
      <c r="C3128" s="1"/>
    </row>
    <row r="3129" spans="3:3">
      <c r="C3129" s="1"/>
    </row>
    <row r="3130" spans="3:3">
      <c r="C3130" s="1"/>
    </row>
    <row r="3131" spans="3:3">
      <c r="C3131" s="1"/>
    </row>
    <row r="3132" spans="3:3">
      <c r="C3132" s="1"/>
    </row>
    <row r="3133" spans="3:3">
      <c r="C3133" s="1"/>
    </row>
    <row r="3134" spans="3:3">
      <c r="C3134" s="1"/>
    </row>
    <row r="3135" spans="3:3">
      <c r="C3135" s="1"/>
    </row>
    <row r="3136" spans="3:3">
      <c r="C3136" s="1"/>
    </row>
    <row r="3137" spans="3:3">
      <c r="C3137" s="1"/>
    </row>
    <row r="3138" spans="3:3">
      <c r="C3138" s="1"/>
    </row>
    <row r="3139" spans="3:3">
      <c r="C3139" s="1"/>
    </row>
    <row r="3140" spans="3:3">
      <c r="C3140" s="1"/>
    </row>
    <row r="3141" spans="3:3">
      <c r="C3141" s="1"/>
    </row>
    <row r="3142" spans="3:3">
      <c r="C3142" s="1"/>
    </row>
    <row r="3143" spans="3:3">
      <c r="C3143" s="1"/>
    </row>
    <row r="3144" spans="3:3">
      <c r="C3144" s="1"/>
    </row>
    <row r="3145" spans="3:3">
      <c r="C3145" s="1"/>
    </row>
    <row r="3146" spans="3:3">
      <c r="C3146" s="1"/>
    </row>
    <row r="3147" spans="3:3">
      <c r="C3147" s="1"/>
    </row>
    <row r="3148" spans="3:3">
      <c r="C3148" s="1"/>
    </row>
    <row r="3149" spans="3:3">
      <c r="C3149" s="1"/>
    </row>
    <row r="3150" spans="3:3">
      <c r="C3150" s="1"/>
    </row>
    <row r="3151" spans="3:3">
      <c r="C3151" s="1"/>
    </row>
    <row r="3152" spans="3:3">
      <c r="C3152" s="1"/>
    </row>
    <row r="3153" spans="3:3">
      <c r="C3153" s="1"/>
    </row>
    <row r="3154" spans="3:3">
      <c r="C3154" s="1"/>
    </row>
    <row r="3155" spans="3:3">
      <c r="C3155" s="1"/>
    </row>
    <row r="3156" spans="3:3">
      <c r="C3156" s="1"/>
    </row>
    <row r="3157" spans="3:3">
      <c r="C3157" s="1"/>
    </row>
    <row r="3158" spans="3:3">
      <c r="C3158" s="1"/>
    </row>
    <row r="3159" spans="3:3">
      <c r="C3159" s="1"/>
    </row>
    <row r="3160" spans="3:3">
      <c r="C3160" s="1"/>
    </row>
    <row r="3161" spans="3:3">
      <c r="C3161" s="1"/>
    </row>
    <row r="3162" spans="3:3">
      <c r="C3162" s="1"/>
    </row>
    <row r="3163" spans="3:3">
      <c r="C3163" s="1"/>
    </row>
    <row r="3164" spans="3:3">
      <c r="C3164" s="1"/>
    </row>
    <row r="3165" spans="3:3">
      <c r="C3165" s="1"/>
    </row>
    <row r="3166" spans="3:3">
      <c r="C3166" s="1"/>
    </row>
    <row r="3167" spans="3:3">
      <c r="C3167" s="1"/>
    </row>
    <row r="3168" spans="3:3">
      <c r="C3168" s="1"/>
    </row>
    <row r="3169" spans="3:3">
      <c r="C3169" s="1"/>
    </row>
    <row r="3170" spans="3:3">
      <c r="C3170" s="1"/>
    </row>
    <row r="3171" spans="3:3">
      <c r="C3171" s="1"/>
    </row>
    <row r="3172" spans="3:3">
      <c r="C3172" s="1"/>
    </row>
    <row r="3173" spans="3:3">
      <c r="C3173" s="1"/>
    </row>
    <row r="3174" spans="3:3">
      <c r="C3174" s="1"/>
    </row>
    <row r="3175" spans="3:3">
      <c r="C3175" s="1"/>
    </row>
    <row r="3176" spans="3:3">
      <c r="C3176" s="1"/>
    </row>
    <row r="3177" spans="3:3">
      <c r="C3177" s="1"/>
    </row>
    <row r="3178" spans="3:3">
      <c r="C3178" s="1"/>
    </row>
    <row r="3179" spans="3:3">
      <c r="C3179" s="1"/>
    </row>
    <row r="3180" spans="3:3">
      <c r="C3180" s="1"/>
    </row>
    <row r="3181" spans="3:3">
      <c r="C3181" s="1"/>
    </row>
    <row r="3182" spans="3:3">
      <c r="C3182" s="1"/>
    </row>
    <row r="3183" spans="3:3">
      <c r="C3183" s="1"/>
    </row>
    <row r="3184" spans="3:3">
      <c r="C3184" s="1"/>
    </row>
    <row r="3185" spans="3:3">
      <c r="C3185" s="1"/>
    </row>
    <row r="3186" spans="3:3">
      <c r="C3186" s="1"/>
    </row>
    <row r="3187" spans="3:3">
      <c r="C3187" s="1"/>
    </row>
    <row r="3188" spans="3:3">
      <c r="C3188" s="1"/>
    </row>
    <row r="3189" spans="3:3">
      <c r="C3189" s="1"/>
    </row>
    <row r="3190" spans="3:3">
      <c r="C3190" s="1"/>
    </row>
    <row r="3191" spans="3:3">
      <c r="C3191" s="1"/>
    </row>
    <row r="3192" spans="3:3">
      <c r="C3192" s="1"/>
    </row>
    <row r="3193" spans="3:3">
      <c r="C3193" s="1"/>
    </row>
    <row r="3194" spans="3:3">
      <c r="C3194" s="1"/>
    </row>
    <row r="3195" spans="3:3">
      <c r="C3195" s="1"/>
    </row>
    <row r="3196" spans="3:3">
      <c r="C3196" s="1"/>
    </row>
    <row r="3197" spans="3:3">
      <c r="C3197" s="1"/>
    </row>
    <row r="3198" spans="3:3">
      <c r="C3198" s="1"/>
    </row>
    <row r="3199" spans="3:3">
      <c r="C3199" s="1"/>
    </row>
    <row r="3200" spans="3:3">
      <c r="C3200" s="1"/>
    </row>
    <row r="3201" spans="3:3">
      <c r="C3201" s="1"/>
    </row>
    <row r="3202" spans="3:3">
      <c r="C3202" s="1"/>
    </row>
    <row r="3203" spans="3:3">
      <c r="C3203" s="1"/>
    </row>
    <row r="3204" spans="3:3">
      <c r="C3204" s="1"/>
    </row>
    <row r="3205" spans="3:3">
      <c r="C3205" s="1"/>
    </row>
    <row r="3206" spans="3:3">
      <c r="C3206" s="1"/>
    </row>
    <row r="3207" spans="3:3">
      <c r="C3207" s="1"/>
    </row>
    <row r="3208" spans="3:3">
      <c r="C3208" s="1"/>
    </row>
    <row r="3209" spans="3:3">
      <c r="C3209" s="1"/>
    </row>
    <row r="3210" spans="3:3">
      <c r="C3210" s="1"/>
    </row>
    <row r="3211" spans="3:3">
      <c r="C3211" s="1"/>
    </row>
    <row r="3212" spans="3:3">
      <c r="C3212" s="1"/>
    </row>
    <row r="3213" spans="3:3">
      <c r="C3213" s="1"/>
    </row>
    <row r="3214" spans="3:3">
      <c r="C3214" s="1"/>
    </row>
    <row r="3215" spans="3:3">
      <c r="C3215" s="1"/>
    </row>
    <row r="3216" spans="3:3">
      <c r="C3216" s="1"/>
    </row>
    <row r="3217" spans="3:3">
      <c r="C3217" s="1"/>
    </row>
    <row r="3218" spans="3:3">
      <c r="C3218" s="1"/>
    </row>
    <row r="3219" spans="3:3">
      <c r="C3219" s="1"/>
    </row>
    <row r="3220" spans="3:3">
      <c r="C3220" s="1"/>
    </row>
    <row r="3221" spans="3:3">
      <c r="C3221" s="1"/>
    </row>
    <row r="3222" spans="3:3">
      <c r="C3222" s="1"/>
    </row>
    <row r="3223" spans="3:3">
      <c r="C3223" s="1"/>
    </row>
    <row r="3224" spans="3:3">
      <c r="C3224" s="1"/>
    </row>
    <row r="3225" spans="3:3">
      <c r="C3225" s="1"/>
    </row>
    <row r="3226" spans="3:3">
      <c r="C3226" s="1"/>
    </row>
    <row r="3227" spans="3:3">
      <c r="C3227" s="1"/>
    </row>
    <row r="3228" spans="3:3">
      <c r="C3228" s="1"/>
    </row>
    <row r="3229" spans="3:3">
      <c r="C3229" s="1"/>
    </row>
    <row r="3230" spans="3:3">
      <c r="C3230" s="1"/>
    </row>
    <row r="3231" spans="3:3">
      <c r="C3231" s="1"/>
    </row>
    <row r="3232" spans="3:3">
      <c r="C3232" s="1"/>
    </row>
    <row r="3233" spans="3:3">
      <c r="C3233" s="1"/>
    </row>
    <row r="3234" spans="3:3">
      <c r="C3234" s="1"/>
    </row>
    <row r="3235" spans="3:3">
      <c r="C3235" s="1"/>
    </row>
    <row r="3236" spans="3:3">
      <c r="C3236" s="1"/>
    </row>
    <row r="3237" spans="3:3">
      <c r="C3237" s="1"/>
    </row>
    <row r="3238" spans="3:3">
      <c r="C3238" s="1"/>
    </row>
    <row r="3239" spans="3:3">
      <c r="C3239" s="1"/>
    </row>
    <row r="3240" spans="3:3">
      <c r="C3240" s="1"/>
    </row>
    <row r="3241" spans="3:3">
      <c r="C3241" s="1"/>
    </row>
    <row r="3242" spans="3:3">
      <c r="C3242" s="1"/>
    </row>
    <row r="3243" spans="3:3">
      <c r="C3243" s="1"/>
    </row>
    <row r="3244" spans="3:3">
      <c r="C3244" s="1"/>
    </row>
    <row r="3245" spans="3:3">
      <c r="C3245" s="1"/>
    </row>
    <row r="3246" spans="3:3">
      <c r="C3246" s="1"/>
    </row>
    <row r="3247" spans="3:3">
      <c r="C3247" s="1"/>
    </row>
    <row r="3248" spans="3:3">
      <c r="C3248" s="1"/>
    </row>
    <row r="3249" spans="3:3">
      <c r="C3249" s="1"/>
    </row>
    <row r="3250" spans="3:3">
      <c r="C3250" s="1"/>
    </row>
    <row r="3251" spans="3:3">
      <c r="C3251" s="1"/>
    </row>
    <row r="3252" spans="3:3">
      <c r="C3252" s="1"/>
    </row>
    <row r="3253" spans="3:3">
      <c r="C3253" s="1"/>
    </row>
    <row r="3254" spans="3:3">
      <c r="C3254" s="1"/>
    </row>
    <row r="3255" spans="3:3">
      <c r="C3255" s="1"/>
    </row>
    <row r="3256" spans="3:3">
      <c r="C3256" s="1"/>
    </row>
    <row r="3257" spans="3:3">
      <c r="C3257" s="1"/>
    </row>
    <row r="3258" spans="3:3">
      <c r="C3258" s="1"/>
    </row>
    <row r="3259" spans="3:3">
      <c r="C3259" s="1"/>
    </row>
    <row r="3260" spans="3:3">
      <c r="C3260" s="1"/>
    </row>
    <row r="3261" spans="3:3">
      <c r="C3261" s="1"/>
    </row>
    <row r="3262" spans="3:3">
      <c r="C3262" s="1"/>
    </row>
    <row r="3263" spans="3:3">
      <c r="C3263" s="1"/>
    </row>
    <row r="3264" spans="3:3">
      <c r="C3264" s="1"/>
    </row>
    <row r="3265" spans="3:3">
      <c r="C3265" s="1"/>
    </row>
    <row r="3266" spans="3:3">
      <c r="C3266" s="1"/>
    </row>
    <row r="3267" spans="3:3">
      <c r="C3267" s="1"/>
    </row>
    <row r="3268" spans="3:3">
      <c r="C3268" s="1"/>
    </row>
    <row r="3269" spans="3:3">
      <c r="C3269" s="1"/>
    </row>
    <row r="3270" spans="3:3">
      <c r="C3270" s="1"/>
    </row>
    <row r="3271" spans="3:3">
      <c r="C3271" s="1"/>
    </row>
    <row r="3272" spans="3:3">
      <c r="C3272" s="1"/>
    </row>
    <row r="3273" spans="3:3">
      <c r="C3273" s="1"/>
    </row>
    <row r="3274" spans="3:3">
      <c r="C3274" s="1"/>
    </row>
    <row r="3275" spans="3:3">
      <c r="C3275" s="1"/>
    </row>
    <row r="3276" spans="3:3">
      <c r="C3276" s="1"/>
    </row>
    <row r="3277" spans="3:3">
      <c r="C3277" s="1"/>
    </row>
    <row r="3278" spans="3:3">
      <c r="C3278" s="1"/>
    </row>
    <row r="3279" spans="3:3">
      <c r="C3279" s="1"/>
    </row>
    <row r="3280" spans="3:3">
      <c r="C3280" s="1"/>
    </row>
    <row r="3281" spans="3:3">
      <c r="C3281" s="1"/>
    </row>
    <row r="3282" spans="3:3">
      <c r="C3282" s="1"/>
    </row>
    <row r="3283" spans="3:3">
      <c r="C3283" s="1"/>
    </row>
    <row r="3284" spans="3:3">
      <c r="C3284" s="1"/>
    </row>
    <row r="3285" spans="3:3">
      <c r="C3285" s="1"/>
    </row>
    <row r="3286" spans="3:3">
      <c r="C3286" s="1"/>
    </row>
    <row r="3287" spans="3:3">
      <c r="C3287" s="1"/>
    </row>
    <row r="3288" spans="3:3">
      <c r="C3288" s="1"/>
    </row>
    <row r="3289" spans="3:3">
      <c r="C3289" s="1"/>
    </row>
    <row r="3290" spans="3:3">
      <c r="C3290" s="1"/>
    </row>
    <row r="3291" spans="3:3">
      <c r="C3291" s="1"/>
    </row>
    <row r="3292" spans="3:3">
      <c r="C3292" s="1"/>
    </row>
    <row r="3293" spans="3:3">
      <c r="C3293" s="1"/>
    </row>
    <row r="3294" spans="3:3">
      <c r="C3294" s="1"/>
    </row>
    <row r="3295" spans="3:3">
      <c r="C3295" s="1"/>
    </row>
    <row r="3296" spans="3:3">
      <c r="C3296" s="1"/>
    </row>
    <row r="3297" spans="3:3">
      <c r="C3297" s="1"/>
    </row>
    <row r="3298" spans="3:3">
      <c r="C3298" s="1"/>
    </row>
    <row r="3299" spans="3:3">
      <c r="C3299" s="1"/>
    </row>
    <row r="3300" spans="3:3">
      <c r="C3300" s="1"/>
    </row>
    <row r="3301" spans="3:3">
      <c r="C3301" s="1"/>
    </row>
    <row r="3302" spans="3:3">
      <c r="C3302" s="1"/>
    </row>
    <row r="3303" spans="3:3">
      <c r="C3303" s="1"/>
    </row>
    <row r="3304" spans="3:3">
      <c r="C3304" s="1"/>
    </row>
    <row r="3305" spans="3:3">
      <c r="C3305" s="1"/>
    </row>
    <row r="3306" spans="3:3">
      <c r="C3306" s="1"/>
    </row>
    <row r="3307" spans="3:3">
      <c r="C3307" s="1"/>
    </row>
    <row r="3308" spans="3:3">
      <c r="C3308" s="1"/>
    </row>
    <row r="3309" spans="3:3">
      <c r="C3309" s="1"/>
    </row>
    <row r="3310" spans="3:3">
      <c r="C3310" s="1"/>
    </row>
    <row r="3311" spans="3:3">
      <c r="C3311" s="1"/>
    </row>
    <row r="3312" spans="3:3">
      <c r="C3312" s="1"/>
    </row>
    <row r="3313" spans="3:3">
      <c r="C3313" s="1"/>
    </row>
    <row r="3314" spans="3:3">
      <c r="C3314" s="1"/>
    </row>
    <row r="3315" spans="3:3">
      <c r="C3315" s="1"/>
    </row>
    <row r="3316" spans="3:3">
      <c r="C3316" s="1"/>
    </row>
    <row r="3317" spans="3:3">
      <c r="C3317" s="1"/>
    </row>
    <row r="3318" spans="3:3">
      <c r="C3318" s="1"/>
    </row>
    <row r="3319" spans="3:3">
      <c r="C3319" s="1"/>
    </row>
    <row r="3320" spans="3:3">
      <c r="C3320" s="1"/>
    </row>
    <row r="3321" spans="3:3">
      <c r="C3321" s="1"/>
    </row>
    <row r="3322" spans="3:3">
      <c r="C3322" s="1"/>
    </row>
    <row r="3323" spans="3:3">
      <c r="C3323" s="1"/>
    </row>
    <row r="3324" spans="3:3">
      <c r="C3324" s="1"/>
    </row>
    <row r="3325" spans="3:3">
      <c r="C3325" s="1"/>
    </row>
    <row r="3326" spans="3:3">
      <c r="C3326" s="1"/>
    </row>
    <row r="3327" spans="3:3">
      <c r="C3327" s="1"/>
    </row>
    <row r="3328" spans="3:3">
      <c r="C3328" s="1"/>
    </row>
    <row r="3329" spans="3:3">
      <c r="C3329" s="1"/>
    </row>
    <row r="3330" spans="3:3">
      <c r="C3330" s="1"/>
    </row>
    <row r="3331" spans="3:3">
      <c r="C3331" s="1"/>
    </row>
    <row r="3332" spans="3:3">
      <c r="C3332" s="1"/>
    </row>
    <row r="3333" spans="3:3">
      <c r="C3333" s="1"/>
    </row>
    <row r="3334" spans="3:3">
      <c r="C3334" s="1"/>
    </row>
    <row r="3335" spans="3:3">
      <c r="C3335" s="1"/>
    </row>
    <row r="3336" spans="3:3">
      <c r="C3336" s="1"/>
    </row>
    <row r="3337" spans="3:3">
      <c r="C3337" s="1"/>
    </row>
    <row r="3338" spans="3:3">
      <c r="C3338" s="1"/>
    </row>
    <row r="3339" spans="3:3">
      <c r="C3339" s="1"/>
    </row>
    <row r="3340" spans="3:3">
      <c r="C3340" s="1"/>
    </row>
    <row r="3341" spans="3:3">
      <c r="C3341" s="1"/>
    </row>
    <row r="3342" spans="3:3">
      <c r="C3342" s="1"/>
    </row>
    <row r="3343" spans="3:3">
      <c r="C3343" s="1"/>
    </row>
    <row r="3344" spans="3:3">
      <c r="C3344" s="1"/>
    </row>
    <row r="3345" spans="3:3">
      <c r="C3345" s="1"/>
    </row>
    <row r="3346" spans="3:3">
      <c r="C3346" s="1"/>
    </row>
    <row r="3347" spans="3:3">
      <c r="C3347" s="1"/>
    </row>
    <row r="3348" spans="3:3">
      <c r="C3348" s="1"/>
    </row>
    <row r="3349" spans="3:3">
      <c r="C3349" s="1"/>
    </row>
    <row r="3350" spans="3:3">
      <c r="C3350" s="1"/>
    </row>
    <row r="3351" spans="3:3">
      <c r="C3351" s="1"/>
    </row>
    <row r="3352" spans="3:3">
      <c r="C3352" s="1"/>
    </row>
    <row r="3353" spans="3:3">
      <c r="C3353" s="1"/>
    </row>
    <row r="3354" spans="3:3">
      <c r="C3354" s="1"/>
    </row>
    <row r="3355" spans="3:3">
      <c r="C3355" s="1"/>
    </row>
    <row r="3356" spans="3:3">
      <c r="C3356" s="1"/>
    </row>
    <row r="3357" spans="3:3">
      <c r="C3357" s="1"/>
    </row>
    <row r="3358" spans="3:3">
      <c r="C3358" s="1"/>
    </row>
    <row r="3359" spans="3:3">
      <c r="C3359" s="1"/>
    </row>
    <row r="3360" spans="3:3">
      <c r="C3360" s="1"/>
    </row>
    <row r="3361" spans="3:3">
      <c r="C3361" s="1"/>
    </row>
    <row r="3362" spans="3:3">
      <c r="C3362" s="1"/>
    </row>
    <row r="3363" spans="3:3">
      <c r="C3363" s="1"/>
    </row>
    <row r="3364" spans="3:3">
      <c r="C3364" s="1"/>
    </row>
    <row r="3365" spans="3:3">
      <c r="C3365" s="1"/>
    </row>
    <row r="3366" spans="3:3">
      <c r="C3366" s="1"/>
    </row>
    <row r="3367" spans="3:3">
      <c r="C3367" s="1"/>
    </row>
    <row r="3368" spans="3:3">
      <c r="C3368" s="1"/>
    </row>
    <row r="3369" spans="3:3">
      <c r="C3369" s="1"/>
    </row>
    <row r="3370" spans="3:3">
      <c r="C3370" s="1"/>
    </row>
    <row r="3371" spans="3:3">
      <c r="C3371" s="1"/>
    </row>
    <row r="3372" spans="3:3">
      <c r="C3372" s="1"/>
    </row>
    <row r="3373" spans="3:3">
      <c r="C3373" s="1"/>
    </row>
    <row r="3374" spans="3:3">
      <c r="C3374" s="1"/>
    </row>
    <row r="3375" spans="3:3">
      <c r="C3375" s="1"/>
    </row>
    <row r="3376" spans="3:3">
      <c r="C3376" s="1"/>
    </row>
    <row r="3377" spans="3:3">
      <c r="C3377" s="1"/>
    </row>
    <row r="3378" spans="3:3">
      <c r="C3378" s="1"/>
    </row>
    <row r="3379" spans="3:3">
      <c r="C3379" s="1"/>
    </row>
    <row r="3380" spans="3:3">
      <c r="C3380" s="1"/>
    </row>
    <row r="3381" spans="3:3">
      <c r="C3381" s="1"/>
    </row>
    <row r="3382" spans="3:3">
      <c r="C3382" s="1"/>
    </row>
    <row r="3383" spans="3:3">
      <c r="C3383" s="1"/>
    </row>
    <row r="3384" spans="3:3">
      <c r="C3384" s="1"/>
    </row>
    <row r="3385" spans="3:3">
      <c r="C3385" s="1"/>
    </row>
    <row r="3386" spans="3:3">
      <c r="C3386" s="1"/>
    </row>
    <row r="3387" spans="3:3">
      <c r="C3387" s="1"/>
    </row>
    <row r="3388" spans="3:3">
      <c r="C3388" s="1"/>
    </row>
    <row r="3389" spans="3:3">
      <c r="C3389" s="1"/>
    </row>
    <row r="3390" spans="3:3">
      <c r="C3390" s="1"/>
    </row>
    <row r="3391" spans="3:3">
      <c r="C3391" s="1"/>
    </row>
    <row r="3392" spans="3:3">
      <c r="C3392" s="1"/>
    </row>
    <row r="3393" spans="3:3">
      <c r="C3393" s="1"/>
    </row>
    <row r="3394" spans="3:3">
      <c r="C3394" s="1"/>
    </row>
    <row r="3395" spans="3:3">
      <c r="C3395" s="1"/>
    </row>
    <row r="3396" spans="3:3">
      <c r="C3396" s="1"/>
    </row>
    <row r="3397" spans="3:3">
      <c r="C3397" s="1"/>
    </row>
    <row r="3398" spans="3:3">
      <c r="C3398" s="1"/>
    </row>
    <row r="3399" spans="3:3">
      <c r="C3399" s="1"/>
    </row>
    <row r="3400" spans="3:3">
      <c r="C3400" s="1"/>
    </row>
    <row r="3401" spans="3:3">
      <c r="C3401" s="1"/>
    </row>
    <row r="3402" spans="3:3">
      <c r="C3402" s="1"/>
    </row>
    <row r="3403" spans="3:3">
      <c r="C3403" s="1"/>
    </row>
    <row r="3404" spans="3:3">
      <c r="C3404" s="1"/>
    </row>
    <row r="3405" spans="3:3">
      <c r="C3405" s="1"/>
    </row>
    <row r="3406" spans="3:3">
      <c r="C3406" s="1"/>
    </row>
    <row r="3407" spans="3:3">
      <c r="C3407" s="1"/>
    </row>
    <row r="3408" spans="3:3">
      <c r="C3408" s="1"/>
    </row>
    <row r="3409" spans="3:3">
      <c r="C3409" s="1"/>
    </row>
    <row r="3410" spans="3:3">
      <c r="C3410" s="1"/>
    </row>
    <row r="3411" spans="3:3">
      <c r="C3411" s="1"/>
    </row>
    <row r="3412" spans="3:3">
      <c r="C3412" s="1"/>
    </row>
    <row r="3413" spans="3:3">
      <c r="C3413" s="1"/>
    </row>
    <row r="3414" spans="3:3">
      <c r="C3414" s="1"/>
    </row>
    <row r="3415" spans="3:3">
      <c r="C3415" s="1"/>
    </row>
    <row r="3416" spans="3:3">
      <c r="C3416" s="1"/>
    </row>
    <row r="3417" spans="3:3">
      <c r="C3417" s="1"/>
    </row>
    <row r="3418" spans="3:3">
      <c r="C3418" s="1"/>
    </row>
    <row r="3419" spans="3:3">
      <c r="C3419" s="1"/>
    </row>
    <row r="3420" spans="3:3">
      <c r="C3420" s="1"/>
    </row>
    <row r="3421" spans="3:3">
      <c r="C3421" s="1"/>
    </row>
    <row r="3422" spans="3:3">
      <c r="C3422" s="1"/>
    </row>
    <row r="3423" spans="3:3">
      <c r="C3423" s="1"/>
    </row>
    <row r="3424" spans="3:3">
      <c r="C3424" s="1"/>
    </row>
    <row r="3425" spans="3:3">
      <c r="C3425" s="1"/>
    </row>
    <row r="3426" spans="3:3">
      <c r="C3426" s="1"/>
    </row>
    <row r="3427" spans="3:3">
      <c r="C3427" s="1"/>
    </row>
    <row r="3428" spans="3:3">
      <c r="C3428" s="1"/>
    </row>
    <row r="3429" spans="3:3">
      <c r="C3429" s="1"/>
    </row>
    <row r="3430" spans="3:3">
      <c r="C3430" s="1"/>
    </row>
    <row r="3431" spans="3:3">
      <c r="C3431" s="1"/>
    </row>
    <row r="3432" spans="3:3">
      <c r="C3432" s="1"/>
    </row>
    <row r="3433" spans="3:3">
      <c r="C3433" s="1"/>
    </row>
    <row r="3434" spans="3:3">
      <c r="C3434" s="1"/>
    </row>
    <row r="3435" spans="3:3">
      <c r="C3435" s="1"/>
    </row>
    <row r="3436" spans="3:3">
      <c r="C3436" s="1"/>
    </row>
    <row r="3437" spans="3:3">
      <c r="C3437" s="1"/>
    </row>
    <row r="3438" spans="3:3">
      <c r="C3438" s="1"/>
    </row>
    <row r="3439" spans="3:3">
      <c r="C3439" s="1"/>
    </row>
    <row r="3440" spans="3:3">
      <c r="C3440" s="1"/>
    </row>
    <row r="3441" spans="3:3">
      <c r="C3441" s="1"/>
    </row>
    <row r="3442" spans="3:3">
      <c r="C3442" s="1"/>
    </row>
    <row r="3443" spans="3:3">
      <c r="C3443" s="1"/>
    </row>
    <row r="3444" spans="3:3">
      <c r="C3444" s="1"/>
    </row>
    <row r="3445" spans="3:3">
      <c r="C3445" s="1"/>
    </row>
    <row r="3446" spans="3:3">
      <c r="C3446" s="1"/>
    </row>
    <row r="3447" spans="3:3">
      <c r="C3447" s="1"/>
    </row>
    <row r="3448" spans="3:3">
      <c r="C3448" s="1"/>
    </row>
    <row r="3449" spans="3:3">
      <c r="C3449" s="1"/>
    </row>
    <row r="3450" spans="3:3">
      <c r="C3450" s="1"/>
    </row>
    <row r="3451" spans="3:3">
      <c r="C3451" s="1"/>
    </row>
    <row r="3452" spans="3:3">
      <c r="C3452" s="1"/>
    </row>
    <row r="3453" spans="3:3">
      <c r="C3453" s="1"/>
    </row>
    <row r="3454" spans="3:3">
      <c r="C3454" s="1"/>
    </row>
    <row r="3455" spans="3:3">
      <c r="C3455" s="1"/>
    </row>
    <row r="3456" spans="3:3">
      <c r="C3456" s="1"/>
    </row>
    <row r="3457" spans="3:3">
      <c r="C3457" s="1"/>
    </row>
    <row r="3458" spans="3:3">
      <c r="C3458" s="1"/>
    </row>
    <row r="3459" spans="3:3">
      <c r="C3459" s="1"/>
    </row>
    <row r="3460" spans="3:3">
      <c r="C3460" s="1"/>
    </row>
    <row r="3461" spans="3:3">
      <c r="C3461" s="1"/>
    </row>
    <row r="3462" spans="3:3">
      <c r="C3462" s="1"/>
    </row>
    <row r="3463" spans="3:3">
      <c r="C3463" s="1"/>
    </row>
    <row r="3464" spans="3:3">
      <c r="C3464" s="1"/>
    </row>
    <row r="3465" spans="3:3">
      <c r="C3465" s="1"/>
    </row>
    <row r="3466" spans="3:3">
      <c r="C3466" s="1"/>
    </row>
    <row r="3467" spans="3:3">
      <c r="C3467" s="1"/>
    </row>
    <row r="3468" spans="3:3">
      <c r="C3468" s="1"/>
    </row>
    <row r="3469" spans="3:3">
      <c r="C3469" s="1"/>
    </row>
    <row r="3470" spans="3:3">
      <c r="C3470" s="1"/>
    </row>
    <row r="3471" spans="3:3">
      <c r="C3471" s="1"/>
    </row>
    <row r="3472" spans="3:3">
      <c r="C3472" s="1"/>
    </row>
    <row r="3473" spans="3:3">
      <c r="C3473" s="1"/>
    </row>
    <row r="3474" spans="3:3">
      <c r="C3474" s="1"/>
    </row>
    <row r="3475" spans="3:3">
      <c r="C3475" s="1"/>
    </row>
    <row r="3476" spans="3:3">
      <c r="C3476" s="1"/>
    </row>
    <row r="3477" spans="3:3">
      <c r="C3477" s="1"/>
    </row>
    <row r="3478" spans="3:3">
      <c r="C3478" s="1"/>
    </row>
    <row r="3479" spans="3:3">
      <c r="C3479" s="1"/>
    </row>
    <row r="3480" spans="3:3">
      <c r="C3480" s="1"/>
    </row>
    <row r="3481" spans="3:3">
      <c r="C3481" s="1"/>
    </row>
    <row r="3482" spans="3:3">
      <c r="C3482" s="1"/>
    </row>
    <row r="3483" spans="3:3">
      <c r="C3483" s="1"/>
    </row>
    <row r="3484" spans="3:3">
      <c r="C3484" s="1"/>
    </row>
    <row r="3485" spans="3:3">
      <c r="C3485" s="1"/>
    </row>
    <row r="3486" spans="3:3">
      <c r="C3486" s="1"/>
    </row>
    <row r="3487" spans="3:3">
      <c r="C3487" s="1"/>
    </row>
    <row r="3488" spans="3:3">
      <c r="C3488" s="1"/>
    </row>
    <row r="3489" spans="3:3">
      <c r="C3489" s="1"/>
    </row>
    <row r="3490" spans="3:3">
      <c r="C3490" s="1"/>
    </row>
    <row r="3491" spans="3:3">
      <c r="C3491" s="1"/>
    </row>
    <row r="3492" spans="3:3">
      <c r="C3492" s="1"/>
    </row>
    <row r="3493" spans="3:3">
      <c r="C3493" s="1"/>
    </row>
    <row r="3494" spans="3:3">
      <c r="C3494" s="1"/>
    </row>
    <row r="3495" spans="3:3">
      <c r="C3495" s="1"/>
    </row>
    <row r="3496" spans="3:3">
      <c r="C3496" s="1"/>
    </row>
    <row r="3497" spans="3:3">
      <c r="C3497" s="1"/>
    </row>
    <row r="3498" spans="3:3">
      <c r="C3498" s="1"/>
    </row>
    <row r="3499" spans="3:3">
      <c r="C3499" s="1"/>
    </row>
    <row r="3500" spans="3:3">
      <c r="C3500" s="1"/>
    </row>
    <row r="3501" spans="3:3">
      <c r="C3501" s="1"/>
    </row>
    <row r="3502" spans="3:3">
      <c r="C3502" s="1"/>
    </row>
    <row r="3503" spans="3:3">
      <c r="C3503" s="1"/>
    </row>
    <row r="3504" spans="3:3">
      <c r="C3504" s="1"/>
    </row>
    <row r="3505" spans="3:3">
      <c r="C3505" s="1"/>
    </row>
    <row r="3506" spans="3:3">
      <c r="C3506" s="1"/>
    </row>
    <row r="3507" spans="3:3">
      <c r="C3507" s="1"/>
    </row>
    <row r="3508" spans="3:3">
      <c r="C3508" s="1"/>
    </row>
    <row r="3509" spans="3:3">
      <c r="C3509" s="1"/>
    </row>
    <row r="3510" spans="3:3">
      <c r="C3510" s="1"/>
    </row>
    <row r="3511" spans="3:3">
      <c r="C3511" s="1"/>
    </row>
    <row r="3512" spans="3:3">
      <c r="C3512" s="1"/>
    </row>
    <row r="3513" spans="3:3">
      <c r="C3513" s="1"/>
    </row>
    <row r="3514" spans="3:3">
      <c r="C3514" s="1"/>
    </row>
    <row r="3515" spans="3:3">
      <c r="C3515" s="1"/>
    </row>
    <row r="3516" spans="3:3">
      <c r="C3516" s="1"/>
    </row>
    <row r="3517" spans="3:3">
      <c r="C3517" s="1"/>
    </row>
    <row r="3518" spans="3:3">
      <c r="C3518" s="1"/>
    </row>
    <row r="3519" spans="3:3">
      <c r="C3519" s="1"/>
    </row>
    <row r="3520" spans="3:3">
      <c r="C3520" s="1"/>
    </row>
    <row r="3521" spans="3:3">
      <c r="C3521" s="1"/>
    </row>
    <row r="3522" spans="3:3">
      <c r="C3522" s="1"/>
    </row>
    <row r="3523" spans="3:3">
      <c r="C3523" s="1"/>
    </row>
    <row r="3524" spans="3:3">
      <c r="C3524" s="1"/>
    </row>
    <row r="3525" spans="3:3">
      <c r="C3525" s="1"/>
    </row>
    <row r="3526" spans="3:3">
      <c r="C3526" s="1"/>
    </row>
    <row r="3527" spans="3:3">
      <c r="C3527" s="1"/>
    </row>
    <row r="3528" spans="3:3">
      <c r="C3528" s="1"/>
    </row>
    <row r="3529" spans="3:3">
      <c r="C3529" s="1"/>
    </row>
    <row r="3530" spans="3:3">
      <c r="C3530" s="1"/>
    </row>
    <row r="3531" spans="3:3">
      <c r="C3531" s="1"/>
    </row>
    <row r="3532" spans="3:3">
      <c r="C3532" s="1"/>
    </row>
    <row r="3533" spans="3:3">
      <c r="C3533" s="1"/>
    </row>
    <row r="3534" spans="3:3">
      <c r="C3534" s="1"/>
    </row>
    <row r="3535" spans="3:3">
      <c r="C3535" s="1"/>
    </row>
    <row r="3536" spans="3:3">
      <c r="C3536" s="1"/>
    </row>
    <row r="3537" spans="3:3">
      <c r="C3537" s="1"/>
    </row>
    <row r="3538" spans="3:3">
      <c r="C3538" s="1"/>
    </row>
    <row r="3539" spans="3:3">
      <c r="C3539" s="1"/>
    </row>
    <row r="3540" spans="3:3">
      <c r="C3540" s="1"/>
    </row>
    <row r="3541" spans="3:3">
      <c r="C3541" s="1"/>
    </row>
    <row r="3542" spans="3:3">
      <c r="C3542" s="1"/>
    </row>
    <row r="3543" spans="3:3">
      <c r="C3543" s="1"/>
    </row>
    <row r="3544" spans="3:3">
      <c r="C3544" s="1"/>
    </row>
    <row r="3545" spans="3:3">
      <c r="C3545" s="1"/>
    </row>
    <row r="3546" spans="3:3">
      <c r="C3546" s="1"/>
    </row>
    <row r="3547" spans="3:3">
      <c r="C3547" s="1"/>
    </row>
    <row r="3548" spans="3:3">
      <c r="C3548" s="1"/>
    </row>
    <row r="3549" spans="3:3">
      <c r="C3549" s="1"/>
    </row>
    <row r="3550" spans="3:3">
      <c r="C3550" s="1"/>
    </row>
    <row r="3551" spans="3:3">
      <c r="C3551" s="1"/>
    </row>
    <row r="3552" spans="3:3">
      <c r="C3552" s="1"/>
    </row>
    <row r="3553" spans="3:3">
      <c r="C3553" s="1"/>
    </row>
    <row r="3554" spans="3:3">
      <c r="C3554" s="1"/>
    </row>
    <row r="3555" spans="3:3">
      <c r="C3555" s="1"/>
    </row>
    <row r="3556" spans="3:3">
      <c r="C3556" s="1"/>
    </row>
    <row r="3557" spans="3:3">
      <c r="C3557" s="1"/>
    </row>
    <row r="3558" spans="3:3">
      <c r="C3558" s="1"/>
    </row>
    <row r="3559" spans="3:3">
      <c r="C3559" s="1"/>
    </row>
    <row r="3560" spans="3:3">
      <c r="C3560" s="1"/>
    </row>
    <row r="3561" spans="3:3">
      <c r="C3561" s="1"/>
    </row>
    <row r="3562" spans="3:3">
      <c r="C3562" s="1"/>
    </row>
    <row r="3563" spans="3:3">
      <c r="C3563" s="1"/>
    </row>
    <row r="3564" spans="3:3">
      <c r="C3564" s="1"/>
    </row>
    <row r="3565" spans="3:3">
      <c r="C3565" s="1"/>
    </row>
    <row r="3566" spans="3:3">
      <c r="C3566" s="1"/>
    </row>
    <row r="3567" spans="3:3">
      <c r="C3567" s="1"/>
    </row>
    <row r="3568" spans="3:3">
      <c r="C3568" s="1"/>
    </row>
    <row r="3569" spans="3:3">
      <c r="C3569" s="1"/>
    </row>
    <row r="3570" spans="3:3">
      <c r="C3570" s="1"/>
    </row>
    <row r="3571" spans="3:3">
      <c r="C3571" s="1"/>
    </row>
    <row r="3572" spans="3:3">
      <c r="C3572" s="1"/>
    </row>
    <row r="3573" spans="3:3">
      <c r="C3573" s="1"/>
    </row>
    <row r="3574" spans="3:3">
      <c r="C3574" s="1"/>
    </row>
    <row r="3575" spans="3:3">
      <c r="C3575" s="1"/>
    </row>
    <row r="3576" spans="3:3">
      <c r="C3576" s="1"/>
    </row>
    <row r="3577" spans="3:3">
      <c r="C3577" s="1"/>
    </row>
    <row r="3578" spans="3:3">
      <c r="C3578" s="1"/>
    </row>
    <row r="3579" spans="3:3">
      <c r="C3579" s="1"/>
    </row>
    <row r="3580" spans="3:3">
      <c r="C3580" s="1"/>
    </row>
    <row r="3581" spans="3:3">
      <c r="C3581" s="1"/>
    </row>
    <row r="3582" spans="3:3">
      <c r="C3582" s="1"/>
    </row>
    <row r="3583" spans="3:3">
      <c r="C3583" s="1"/>
    </row>
    <row r="3584" spans="3:3">
      <c r="C3584" s="1"/>
    </row>
    <row r="3585" spans="3:3">
      <c r="C3585" s="1"/>
    </row>
    <row r="3586" spans="3:3">
      <c r="C3586" s="1"/>
    </row>
    <row r="3587" spans="3:3">
      <c r="C3587" s="1"/>
    </row>
    <row r="3588" spans="3:3">
      <c r="C3588" s="1"/>
    </row>
    <row r="3589" spans="3:3">
      <c r="C3589" s="1"/>
    </row>
    <row r="3590" spans="3:3">
      <c r="C3590" s="1"/>
    </row>
    <row r="3591" spans="3:3">
      <c r="C3591" s="1"/>
    </row>
    <row r="3592" spans="3:3">
      <c r="C3592" s="1"/>
    </row>
    <row r="3593" spans="3:3">
      <c r="C3593" s="1"/>
    </row>
    <row r="3594" spans="3:3">
      <c r="C3594" s="1"/>
    </row>
    <row r="3595" spans="3:3">
      <c r="C3595" s="1"/>
    </row>
    <row r="3596" spans="3:3">
      <c r="C3596" s="1"/>
    </row>
    <row r="3597" spans="3:3">
      <c r="C3597" s="1"/>
    </row>
    <row r="3598" spans="3:3">
      <c r="C3598" s="1"/>
    </row>
    <row r="3599" spans="3:3">
      <c r="C3599" s="1"/>
    </row>
    <row r="3600" spans="3:3">
      <c r="C3600" s="1"/>
    </row>
    <row r="3601" spans="3:3">
      <c r="C3601" s="1"/>
    </row>
    <row r="3602" spans="3:3">
      <c r="C3602" s="1"/>
    </row>
    <row r="3603" spans="3:3">
      <c r="C3603" s="1"/>
    </row>
    <row r="3604" spans="3:3">
      <c r="C3604" s="1"/>
    </row>
    <row r="3605" spans="3:3">
      <c r="C3605" s="1"/>
    </row>
    <row r="3606" spans="3:3">
      <c r="C3606" s="1"/>
    </row>
    <row r="3607" spans="3:3">
      <c r="C3607" s="1"/>
    </row>
    <row r="3608" spans="3:3">
      <c r="C3608" s="1"/>
    </row>
    <row r="3609" spans="3:3">
      <c r="C3609" s="1"/>
    </row>
    <row r="3610" spans="3:3">
      <c r="C3610" s="1"/>
    </row>
    <row r="3611" spans="3:3">
      <c r="C3611" s="1"/>
    </row>
    <row r="3612" spans="3:3">
      <c r="C3612" s="1"/>
    </row>
    <row r="3613" spans="3:3">
      <c r="C3613" s="1"/>
    </row>
    <row r="3614" spans="3:3">
      <c r="C3614" s="1"/>
    </row>
    <row r="3615" spans="3:3">
      <c r="C3615" s="1"/>
    </row>
    <row r="3616" spans="3:3">
      <c r="C3616" s="1"/>
    </row>
    <row r="3617" spans="3:3">
      <c r="C3617" s="1"/>
    </row>
    <row r="3618" spans="3:3">
      <c r="C3618" s="1"/>
    </row>
    <row r="3619" spans="3:3">
      <c r="C3619" s="1"/>
    </row>
    <row r="3620" spans="3:3">
      <c r="C3620" s="1"/>
    </row>
    <row r="3621" spans="3:3">
      <c r="C3621" s="1"/>
    </row>
    <row r="3622" spans="3:3">
      <c r="C3622" s="1"/>
    </row>
    <row r="3623" spans="3:3">
      <c r="C3623" s="1"/>
    </row>
    <row r="3624" spans="3:3">
      <c r="C3624" s="1"/>
    </row>
    <row r="3625" spans="3:3">
      <c r="C3625" s="1"/>
    </row>
    <row r="3626" spans="3:3">
      <c r="C3626" s="1"/>
    </row>
    <row r="3627" spans="3:3">
      <c r="C3627" s="1"/>
    </row>
    <row r="3628" spans="3:3">
      <c r="C3628" s="1"/>
    </row>
    <row r="3629" spans="3:3">
      <c r="C3629" s="1"/>
    </row>
    <row r="3630" spans="3:3">
      <c r="C3630" s="1"/>
    </row>
    <row r="3631" spans="3:3">
      <c r="C3631" s="1"/>
    </row>
    <row r="3632" spans="3:3">
      <c r="C3632" s="1"/>
    </row>
    <row r="3633" spans="3:3">
      <c r="C3633" s="1"/>
    </row>
    <row r="3634" spans="3:3">
      <c r="C3634" s="1"/>
    </row>
    <row r="3635" spans="3:3">
      <c r="C3635" s="1"/>
    </row>
    <row r="3636" spans="3:3">
      <c r="C3636" s="1"/>
    </row>
    <row r="3637" spans="3:3">
      <c r="C3637" s="1"/>
    </row>
    <row r="3638" spans="3:3">
      <c r="C3638" s="1"/>
    </row>
    <row r="3639" spans="3:3">
      <c r="C3639" s="1"/>
    </row>
    <row r="3640" spans="3:3">
      <c r="C3640" s="1"/>
    </row>
    <row r="3641" spans="3:3">
      <c r="C3641" s="1"/>
    </row>
    <row r="3642" spans="3:3">
      <c r="C3642" s="1"/>
    </row>
    <row r="3643" spans="3:3">
      <c r="C3643" s="1"/>
    </row>
    <row r="3644" spans="3:3">
      <c r="C3644" s="1"/>
    </row>
    <row r="3645" spans="3:3">
      <c r="C3645" s="1"/>
    </row>
    <row r="3646" spans="3:3">
      <c r="C3646" s="1"/>
    </row>
    <row r="3647" spans="3:3">
      <c r="C3647" s="1"/>
    </row>
    <row r="3648" spans="3:3">
      <c r="C3648" s="1"/>
    </row>
    <row r="3649" spans="3:3">
      <c r="C3649" s="1"/>
    </row>
    <row r="3650" spans="3:3">
      <c r="C3650" s="1"/>
    </row>
    <row r="3651" spans="3:3">
      <c r="C3651" s="1"/>
    </row>
    <row r="3652" spans="3:3">
      <c r="C3652" s="1"/>
    </row>
    <row r="3653" spans="3:3">
      <c r="C3653" s="1"/>
    </row>
    <row r="3654" spans="3:3">
      <c r="C3654" s="1"/>
    </row>
    <row r="3655" spans="3:3">
      <c r="C3655" s="1"/>
    </row>
    <row r="3656" spans="3:3">
      <c r="C3656" s="1"/>
    </row>
    <row r="3657" spans="3:3">
      <c r="C3657" s="1"/>
    </row>
    <row r="3658" spans="3:3">
      <c r="C3658" s="1"/>
    </row>
    <row r="3659" spans="3:3">
      <c r="C3659" s="1"/>
    </row>
    <row r="3660" spans="3:3">
      <c r="C3660" s="1"/>
    </row>
    <row r="3661" spans="3:3">
      <c r="C3661" s="1"/>
    </row>
    <row r="3662" spans="3:3">
      <c r="C3662" s="1"/>
    </row>
    <row r="3663" spans="3:3">
      <c r="C3663" s="1"/>
    </row>
    <row r="3664" spans="3:3">
      <c r="C3664" s="1"/>
    </row>
    <row r="3665" spans="3:3">
      <c r="C3665" s="1"/>
    </row>
    <row r="3666" spans="3:3">
      <c r="C3666" s="1"/>
    </row>
    <row r="3667" spans="3:3">
      <c r="C3667" s="1"/>
    </row>
    <row r="3668" spans="3:3">
      <c r="C3668" s="1"/>
    </row>
    <row r="3669" spans="3:3">
      <c r="C3669" s="1"/>
    </row>
    <row r="3670" spans="3:3">
      <c r="C3670" s="1"/>
    </row>
    <row r="3671" spans="3:3">
      <c r="C3671" s="1"/>
    </row>
    <row r="3672" spans="3:3">
      <c r="C3672" s="1"/>
    </row>
    <row r="3673" spans="3:3">
      <c r="C3673" s="1"/>
    </row>
    <row r="3674" spans="3:3">
      <c r="C3674" s="1"/>
    </row>
    <row r="3675" spans="3:3">
      <c r="C3675" s="1"/>
    </row>
    <row r="3676" spans="3:3">
      <c r="C3676" s="1"/>
    </row>
    <row r="3677" spans="3:3">
      <c r="C3677" s="1"/>
    </row>
    <row r="3678" spans="3:3">
      <c r="C3678" s="1"/>
    </row>
    <row r="3679" spans="3:3">
      <c r="C3679" s="1"/>
    </row>
    <row r="3680" spans="3:3">
      <c r="C3680" s="1"/>
    </row>
    <row r="3681" spans="3:3">
      <c r="C3681" s="1"/>
    </row>
    <row r="3682" spans="3:3">
      <c r="C3682" s="1"/>
    </row>
    <row r="3683" spans="3:3">
      <c r="C3683" s="1"/>
    </row>
    <row r="3684" spans="3:3">
      <c r="C3684" s="1"/>
    </row>
    <row r="3685" spans="3:3">
      <c r="C3685" s="1"/>
    </row>
    <row r="3686" spans="3:3">
      <c r="C3686" s="1"/>
    </row>
    <row r="3687" spans="3:3">
      <c r="C3687" s="1"/>
    </row>
    <row r="3688" spans="3:3">
      <c r="C3688" s="1"/>
    </row>
    <row r="3689" spans="3:3">
      <c r="C3689" s="1"/>
    </row>
    <row r="3690" spans="3:3">
      <c r="C3690" s="1"/>
    </row>
    <row r="3691" spans="3:3">
      <c r="C3691" s="1"/>
    </row>
    <row r="3692" spans="3:3">
      <c r="C3692" s="1"/>
    </row>
    <row r="3693" spans="3:3">
      <c r="C3693" s="1"/>
    </row>
    <row r="3694" spans="3:3">
      <c r="C3694" s="1"/>
    </row>
    <row r="3695" spans="3:3">
      <c r="C3695" s="1"/>
    </row>
    <row r="3696" spans="3:3">
      <c r="C3696" s="1"/>
    </row>
    <row r="3697" spans="3:3">
      <c r="C3697" s="1"/>
    </row>
    <row r="3698" spans="3:3">
      <c r="C3698" s="1"/>
    </row>
    <row r="3699" spans="3:3">
      <c r="C3699" s="1"/>
    </row>
    <row r="3700" spans="3:3">
      <c r="C3700" s="1"/>
    </row>
    <row r="3701" spans="3:3">
      <c r="C3701" s="1"/>
    </row>
    <row r="3702" spans="3:3">
      <c r="C3702" s="1"/>
    </row>
    <row r="3703" spans="3:3">
      <c r="C3703" s="1"/>
    </row>
    <row r="3704" spans="3:3">
      <c r="C3704" s="1"/>
    </row>
    <row r="3705" spans="3:3">
      <c r="C3705" s="1"/>
    </row>
    <row r="3706" spans="3:3">
      <c r="C3706" s="1"/>
    </row>
    <row r="3707" spans="3:3">
      <c r="C3707" s="1"/>
    </row>
    <row r="3708" spans="3:3">
      <c r="C3708" s="1"/>
    </row>
    <row r="3709" spans="3:3">
      <c r="C3709" s="1"/>
    </row>
    <row r="3710" spans="3:3">
      <c r="C3710" s="1"/>
    </row>
    <row r="3711" spans="3:3">
      <c r="C3711" s="1"/>
    </row>
    <row r="3712" spans="3:3">
      <c r="C3712" s="1"/>
    </row>
    <row r="3713" spans="3:3">
      <c r="C3713" s="1"/>
    </row>
    <row r="3714" spans="3:3">
      <c r="C3714" s="1"/>
    </row>
    <row r="3715" spans="3:3">
      <c r="C3715" s="1"/>
    </row>
    <row r="3716" spans="3:3">
      <c r="C3716" s="1"/>
    </row>
    <row r="3717" spans="3:3">
      <c r="C3717" s="1"/>
    </row>
    <row r="3718" spans="3:3">
      <c r="C3718" s="1"/>
    </row>
    <row r="3719" spans="3:3">
      <c r="C3719" s="1"/>
    </row>
    <row r="3720" spans="3:3">
      <c r="C3720" s="1"/>
    </row>
    <row r="3721" spans="3:3">
      <c r="C3721" s="1"/>
    </row>
    <row r="3722" spans="3:3">
      <c r="C3722" s="1"/>
    </row>
    <row r="3723" spans="3:3">
      <c r="C3723" s="1"/>
    </row>
    <row r="3724" spans="3:3">
      <c r="C3724" s="1"/>
    </row>
    <row r="3725" spans="3:3">
      <c r="C3725" s="1"/>
    </row>
    <row r="3726" spans="3:3">
      <c r="C3726" s="1"/>
    </row>
    <row r="3727" spans="3:3">
      <c r="C3727" s="1"/>
    </row>
    <row r="3728" spans="3:3">
      <c r="C3728" s="1"/>
    </row>
    <row r="3729" spans="3:3">
      <c r="C3729" s="1"/>
    </row>
    <row r="3730" spans="3:3">
      <c r="C3730" s="1"/>
    </row>
    <row r="3731" spans="3:3">
      <c r="C3731" s="1"/>
    </row>
    <row r="3732" spans="3:3">
      <c r="C3732" s="1"/>
    </row>
    <row r="3733" spans="3:3">
      <c r="C3733" s="1"/>
    </row>
    <row r="3734" spans="3:3">
      <c r="C3734" s="1"/>
    </row>
    <row r="3735" spans="3:3">
      <c r="C3735" s="1"/>
    </row>
    <row r="3736" spans="3:3">
      <c r="C3736" s="1"/>
    </row>
    <row r="3737" spans="3:3">
      <c r="C3737" s="1"/>
    </row>
    <row r="3738" spans="3:3">
      <c r="C3738" s="1"/>
    </row>
    <row r="3739" spans="3:3">
      <c r="C3739" s="1"/>
    </row>
    <row r="3740" spans="3:3">
      <c r="C3740" s="1"/>
    </row>
    <row r="3741" spans="3:3">
      <c r="C3741" s="1"/>
    </row>
    <row r="3742" spans="3:3">
      <c r="C3742" s="1"/>
    </row>
    <row r="3743" spans="3:3">
      <c r="C3743" s="1"/>
    </row>
    <row r="3744" spans="3:3">
      <c r="C3744" s="1"/>
    </row>
    <row r="3745" spans="3:3">
      <c r="C3745" s="1"/>
    </row>
    <row r="3746" spans="3:3">
      <c r="C3746" s="1"/>
    </row>
    <row r="3747" spans="3:3">
      <c r="C3747" s="1"/>
    </row>
    <row r="3748" spans="3:3">
      <c r="C3748" s="1"/>
    </row>
    <row r="3749" spans="3:3">
      <c r="C3749" s="1"/>
    </row>
    <row r="3750" spans="3:3">
      <c r="C3750" s="1"/>
    </row>
    <row r="3751" spans="3:3">
      <c r="C3751" s="1"/>
    </row>
    <row r="3752" spans="3:3">
      <c r="C3752" s="1"/>
    </row>
    <row r="3753" spans="3:3">
      <c r="C3753" s="1"/>
    </row>
    <row r="3754" spans="3:3">
      <c r="C3754" s="1"/>
    </row>
    <row r="3755" spans="3:3">
      <c r="C3755" s="1"/>
    </row>
    <row r="3756" spans="3:3">
      <c r="C3756" s="1"/>
    </row>
    <row r="3757" spans="3:3">
      <c r="C3757" s="1"/>
    </row>
    <row r="3758" spans="3:3">
      <c r="C3758" s="1"/>
    </row>
    <row r="3759" spans="3:3">
      <c r="C3759" s="1"/>
    </row>
    <row r="3760" spans="3:3">
      <c r="C3760" s="1"/>
    </row>
    <row r="3761" spans="3:3">
      <c r="C3761" s="1"/>
    </row>
    <row r="3762" spans="3:3">
      <c r="C3762" s="1"/>
    </row>
    <row r="3763" spans="3:3">
      <c r="C3763" s="1"/>
    </row>
    <row r="3764" spans="3:3">
      <c r="C3764" s="1"/>
    </row>
    <row r="3765" spans="3:3">
      <c r="C3765" s="1"/>
    </row>
    <row r="3766" spans="3:3">
      <c r="C3766" s="1"/>
    </row>
    <row r="3767" spans="3:3">
      <c r="C3767" s="1"/>
    </row>
    <row r="3768" spans="3:3">
      <c r="C3768" s="1"/>
    </row>
    <row r="3769" spans="3:3">
      <c r="C3769" s="1"/>
    </row>
    <row r="3770" spans="3:3">
      <c r="C3770" s="1"/>
    </row>
    <row r="3771" spans="3:3">
      <c r="C3771" s="1"/>
    </row>
    <row r="3772" spans="3:3">
      <c r="C3772" s="1"/>
    </row>
    <row r="3773" spans="3:3">
      <c r="C3773" s="1"/>
    </row>
    <row r="3774" spans="3:3">
      <c r="C3774" s="1"/>
    </row>
    <row r="3775" spans="3:3">
      <c r="C3775" s="1"/>
    </row>
    <row r="3776" spans="3:3">
      <c r="C3776" s="1"/>
    </row>
    <row r="3777" spans="3:3">
      <c r="C3777" s="1"/>
    </row>
    <row r="3778" spans="3:3">
      <c r="C3778" s="1"/>
    </row>
    <row r="3779" spans="3:3">
      <c r="C3779" s="1"/>
    </row>
    <row r="3780" spans="3:3">
      <c r="C3780" s="1"/>
    </row>
    <row r="3781" spans="3:3">
      <c r="C3781" s="1"/>
    </row>
    <row r="3782" spans="3:3">
      <c r="C3782" s="1"/>
    </row>
    <row r="3783" spans="3:3">
      <c r="C3783" s="1"/>
    </row>
    <row r="3784" spans="3:3">
      <c r="C3784" s="1"/>
    </row>
    <row r="3785" spans="3:3">
      <c r="C3785" s="1"/>
    </row>
    <row r="3786" spans="3:3">
      <c r="C3786" s="1"/>
    </row>
    <row r="3787" spans="3:3">
      <c r="C3787" s="1"/>
    </row>
    <row r="3788" spans="3:3">
      <c r="C3788" s="1"/>
    </row>
    <row r="3789" spans="3:3">
      <c r="C3789" s="1"/>
    </row>
    <row r="3790" spans="3:3">
      <c r="C3790" s="1"/>
    </row>
    <row r="3791" spans="3:3">
      <c r="C3791" s="1"/>
    </row>
    <row r="3792" spans="3:3">
      <c r="C3792" s="1"/>
    </row>
    <row r="3793" spans="3:3">
      <c r="C3793" s="1"/>
    </row>
    <row r="3794" spans="3:3">
      <c r="C3794" s="1"/>
    </row>
    <row r="3795" spans="3:3">
      <c r="C3795" s="1"/>
    </row>
    <row r="3796" spans="3:3">
      <c r="C3796" s="1"/>
    </row>
    <row r="3797" spans="3:3">
      <c r="C3797" s="1"/>
    </row>
    <row r="3798" spans="3:3">
      <c r="C3798" s="1"/>
    </row>
    <row r="3799" spans="3:3">
      <c r="C3799" s="1"/>
    </row>
    <row r="3800" spans="3:3">
      <c r="C3800" s="1"/>
    </row>
    <row r="3801" spans="3:3">
      <c r="C3801" s="1"/>
    </row>
    <row r="3802" spans="3:3">
      <c r="C3802" s="1"/>
    </row>
    <row r="3803" spans="3:3">
      <c r="C3803" s="1"/>
    </row>
    <row r="3804" spans="3:3">
      <c r="C3804" s="1"/>
    </row>
    <row r="3805" spans="3:3">
      <c r="C3805" s="1"/>
    </row>
    <row r="3806" spans="3:3">
      <c r="C3806" s="1"/>
    </row>
    <row r="3807" spans="3:3">
      <c r="C3807" s="1"/>
    </row>
    <row r="3808" spans="3:3">
      <c r="C3808" s="1"/>
    </row>
    <row r="3809" spans="3:3">
      <c r="C3809" s="1"/>
    </row>
    <row r="3810" spans="3:3">
      <c r="C3810" s="1"/>
    </row>
    <row r="3811" spans="3:3">
      <c r="C3811" s="1"/>
    </row>
    <row r="3812" spans="3:3">
      <c r="C3812" s="1"/>
    </row>
    <row r="3813" spans="3:3">
      <c r="C3813" s="1"/>
    </row>
    <row r="3814" spans="3:3">
      <c r="C3814" s="1"/>
    </row>
    <row r="3815" spans="3:3">
      <c r="C3815" s="1"/>
    </row>
    <row r="3816" spans="3:3">
      <c r="C3816" s="1"/>
    </row>
    <row r="3817" spans="3:3">
      <c r="C3817" s="1"/>
    </row>
    <row r="3818" spans="3:3">
      <c r="C3818" s="1"/>
    </row>
    <row r="3819" spans="3:3">
      <c r="C3819" s="1"/>
    </row>
    <row r="3820" spans="3:3">
      <c r="C3820" s="1"/>
    </row>
    <row r="3821" spans="3:3">
      <c r="C3821" s="1"/>
    </row>
    <row r="3822" spans="3:3">
      <c r="C3822" s="1"/>
    </row>
    <row r="3823" spans="3:3">
      <c r="C3823" s="1"/>
    </row>
    <row r="3824" spans="3:3">
      <c r="C3824" s="1"/>
    </row>
    <row r="3825" spans="3:3">
      <c r="C3825" s="1"/>
    </row>
    <row r="3826" spans="3:3">
      <c r="C3826" s="1"/>
    </row>
    <row r="3827" spans="3:3">
      <c r="C3827" s="1"/>
    </row>
    <row r="3828" spans="3:3">
      <c r="C3828" s="1"/>
    </row>
    <row r="3829" spans="3:3">
      <c r="C3829" s="1"/>
    </row>
    <row r="3830" spans="3:3">
      <c r="C3830" s="1"/>
    </row>
    <row r="3831" spans="3:3">
      <c r="C3831" s="1"/>
    </row>
    <row r="3832" spans="3:3">
      <c r="C3832" s="1"/>
    </row>
    <row r="3833" spans="3:3">
      <c r="C3833" s="1"/>
    </row>
    <row r="3834" spans="3:3">
      <c r="C3834" s="1"/>
    </row>
    <row r="3835" spans="3:3">
      <c r="C3835" s="1"/>
    </row>
    <row r="3836" spans="3:3">
      <c r="C3836" s="1"/>
    </row>
    <row r="3837" spans="3:3">
      <c r="C3837" s="1"/>
    </row>
    <row r="3838" spans="3:3">
      <c r="C3838" s="1"/>
    </row>
    <row r="3839" spans="3:3">
      <c r="C3839" s="1"/>
    </row>
    <row r="3840" spans="3:3">
      <c r="C3840" s="1"/>
    </row>
    <row r="3841" spans="3:3">
      <c r="C3841" s="1"/>
    </row>
    <row r="3842" spans="3:3">
      <c r="C3842" s="1"/>
    </row>
    <row r="3843" spans="3:3">
      <c r="C3843" s="1"/>
    </row>
    <row r="3844" spans="3:3">
      <c r="C3844" s="1"/>
    </row>
    <row r="3845" spans="3:3">
      <c r="C3845" s="1"/>
    </row>
    <row r="3846" spans="3:3">
      <c r="C3846" s="1"/>
    </row>
    <row r="3847" spans="3:3">
      <c r="C3847" s="1"/>
    </row>
    <row r="3848" spans="3:3">
      <c r="C3848" s="1"/>
    </row>
    <row r="3849" spans="3:3">
      <c r="C3849" s="1"/>
    </row>
    <row r="3850" spans="3:3">
      <c r="C3850" s="1"/>
    </row>
    <row r="3851" spans="3:3">
      <c r="C3851" s="1"/>
    </row>
    <row r="3852" spans="3:3">
      <c r="C3852" s="1"/>
    </row>
    <row r="3853" spans="3:3">
      <c r="C3853" s="1"/>
    </row>
    <row r="3854" spans="3:3">
      <c r="C3854" s="1"/>
    </row>
    <row r="3855" spans="3:3">
      <c r="C3855" s="1"/>
    </row>
    <row r="3856" spans="3:3">
      <c r="C3856" s="1"/>
    </row>
    <row r="3857" spans="3:3">
      <c r="C3857" s="1"/>
    </row>
    <row r="3858" spans="3:3">
      <c r="C3858" s="1"/>
    </row>
    <row r="3859" spans="3:3">
      <c r="C3859" s="1"/>
    </row>
    <row r="3860" spans="3:3">
      <c r="C3860" s="1"/>
    </row>
    <row r="3861" spans="3:3">
      <c r="C3861" s="1"/>
    </row>
    <row r="3862" spans="3:3">
      <c r="C3862" s="1"/>
    </row>
    <row r="3863" spans="3:3">
      <c r="C3863" s="1"/>
    </row>
    <row r="3864" spans="3:3">
      <c r="C3864" s="1"/>
    </row>
    <row r="3865" spans="3:3">
      <c r="C3865" s="1"/>
    </row>
    <row r="3866" spans="3:3">
      <c r="C3866" s="1"/>
    </row>
    <row r="3867" spans="3:3">
      <c r="C3867" s="1"/>
    </row>
    <row r="3868" spans="3:3">
      <c r="C3868" s="1"/>
    </row>
    <row r="3869" spans="3:3">
      <c r="C3869" s="1"/>
    </row>
    <row r="3870" spans="3:3">
      <c r="C3870" s="1"/>
    </row>
    <row r="3871" spans="3:3">
      <c r="C3871" s="1"/>
    </row>
    <row r="3872" spans="3:3">
      <c r="C3872" s="1"/>
    </row>
    <row r="3873" spans="3:3">
      <c r="C3873" s="1"/>
    </row>
    <row r="3874" spans="3:3">
      <c r="C3874" s="1"/>
    </row>
    <row r="3875" spans="3:3">
      <c r="C3875" s="1"/>
    </row>
    <row r="3876" spans="3:3">
      <c r="C3876" s="1"/>
    </row>
    <row r="3877" spans="3:3">
      <c r="C3877" s="1"/>
    </row>
    <row r="3878" spans="3:3">
      <c r="C3878" s="1"/>
    </row>
    <row r="3879" spans="3:3">
      <c r="C3879" s="1"/>
    </row>
    <row r="3880" spans="3:3">
      <c r="C3880" s="1"/>
    </row>
    <row r="3881" spans="3:3">
      <c r="C3881" s="1"/>
    </row>
    <row r="3882" spans="3:3">
      <c r="C3882" s="1"/>
    </row>
    <row r="3883" spans="3:3">
      <c r="C3883" s="1"/>
    </row>
    <row r="3884" spans="3:3">
      <c r="C3884" s="1"/>
    </row>
    <row r="3885" spans="3:3">
      <c r="C3885" s="1"/>
    </row>
    <row r="3886" spans="3:3">
      <c r="C3886" s="1"/>
    </row>
    <row r="3887" spans="3:3">
      <c r="C3887" s="1"/>
    </row>
    <row r="3888" spans="3:3">
      <c r="C3888" s="1"/>
    </row>
    <row r="3889" spans="3:3">
      <c r="C3889" s="1"/>
    </row>
    <row r="3890" spans="3:3">
      <c r="C3890" s="1"/>
    </row>
    <row r="3891" spans="3:3">
      <c r="C3891" s="1"/>
    </row>
    <row r="3892" spans="3:3">
      <c r="C3892" s="1"/>
    </row>
    <row r="3893" spans="3:3">
      <c r="C3893" s="1"/>
    </row>
    <row r="3894" spans="3:3">
      <c r="C3894" s="1"/>
    </row>
    <row r="3895" spans="3:3">
      <c r="C3895" s="1"/>
    </row>
    <row r="3896" spans="3:3">
      <c r="C3896" s="1"/>
    </row>
    <row r="3897" spans="3:3">
      <c r="C3897" s="1"/>
    </row>
    <row r="3898" spans="3:3">
      <c r="C3898" s="1"/>
    </row>
    <row r="3899" spans="3:3">
      <c r="C3899" s="1"/>
    </row>
    <row r="3900" spans="3:3">
      <c r="C3900" s="1"/>
    </row>
    <row r="3901" spans="3:3">
      <c r="C3901" s="1"/>
    </row>
    <row r="3902" spans="3:3">
      <c r="C3902" s="1"/>
    </row>
    <row r="3903" spans="3:3">
      <c r="C3903" s="1"/>
    </row>
    <row r="3904" spans="3:3">
      <c r="C3904" s="1"/>
    </row>
    <row r="3905" spans="3:3">
      <c r="C3905" s="1"/>
    </row>
    <row r="3906" spans="3:3">
      <c r="C3906" s="1"/>
    </row>
    <row r="3907" spans="3:3">
      <c r="C3907" s="1"/>
    </row>
    <row r="3908" spans="3:3">
      <c r="C3908" s="1"/>
    </row>
    <row r="3909" spans="3:3">
      <c r="C3909" s="1"/>
    </row>
    <row r="3910" spans="3:3">
      <c r="C3910" s="1"/>
    </row>
    <row r="3911" spans="3:3">
      <c r="C3911" s="1"/>
    </row>
    <row r="3912" spans="3:3">
      <c r="C3912" s="1"/>
    </row>
    <row r="3913" spans="3:3">
      <c r="C3913" s="1"/>
    </row>
    <row r="3914" spans="3:3">
      <c r="C3914" s="1"/>
    </row>
    <row r="3915" spans="3:3">
      <c r="C3915" s="1"/>
    </row>
    <row r="3916" spans="3:3">
      <c r="C3916" s="1"/>
    </row>
    <row r="3917" spans="3:3">
      <c r="C3917" s="1"/>
    </row>
    <row r="3918" spans="3:3">
      <c r="C3918" s="1"/>
    </row>
    <row r="3919" spans="3:3">
      <c r="C3919" s="1"/>
    </row>
    <row r="3920" spans="3:3">
      <c r="C3920" s="1"/>
    </row>
    <row r="3921" spans="3:3">
      <c r="C3921" s="1"/>
    </row>
    <row r="3922" spans="3:3">
      <c r="C3922" s="1"/>
    </row>
    <row r="3923" spans="3:3">
      <c r="C3923" s="1"/>
    </row>
    <row r="3924" spans="3:3">
      <c r="C3924" s="1"/>
    </row>
    <row r="3925" spans="3:3">
      <c r="C3925" s="1"/>
    </row>
    <row r="3926" spans="3:3">
      <c r="C3926" s="1"/>
    </row>
    <row r="3927" spans="3:3">
      <c r="C3927" s="1"/>
    </row>
    <row r="3928" spans="3:3">
      <c r="C3928" s="1"/>
    </row>
    <row r="3929" spans="3:3">
      <c r="C3929" s="1"/>
    </row>
    <row r="3930" spans="3:3">
      <c r="C3930" s="1"/>
    </row>
    <row r="3931" spans="3:3">
      <c r="C3931" s="1"/>
    </row>
    <row r="3932" spans="3:3">
      <c r="C3932" s="1"/>
    </row>
    <row r="3933" spans="3:3">
      <c r="C3933" s="1"/>
    </row>
    <row r="3934" spans="3:3">
      <c r="C3934" s="1"/>
    </row>
    <row r="3935" spans="3:3">
      <c r="C3935" s="1"/>
    </row>
    <row r="3936" spans="3:3">
      <c r="C3936" s="1"/>
    </row>
    <row r="3937" spans="3:3">
      <c r="C3937" s="1"/>
    </row>
    <row r="3938" spans="3:3">
      <c r="C3938" s="1"/>
    </row>
    <row r="3939" spans="3:3">
      <c r="C3939" s="1"/>
    </row>
    <row r="3940" spans="3:3">
      <c r="C3940" s="1"/>
    </row>
    <row r="3941" spans="3:3">
      <c r="C3941" s="1"/>
    </row>
    <row r="3942" spans="3:3">
      <c r="C3942" s="1"/>
    </row>
    <row r="3943" spans="3:3">
      <c r="C3943" s="1"/>
    </row>
    <row r="3944" spans="3:3">
      <c r="C3944" s="1"/>
    </row>
    <row r="3945" spans="3:3">
      <c r="C3945" s="1"/>
    </row>
    <row r="3946" spans="3:3">
      <c r="C3946" s="1"/>
    </row>
    <row r="3947" spans="3:3">
      <c r="C3947" s="1"/>
    </row>
    <row r="3948" spans="3:3">
      <c r="C3948" s="1"/>
    </row>
    <row r="3949" spans="3:3">
      <c r="C3949" s="1"/>
    </row>
    <row r="3950" spans="3:3">
      <c r="C3950" s="1"/>
    </row>
    <row r="3951" spans="3:3">
      <c r="C3951" s="1"/>
    </row>
    <row r="3952" spans="3:3">
      <c r="C3952" s="1"/>
    </row>
    <row r="3953" spans="3:3">
      <c r="C3953" s="1"/>
    </row>
    <row r="3954" spans="3:3">
      <c r="C3954" s="1"/>
    </row>
    <row r="3955" spans="3:3">
      <c r="C3955" s="1"/>
    </row>
    <row r="3956" spans="3:3">
      <c r="C3956" s="1"/>
    </row>
    <row r="3957" spans="3:3">
      <c r="C3957" s="1"/>
    </row>
    <row r="3958" spans="3:3">
      <c r="C3958" s="1"/>
    </row>
    <row r="3959" spans="3:3">
      <c r="C3959" s="1"/>
    </row>
    <row r="3960" spans="3:3">
      <c r="C3960" s="1"/>
    </row>
    <row r="3961" spans="3:3">
      <c r="C3961" s="1"/>
    </row>
    <row r="3962" spans="3:3">
      <c r="C3962" s="1"/>
    </row>
    <row r="3963" spans="3:3">
      <c r="C3963" s="1"/>
    </row>
    <row r="3964" spans="3:3">
      <c r="C3964" s="1"/>
    </row>
    <row r="3965" spans="3:3">
      <c r="C3965" s="1"/>
    </row>
    <row r="3966" spans="3:3">
      <c r="C3966" s="1"/>
    </row>
    <row r="3967" spans="3:3">
      <c r="C3967" s="1"/>
    </row>
    <row r="3968" spans="3:3">
      <c r="C3968" s="1"/>
    </row>
    <row r="3969" spans="3:3">
      <c r="C3969" s="1"/>
    </row>
    <row r="3970" spans="3:3">
      <c r="C3970" s="1"/>
    </row>
    <row r="3971" spans="3:3">
      <c r="C3971" s="1"/>
    </row>
    <row r="3972" spans="3:3">
      <c r="C3972" s="1"/>
    </row>
    <row r="3973" spans="3:3">
      <c r="C3973" s="1"/>
    </row>
    <row r="3974" spans="3:3">
      <c r="C3974" s="1"/>
    </row>
    <row r="3975" spans="3:3">
      <c r="C3975" s="1"/>
    </row>
    <row r="3976" spans="3:3">
      <c r="C3976" s="1"/>
    </row>
    <row r="3977" spans="3:3">
      <c r="C3977" s="1"/>
    </row>
    <row r="3978" spans="3:3">
      <c r="C3978" s="1"/>
    </row>
    <row r="3979" spans="3:3">
      <c r="C3979" s="1"/>
    </row>
    <row r="3980" spans="3:3">
      <c r="C3980" s="1"/>
    </row>
    <row r="3981" spans="3:3">
      <c r="C3981" s="1"/>
    </row>
    <row r="3982" spans="3:3">
      <c r="C3982" s="1"/>
    </row>
    <row r="3983" spans="3:3">
      <c r="C3983" s="1"/>
    </row>
    <row r="3984" spans="3:3">
      <c r="C3984" s="1"/>
    </row>
    <row r="3985" spans="3:3">
      <c r="C3985" s="1"/>
    </row>
    <row r="3986" spans="3:3">
      <c r="C3986" s="1"/>
    </row>
    <row r="3987" spans="3:3">
      <c r="C3987" s="1"/>
    </row>
    <row r="3988" spans="3:3">
      <c r="C3988" s="1"/>
    </row>
    <row r="3989" spans="3:3">
      <c r="C3989" s="1"/>
    </row>
    <row r="3990" spans="3:3">
      <c r="C3990" s="1"/>
    </row>
    <row r="3991" spans="3:3">
      <c r="C3991" s="1"/>
    </row>
    <row r="3992" spans="3:3">
      <c r="C3992" s="1"/>
    </row>
    <row r="3993" spans="3:3">
      <c r="C3993" s="1"/>
    </row>
    <row r="3994" spans="3:3">
      <c r="C3994" s="1"/>
    </row>
    <row r="3995" spans="3:3">
      <c r="C3995" s="1"/>
    </row>
    <row r="3996" spans="3:3">
      <c r="C3996" s="1"/>
    </row>
    <row r="3997" spans="3:3">
      <c r="C3997" s="1"/>
    </row>
    <row r="3998" spans="3:3">
      <c r="C3998" s="1"/>
    </row>
    <row r="3999" spans="3:3">
      <c r="C3999" s="1"/>
    </row>
    <row r="4000" spans="3:3">
      <c r="C4000" s="1"/>
    </row>
    <row r="4001" spans="3:3">
      <c r="C4001" s="1"/>
    </row>
    <row r="4002" spans="3:3">
      <c r="C4002" s="1"/>
    </row>
    <row r="4003" spans="3:3">
      <c r="C4003" s="1"/>
    </row>
    <row r="4004" spans="3:3">
      <c r="C4004" s="1"/>
    </row>
    <row r="4005" spans="3:3">
      <c r="C4005" s="1"/>
    </row>
    <row r="4006" spans="3:3">
      <c r="C4006" s="1"/>
    </row>
    <row r="4007" spans="3:3">
      <c r="C4007" s="1"/>
    </row>
    <row r="4008" spans="3:3">
      <c r="C4008" s="1"/>
    </row>
    <row r="4009" spans="3:3">
      <c r="C4009" s="1"/>
    </row>
    <row r="4010" spans="3:3">
      <c r="C4010" s="1"/>
    </row>
    <row r="4011" spans="3:3">
      <c r="C4011" s="1"/>
    </row>
    <row r="4012" spans="3:3">
      <c r="C4012" s="1"/>
    </row>
    <row r="4013" spans="3:3">
      <c r="C4013" s="1"/>
    </row>
    <row r="4014" spans="3:3">
      <c r="C4014" s="1"/>
    </row>
    <row r="4015" spans="3:3">
      <c r="C4015" s="1"/>
    </row>
    <row r="4016" spans="3:3">
      <c r="C4016" s="1"/>
    </row>
    <row r="4017" spans="3:3">
      <c r="C4017" s="1"/>
    </row>
    <row r="4018" spans="3:3">
      <c r="C4018" s="1"/>
    </row>
    <row r="4019" spans="3:3">
      <c r="C4019" s="1"/>
    </row>
    <row r="4020" spans="3:3">
      <c r="C4020" s="1"/>
    </row>
    <row r="4021" spans="3:3">
      <c r="C4021" s="1"/>
    </row>
    <row r="4022" spans="3:3">
      <c r="C4022" s="1"/>
    </row>
    <row r="4023" spans="3:3">
      <c r="C4023" s="1"/>
    </row>
    <row r="4024" spans="3:3">
      <c r="C4024" s="1"/>
    </row>
    <row r="4025" spans="3:3">
      <c r="C4025" s="1"/>
    </row>
    <row r="4026" spans="3:3">
      <c r="C4026" s="1"/>
    </row>
    <row r="4027" spans="3:3">
      <c r="C4027" s="1"/>
    </row>
    <row r="4028" spans="3:3">
      <c r="C4028" s="1"/>
    </row>
    <row r="4029" spans="3:3">
      <c r="C4029" s="1"/>
    </row>
    <row r="4030" spans="3:3">
      <c r="C4030" s="1"/>
    </row>
    <row r="4031" spans="3:3">
      <c r="C4031" s="1"/>
    </row>
    <row r="4032" spans="3:3">
      <c r="C4032" s="1"/>
    </row>
    <row r="4033" spans="3:3">
      <c r="C4033" s="1"/>
    </row>
    <row r="4034" spans="3:3">
      <c r="C4034" s="1"/>
    </row>
    <row r="4035" spans="3:3">
      <c r="C4035" s="1"/>
    </row>
    <row r="4036" spans="3:3">
      <c r="C4036" s="1"/>
    </row>
    <row r="4037" spans="3:3">
      <c r="C4037" s="1"/>
    </row>
    <row r="4038" spans="3:3">
      <c r="C4038" s="1"/>
    </row>
    <row r="4039" spans="3:3">
      <c r="C4039" s="1"/>
    </row>
    <row r="4040" spans="3:3">
      <c r="C4040" s="1"/>
    </row>
    <row r="4041" spans="3:3">
      <c r="C4041" s="1"/>
    </row>
    <row r="4042" spans="3:3">
      <c r="C4042" s="1"/>
    </row>
    <row r="4043" spans="3:3">
      <c r="C4043" s="1"/>
    </row>
    <row r="4044" spans="3:3">
      <c r="C4044" s="1"/>
    </row>
    <row r="4045" spans="3:3">
      <c r="C4045" s="1"/>
    </row>
    <row r="4046" spans="3:3">
      <c r="C4046" s="1"/>
    </row>
    <row r="4047" spans="3:3">
      <c r="C4047" s="1"/>
    </row>
    <row r="4048" spans="3:3">
      <c r="C4048" s="1"/>
    </row>
    <row r="4049" spans="3:3">
      <c r="C4049" s="1"/>
    </row>
    <row r="4050" spans="3:3">
      <c r="C4050" s="1"/>
    </row>
    <row r="4051" spans="3:3">
      <c r="C4051" s="1"/>
    </row>
    <row r="4052" spans="3:3">
      <c r="C4052" s="1"/>
    </row>
    <row r="4053" spans="3:3">
      <c r="C4053" s="1"/>
    </row>
    <row r="4054" spans="3:3">
      <c r="C4054" s="1"/>
    </row>
    <row r="4055" spans="3:3">
      <c r="C4055" s="1"/>
    </row>
    <row r="4056" spans="3:3">
      <c r="C4056" s="1"/>
    </row>
    <row r="4057" spans="3:3">
      <c r="C4057" s="1"/>
    </row>
    <row r="4058" spans="3:3">
      <c r="C4058" s="1"/>
    </row>
    <row r="4059" spans="3:3">
      <c r="C4059" s="1"/>
    </row>
    <row r="4060" spans="3:3">
      <c r="C4060" s="1"/>
    </row>
    <row r="4061" spans="3:3">
      <c r="C4061" s="1"/>
    </row>
    <row r="4062" spans="3:3">
      <c r="C4062" s="1"/>
    </row>
    <row r="4063" spans="3:3">
      <c r="C4063" s="1"/>
    </row>
    <row r="4064" spans="3:3">
      <c r="C4064" s="1"/>
    </row>
    <row r="4065" spans="3:3">
      <c r="C4065" s="1"/>
    </row>
    <row r="4066" spans="3:3">
      <c r="C4066" s="1"/>
    </row>
    <row r="4067" spans="3:3">
      <c r="C4067" s="1"/>
    </row>
    <row r="4068" spans="3:3">
      <c r="C4068" s="1"/>
    </row>
    <row r="4069" spans="3:3">
      <c r="C4069" s="1"/>
    </row>
    <row r="4070" spans="3:3">
      <c r="C4070" s="1"/>
    </row>
    <row r="4071" spans="3:3">
      <c r="C4071" s="1"/>
    </row>
    <row r="4072" spans="3:3">
      <c r="C4072" s="1"/>
    </row>
    <row r="4073" spans="3:3">
      <c r="C4073" s="1"/>
    </row>
    <row r="4074" spans="3:3">
      <c r="C4074" s="1"/>
    </row>
    <row r="4075" spans="3:3">
      <c r="C4075" s="1"/>
    </row>
    <row r="4076" spans="3:3">
      <c r="C4076" s="1"/>
    </row>
    <row r="4077" spans="3:3">
      <c r="C4077" s="1"/>
    </row>
    <row r="4078" spans="3:3">
      <c r="C4078" s="1"/>
    </row>
    <row r="4079" spans="3:3">
      <c r="C4079" s="1"/>
    </row>
    <row r="4080" spans="3:3">
      <c r="C4080" s="1"/>
    </row>
    <row r="4081" spans="3:3">
      <c r="C4081" s="1"/>
    </row>
    <row r="4082" spans="3:3">
      <c r="C4082" s="1"/>
    </row>
    <row r="4083" spans="3:3">
      <c r="C4083" s="1"/>
    </row>
    <row r="4084" spans="3:3">
      <c r="C4084" s="1"/>
    </row>
    <row r="4085" spans="3:3">
      <c r="C4085" s="1"/>
    </row>
    <row r="4086" spans="3:3">
      <c r="C4086" s="1"/>
    </row>
    <row r="4087" spans="3:3">
      <c r="C4087" s="1"/>
    </row>
    <row r="4088" spans="3:3">
      <c r="C4088" s="1"/>
    </row>
    <row r="4089" spans="3:3">
      <c r="C4089" s="1"/>
    </row>
    <row r="4090" spans="3:3">
      <c r="C4090" s="1"/>
    </row>
    <row r="4091" spans="3:3">
      <c r="C4091" s="1"/>
    </row>
    <row r="4092" spans="3:3">
      <c r="C4092" s="1"/>
    </row>
    <row r="4093" spans="3:3">
      <c r="C4093" s="1"/>
    </row>
    <row r="4094" spans="3:3">
      <c r="C4094" s="1"/>
    </row>
    <row r="4095" spans="3:3">
      <c r="C4095" s="1"/>
    </row>
    <row r="4096" spans="3:3">
      <c r="C4096" s="1"/>
    </row>
    <row r="4097" spans="3:3">
      <c r="C4097" s="1"/>
    </row>
    <row r="4098" spans="3:3">
      <c r="C4098" s="1"/>
    </row>
    <row r="4099" spans="3:3">
      <c r="C4099" s="1"/>
    </row>
    <row r="4100" spans="3:3">
      <c r="C4100" s="1"/>
    </row>
    <row r="4101" spans="3:3">
      <c r="C4101" s="1"/>
    </row>
    <row r="4102" spans="3:3">
      <c r="C4102" s="1"/>
    </row>
    <row r="4103" spans="3:3">
      <c r="C4103" s="1"/>
    </row>
    <row r="4104" spans="3:3">
      <c r="C4104" s="1"/>
    </row>
    <row r="4105" spans="3:3">
      <c r="C4105" s="1"/>
    </row>
    <row r="4106" spans="3:3">
      <c r="C4106" s="1"/>
    </row>
    <row r="4107" spans="3:3">
      <c r="C4107" s="1"/>
    </row>
    <row r="4108" spans="3:3">
      <c r="C4108" s="1"/>
    </row>
    <row r="4109" spans="3:3">
      <c r="C4109" s="1"/>
    </row>
    <row r="4110" spans="3:3">
      <c r="C4110" s="1"/>
    </row>
    <row r="4111" spans="3:3">
      <c r="C4111" s="1"/>
    </row>
    <row r="4112" spans="3:3">
      <c r="C4112" s="1"/>
    </row>
    <row r="4113" spans="3:3">
      <c r="C4113" s="1"/>
    </row>
    <row r="4114" spans="3:3">
      <c r="C4114" s="1"/>
    </row>
    <row r="4115" spans="3:3">
      <c r="C4115" s="1"/>
    </row>
    <row r="4116" spans="3:3">
      <c r="C4116" s="1"/>
    </row>
    <row r="4117" spans="3:3">
      <c r="C4117" s="1"/>
    </row>
    <row r="4118" spans="3:3">
      <c r="C4118" s="1"/>
    </row>
    <row r="4119" spans="3:3">
      <c r="C4119" s="1"/>
    </row>
    <row r="4120" spans="3:3">
      <c r="C4120" s="1"/>
    </row>
    <row r="4121" spans="3:3">
      <c r="C4121" s="1"/>
    </row>
    <row r="4122" spans="3:3">
      <c r="C4122" s="1"/>
    </row>
    <row r="4123" spans="3:3">
      <c r="C4123" s="1"/>
    </row>
    <row r="4124" spans="3:3">
      <c r="C4124" s="1"/>
    </row>
    <row r="4125" spans="3:3">
      <c r="C4125" s="1"/>
    </row>
    <row r="4126" spans="3:3">
      <c r="C4126" s="1"/>
    </row>
    <row r="4127" spans="3:3">
      <c r="C4127" s="1"/>
    </row>
    <row r="4128" spans="3:3">
      <c r="C4128" s="1"/>
    </row>
    <row r="4129" spans="3:3">
      <c r="C4129" s="1"/>
    </row>
    <row r="4130" spans="3:3">
      <c r="C4130" s="1"/>
    </row>
    <row r="4131" spans="3:3">
      <c r="C4131" s="1"/>
    </row>
    <row r="4132" spans="3:3">
      <c r="C4132" s="1"/>
    </row>
    <row r="4133" spans="3:3">
      <c r="C4133" s="1"/>
    </row>
    <row r="4134" spans="3:3">
      <c r="C4134" s="1"/>
    </row>
    <row r="4135" spans="3:3">
      <c r="C4135" s="1"/>
    </row>
    <row r="4136" spans="3:3">
      <c r="C4136" s="1"/>
    </row>
    <row r="4137" spans="3:3">
      <c r="C4137" s="1"/>
    </row>
    <row r="4138" spans="3:3">
      <c r="C4138" s="1"/>
    </row>
    <row r="4139" spans="3:3">
      <c r="C4139" s="1"/>
    </row>
    <row r="4140" spans="3:3">
      <c r="C4140" s="1"/>
    </row>
    <row r="4141" spans="3:3">
      <c r="C4141" s="1"/>
    </row>
    <row r="4142" spans="3:3">
      <c r="C4142" s="1"/>
    </row>
    <row r="4143" spans="3:3">
      <c r="C4143" s="1"/>
    </row>
    <row r="4144" spans="3:3">
      <c r="C4144" s="1"/>
    </row>
    <row r="4145" spans="3:3">
      <c r="C4145" s="1"/>
    </row>
    <row r="4146" spans="3:3">
      <c r="C4146" s="1"/>
    </row>
    <row r="4147" spans="3:3">
      <c r="C4147" s="1"/>
    </row>
    <row r="4148" spans="3:3">
      <c r="C4148" s="1"/>
    </row>
    <row r="4149" spans="3:3">
      <c r="C4149" s="1"/>
    </row>
    <row r="4150" spans="3:3">
      <c r="C4150" s="1"/>
    </row>
    <row r="4151" spans="3:3">
      <c r="C4151" s="1"/>
    </row>
    <row r="4152" spans="3:3">
      <c r="C4152" s="1"/>
    </row>
    <row r="4153" spans="3:3">
      <c r="C4153" s="1"/>
    </row>
    <row r="4154" spans="3:3">
      <c r="C4154" s="1"/>
    </row>
    <row r="4155" spans="3:3">
      <c r="C4155" s="1"/>
    </row>
    <row r="4156" spans="3:3">
      <c r="C4156" s="1"/>
    </row>
    <row r="4157" spans="3:3">
      <c r="C4157" s="1"/>
    </row>
    <row r="4158" spans="3:3">
      <c r="C4158" s="1"/>
    </row>
    <row r="4159" spans="3:3">
      <c r="C4159" s="1"/>
    </row>
    <row r="4160" spans="3:3">
      <c r="C4160" s="1"/>
    </row>
    <row r="4161" spans="3:3">
      <c r="C4161" s="1"/>
    </row>
    <row r="4162" spans="3:3">
      <c r="C4162" s="1"/>
    </row>
    <row r="4163" spans="3:3">
      <c r="C4163" s="1"/>
    </row>
    <row r="4164" spans="3:3">
      <c r="C4164" s="1"/>
    </row>
    <row r="4165" spans="3:3">
      <c r="C4165" s="1"/>
    </row>
    <row r="4166" spans="3:3">
      <c r="C4166" s="1"/>
    </row>
    <row r="4167" spans="3:3">
      <c r="C4167" s="1"/>
    </row>
    <row r="4168" spans="3:3">
      <c r="C4168" s="1"/>
    </row>
    <row r="4169" spans="3:3">
      <c r="C4169" s="1"/>
    </row>
    <row r="4170" spans="3:3">
      <c r="C4170" s="1"/>
    </row>
    <row r="4171" spans="3:3">
      <c r="C4171" s="1"/>
    </row>
    <row r="4172" spans="3:3">
      <c r="C4172" s="1"/>
    </row>
    <row r="4173" spans="3:3">
      <c r="C4173" s="1"/>
    </row>
    <row r="4174" spans="3:3">
      <c r="C4174" s="1"/>
    </row>
    <row r="4175" spans="3:3">
      <c r="C4175" s="1"/>
    </row>
    <row r="4176" spans="3:3">
      <c r="C4176" s="1"/>
    </row>
    <row r="4177" spans="3:3">
      <c r="C4177" s="1"/>
    </row>
    <row r="4178" spans="3:3">
      <c r="C4178" s="1"/>
    </row>
    <row r="4179" spans="3:3">
      <c r="C4179" s="1"/>
    </row>
    <row r="4180" spans="3:3">
      <c r="C4180" s="1"/>
    </row>
    <row r="4181" spans="3:3">
      <c r="C4181" s="1"/>
    </row>
    <row r="4182" spans="3:3">
      <c r="C4182" s="1"/>
    </row>
    <row r="4183" spans="3:3">
      <c r="C4183" s="1"/>
    </row>
    <row r="4184" spans="3:3">
      <c r="C4184" s="1"/>
    </row>
    <row r="4185" spans="3:3">
      <c r="C4185" s="1"/>
    </row>
    <row r="4186" spans="3:3">
      <c r="C4186" s="1"/>
    </row>
    <row r="4187" spans="3:3">
      <c r="C4187" s="1"/>
    </row>
    <row r="4188" spans="3:3">
      <c r="C4188" s="1"/>
    </row>
    <row r="4189" spans="3:3">
      <c r="C4189" s="1"/>
    </row>
    <row r="4190" spans="3:3">
      <c r="C4190" s="1"/>
    </row>
    <row r="4191" spans="3:3">
      <c r="C4191" s="1"/>
    </row>
    <row r="4192" spans="3:3">
      <c r="C4192" s="1"/>
    </row>
    <row r="4193" spans="3:3">
      <c r="C4193" s="1"/>
    </row>
    <row r="4194" spans="3:3">
      <c r="C4194" s="1"/>
    </row>
    <row r="4195" spans="3:3">
      <c r="C4195" s="1"/>
    </row>
    <row r="4196" spans="3:3">
      <c r="C4196" s="1"/>
    </row>
    <row r="4197" spans="3:3">
      <c r="C4197" s="1"/>
    </row>
    <row r="4198" spans="3:3">
      <c r="C4198" s="1"/>
    </row>
    <row r="4199" spans="3:3">
      <c r="C4199" s="1"/>
    </row>
    <row r="4200" spans="3:3">
      <c r="C4200" s="1"/>
    </row>
    <row r="4201" spans="3:3">
      <c r="C4201" s="1"/>
    </row>
    <row r="4202" spans="3:3">
      <c r="C4202" s="1"/>
    </row>
    <row r="4203" spans="3:3">
      <c r="C4203" s="1"/>
    </row>
    <row r="4204" spans="3:3">
      <c r="C4204" s="1"/>
    </row>
    <row r="4205" spans="3:3">
      <c r="C4205" s="1"/>
    </row>
    <row r="4206" spans="3:3">
      <c r="C4206" s="1"/>
    </row>
    <row r="4207" spans="3:3">
      <c r="C4207" s="1"/>
    </row>
    <row r="4208" spans="3:3">
      <c r="C4208" s="1"/>
    </row>
    <row r="4209" spans="3:3">
      <c r="C4209" s="1"/>
    </row>
    <row r="4210" spans="3:3">
      <c r="C4210" s="1"/>
    </row>
    <row r="4211" spans="3:3">
      <c r="C4211" s="1"/>
    </row>
    <row r="4212" spans="3:3">
      <c r="C4212" s="1"/>
    </row>
    <row r="4213" spans="3:3">
      <c r="C4213" s="1"/>
    </row>
    <row r="4214" spans="3:3">
      <c r="C4214" s="1"/>
    </row>
    <row r="4215" spans="3:3">
      <c r="C4215" s="1"/>
    </row>
    <row r="4216" spans="3:3">
      <c r="C4216" s="1"/>
    </row>
    <row r="4217" spans="3:3">
      <c r="C4217" s="1"/>
    </row>
    <row r="4218" spans="3:3">
      <c r="C4218" s="1"/>
    </row>
    <row r="4219" spans="3:3">
      <c r="C4219" s="1"/>
    </row>
    <row r="4220" spans="3:3">
      <c r="C4220" s="1"/>
    </row>
    <row r="4221" spans="3:3">
      <c r="C4221" s="1"/>
    </row>
    <row r="4222" spans="3:3">
      <c r="C4222" s="1"/>
    </row>
    <row r="4223" spans="3:3">
      <c r="C4223" s="1"/>
    </row>
    <row r="4224" spans="3:3">
      <c r="C4224" s="1"/>
    </row>
    <row r="4225" spans="3:3">
      <c r="C4225" s="1"/>
    </row>
    <row r="4226" spans="3:3">
      <c r="C4226" s="1"/>
    </row>
    <row r="4227" spans="3:3">
      <c r="C4227" s="1"/>
    </row>
    <row r="4228" spans="3:3">
      <c r="C4228" s="1"/>
    </row>
    <row r="4229" spans="3:3">
      <c r="C4229" s="1"/>
    </row>
    <row r="4230" spans="3:3">
      <c r="C4230" s="1"/>
    </row>
    <row r="4231" spans="3:3">
      <c r="C4231" s="1"/>
    </row>
    <row r="4232" spans="3:3">
      <c r="C4232" s="1"/>
    </row>
    <row r="4233" spans="3:3">
      <c r="C4233" s="1"/>
    </row>
    <row r="4234" spans="3:3">
      <c r="C4234" s="1"/>
    </row>
    <row r="4235" spans="3:3">
      <c r="C4235" s="1"/>
    </row>
    <row r="4236" spans="3:3">
      <c r="C4236" s="1"/>
    </row>
    <row r="4237" spans="3:3">
      <c r="C4237" s="1"/>
    </row>
    <row r="4238" spans="3:3">
      <c r="C4238" s="1"/>
    </row>
    <row r="4239" spans="3:3">
      <c r="C4239" s="1"/>
    </row>
    <row r="4240" spans="3:3">
      <c r="C4240" s="1"/>
    </row>
    <row r="4241" spans="3:3">
      <c r="C4241" s="1"/>
    </row>
    <row r="4242" spans="3:3">
      <c r="C4242" s="1"/>
    </row>
    <row r="4243" spans="3:3">
      <c r="C4243" s="1"/>
    </row>
    <row r="4244" spans="3:3">
      <c r="C4244" s="1"/>
    </row>
    <row r="4245" spans="3:3">
      <c r="C4245" s="1"/>
    </row>
    <row r="4246" spans="3:3">
      <c r="C4246" s="1"/>
    </row>
    <row r="4247" spans="3:3">
      <c r="C4247" s="1"/>
    </row>
    <row r="4248" spans="3:3">
      <c r="C4248" s="1"/>
    </row>
    <row r="4249" spans="3:3">
      <c r="C4249" s="1"/>
    </row>
    <row r="4250" spans="3:3">
      <c r="C4250" s="1"/>
    </row>
    <row r="4251" spans="3:3">
      <c r="C4251" s="1"/>
    </row>
    <row r="4252" spans="3:3">
      <c r="C4252" s="1"/>
    </row>
    <row r="4253" spans="3:3">
      <c r="C4253" s="1"/>
    </row>
    <row r="4254" spans="3:3">
      <c r="C4254" s="1"/>
    </row>
    <row r="4255" spans="3:3">
      <c r="C4255" s="1"/>
    </row>
    <row r="4256" spans="3:3">
      <c r="C4256" s="1"/>
    </row>
    <row r="4257" spans="3:3">
      <c r="C4257" s="1"/>
    </row>
    <row r="4258" spans="3:3">
      <c r="C4258" s="1"/>
    </row>
    <row r="4259" spans="3:3">
      <c r="C4259" s="1"/>
    </row>
    <row r="4260" spans="3:3">
      <c r="C4260" s="1"/>
    </row>
    <row r="4261" spans="3:3">
      <c r="C4261" s="1"/>
    </row>
    <row r="4262" spans="3:3">
      <c r="C4262" s="1"/>
    </row>
    <row r="4263" spans="3:3">
      <c r="C4263" s="1"/>
    </row>
    <row r="4264" spans="3:3">
      <c r="C4264" s="1"/>
    </row>
    <row r="4265" spans="3:3">
      <c r="C4265" s="1"/>
    </row>
    <row r="4266" spans="3:3">
      <c r="C4266" s="1"/>
    </row>
    <row r="4267" spans="3:3">
      <c r="C4267" s="1"/>
    </row>
    <row r="4268" spans="3:3">
      <c r="C4268" s="1"/>
    </row>
    <row r="4269" spans="3:3">
      <c r="C4269" s="1"/>
    </row>
    <row r="4270" spans="3:3">
      <c r="C4270" s="1"/>
    </row>
    <row r="4271" spans="3:3">
      <c r="C4271" s="1"/>
    </row>
    <row r="4272" spans="3:3">
      <c r="C4272" s="1"/>
    </row>
    <row r="4273" spans="3:3">
      <c r="C4273" s="1"/>
    </row>
    <row r="4274" spans="3:3">
      <c r="C4274" s="1"/>
    </row>
    <row r="4275" spans="3:3">
      <c r="C4275" s="1"/>
    </row>
    <row r="4276" spans="3:3">
      <c r="C4276" s="1"/>
    </row>
    <row r="4277" spans="3:3">
      <c r="C4277" s="1"/>
    </row>
    <row r="4278" spans="3:3">
      <c r="C4278" s="1"/>
    </row>
    <row r="4279" spans="3:3">
      <c r="C4279" s="1"/>
    </row>
    <row r="4280" spans="3:3">
      <c r="C4280" s="1"/>
    </row>
    <row r="4281" spans="3:3">
      <c r="C4281" s="1"/>
    </row>
    <row r="4282" spans="3:3">
      <c r="C4282" s="1"/>
    </row>
    <row r="4283" spans="3:3">
      <c r="C4283" s="1"/>
    </row>
    <row r="4284" spans="3:3">
      <c r="C4284" s="1"/>
    </row>
    <row r="4285" spans="3:3">
      <c r="C4285" s="1"/>
    </row>
    <row r="4286" spans="3:3">
      <c r="C4286" s="1"/>
    </row>
    <row r="4287" spans="3:3">
      <c r="C4287" s="1"/>
    </row>
    <row r="4288" spans="3:3">
      <c r="C4288" s="1"/>
    </row>
    <row r="4289" spans="3:3">
      <c r="C4289" s="1"/>
    </row>
    <row r="4290" spans="3:3">
      <c r="C4290" s="1"/>
    </row>
    <row r="4291" spans="3:3">
      <c r="C4291" s="1"/>
    </row>
    <row r="4292" spans="3:3">
      <c r="C4292" s="1"/>
    </row>
    <row r="4293" spans="3:3">
      <c r="C4293" s="1"/>
    </row>
    <row r="4294" spans="3:3">
      <c r="C4294" s="1"/>
    </row>
    <row r="4295" spans="3:3">
      <c r="C4295" s="1"/>
    </row>
    <row r="4296" spans="3:3">
      <c r="C4296" s="1"/>
    </row>
    <row r="4297" spans="3:3">
      <c r="C4297" s="1"/>
    </row>
    <row r="4298" spans="3:3">
      <c r="C4298" s="1"/>
    </row>
    <row r="4299" spans="3:3">
      <c r="C4299" s="1"/>
    </row>
    <row r="4300" spans="3:3">
      <c r="C4300" s="1"/>
    </row>
    <row r="4301" spans="3:3">
      <c r="C4301" s="1"/>
    </row>
    <row r="4302" spans="3:3">
      <c r="C4302" s="1"/>
    </row>
    <row r="4303" spans="3:3">
      <c r="C4303" s="1"/>
    </row>
    <row r="4304" spans="3:3">
      <c r="C4304" s="1"/>
    </row>
    <row r="4305" spans="3:3">
      <c r="C4305" s="1"/>
    </row>
    <row r="4306" spans="3:3">
      <c r="C4306" s="1"/>
    </row>
    <row r="4307" spans="3:3">
      <c r="C4307" s="1"/>
    </row>
    <row r="4308" spans="3:3">
      <c r="C4308" s="1"/>
    </row>
    <row r="4309" spans="3:3">
      <c r="C4309" s="1"/>
    </row>
    <row r="4310" spans="3:3">
      <c r="C4310" s="1"/>
    </row>
    <row r="4311" spans="3:3">
      <c r="C4311" s="1"/>
    </row>
    <row r="4312" spans="3:3">
      <c r="C4312" s="1"/>
    </row>
    <row r="4313" spans="3:3">
      <c r="C4313" s="1"/>
    </row>
    <row r="4314" spans="3:3">
      <c r="C4314" s="1"/>
    </row>
    <row r="4315" spans="3:3">
      <c r="C4315" s="1"/>
    </row>
    <row r="4316" spans="3:3">
      <c r="C4316" s="1"/>
    </row>
    <row r="4317" spans="3:3">
      <c r="C4317" s="1"/>
    </row>
    <row r="4318" spans="3:3">
      <c r="C4318" s="1"/>
    </row>
    <row r="4319" spans="3:3">
      <c r="C4319" s="1"/>
    </row>
    <row r="4320" spans="3:3">
      <c r="C4320" s="1"/>
    </row>
    <row r="4321" spans="3:3">
      <c r="C4321" s="1"/>
    </row>
    <row r="4322" spans="3:3">
      <c r="C4322" s="1"/>
    </row>
    <row r="4323" spans="3:3">
      <c r="C4323" s="1"/>
    </row>
    <row r="4324" spans="3:3">
      <c r="C4324" s="1"/>
    </row>
    <row r="4325" spans="3:3">
      <c r="C4325" s="1"/>
    </row>
    <row r="4326" spans="3:3">
      <c r="C4326" s="1"/>
    </row>
    <row r="4327" spans="3:3">
      <c r="C4327" s="1"/>
    </row>
    <row r="4328" spans="3:3">
      <c r="C4328" s="1"/>
    </row>
    <row r="4329" spans="3:3">
      <c r="C4329" s="1"/>
    </row>
    <row r="4330" spans="3:3">
      <c r="C4330" s="1"/>
    </row>
    <row r="4331" spans="3:3">
      <c r="C4331" s="1"/>
    </row>
    <row r="4332" spans="3:3">
      <c r="C4332" s="1"/>
    </row>
    <row r="4333" spans="3:3">
      <c r="C4333" s="1"/>
    </row>
    <row r="4334" spans="3:3">
      <c r="C4334" s="1"/>
    </row>
    <row r="4335" spans="3:3">
      <c r="C4335" s="1"/>
    </row>
    <row r="4336" spans="3:3">
      <c r="C4336" s="1"/>
    </row>
    <row r="4337" spans="3:3">
      <c r="C4337" s="1"/>
    </row>
    <row r="4338" spans="3:3">
      <c r="C4338" s="1"/>
    </row>
    <row r="4339" spans="3:3">
      <c r="C4339" s="1"/>
    </row>
    <row r="4340" spans="3:3">
      <c r="C4340" s="1"/>
    </row>
    <row r="4341" spans="3:3">
      <c r="C4341" s="1"/>
    </row>
    <row r="4342" spans="3:3">
      <c r="C4342" s="1"/>
    </row>
    <row r="4343" spans="3:3">
      <c r="C4343" s="1"/>
    </row>
    <row r="4344" spans="3:3">
      <c r="C4344" s="1"/>
    </row>
    <row r="4345" spans="3:3">
      <c r="C4345" s="1"/>
    </row>
    <row r="4346" spans="3:3">
      <c r="C4346" s="1"/>
    </row>
    <row r="4347" spans="3:3">
      <c r="C4347" s="1"/>
    </row>
    <row r="4348" spans="3:3">
      <c r="C4348" s="1"/>
    </row>
    <row r="4349" spans="3:3">
      <c r="C4349" s="1"/>
    </row>
    <row r="4350" spans="3:3">
      <c r="C4350" s="1"/>
    </row>
    <row r="4351" spans="3:3">
      <c r="C4351" s="1"/>
    </row>
    <row r="4352" spans="3:3">
      <c r="C4352" s="1"/>
    </row>
    <row r="4353" spans="3:3">
      <c r="C4353" s="1"/>
    </row>
    <row r="4354" spans="3:3">
      <c r="C4354" s="1"/>
    </row>
    <row r="4355" spans="3:3">
      <c r="C4355" s="1"/>
    </row>
    <row r="4356" spans="3:3">
      <c r="C4356" s="1"/>
    </row>
    <row r="4357" spans="3:3">
      <c r="C4357" s="1"/>
    </row>
    <row r="4358" spans="3:3">
      <c r="C4358" s="1"/>
    </row>
    <row r="4359" spans="3:3">
      <c r="C4359" s="1"/>
    </row>
    <row r="4360" spans="3:3">
      <c r="C4360" s="1"/>
    </row>
    <row r="4361" spans="3:3">
      <c r="C4361" s="1"/>
    </row>
    <row r="4362" spans="3:3">
      <c r="C4362" s="1"/>
    </row>
    <row r="4363" spans="3:3">
      <c r="C4363" s="1"/>
    </row>
    <row r="4364" spans="3:3">
      <c r="C4364" s="1"/>
    </row>
    <row r="4365" spans="3:3">
      <c r="C4365" s="1"/>
    </row>
    <row r="4366" spans="3:3">
      <c r="C4366" s="1"/>
    </row>
    <row r="4367" spans="3:3">
      <c r="C4367" s="1"/>
    </row>
    <row r="4368" spans="3:3">
      <c r="C4368" s="1"/>
    </row>
    <row r="4369" spans="3:3">
      <c r="C4369" s="1"/>
    </row>
    <row r="4370" spans="3:3">
      <c r="C4370" s="1"/>
    </row>
    <row r="4371" spans="3:3">
      <c r="C4371" s="1"/>
    </row>
    <row r="4372" spans="3:3">
      <c r="C4372" s="1"/>
    </row>
    <row r="4373" spans="3:3">
      <c r="C4373" s="1"/>
    </row>
    <row r="4374" spans="3:3">
      <c r="C4374" s="1"/>
    </row>
    <row r="4375" spans="3:3">
      <c r="C4375" s="1"/>
    </row>
    <row r="4376" spans="3:3">
      <c r="C4376" s="1"/>
    </row>
    <row r="4377" spans="3:3">
      <c r="C4377" s="1"/>
    </row>
    <row r="4378" spans="3:3">
      <c r="C4378" s="1"/>
    </row>
    <row r="4379" spans="3:3">
      <c r="C4379" s="1"/>
    </row>
    <row r="4380" spans="3:3">
      <c r="C4380" s="1"/>
    </row>
    <row r="4381" spans="3:3">
      <c r="C4381" s="1"/>
    </row>
    <row r="4382" spans="3:3">
      <c r="C4382" s="1"/>
    </row>
    <row r="4383" spans="3:3">
      <c r="C4383" s="1"/>
    </row>
    <row r="4384" spans="3:3">
      <c r="C4384" s="1"/>
    </row>
    <row r="4385" spans="3:3">
      <c r="C4385" s="1"/>
    </row>
    <row r="4386" spans="3:3">
      <c r="C4386" s="1"/>
    </row>
    <row r="4387" spans="3:3">
      <c r="C4387" s="1"/>
    </row>
    <row r="4388" spans="3:3">
      <c r="C4388" s="1"/>
    </row>
    <row r="4389" spans="3:3">
      <c r="C4389" s="1"/>
    </row>
    <row r="4390" spans="3:3">
      <c r="C4390" s="1"/>
    </row>
    <row r="4391" spans="3:3">
      <c r="C4391" s="1"/>
    </row>
    <row r="4392" spans="3:3">
      <c r="C4392" s="1"/>
    </row>
    <row r="4393" spans="3:3">
      <c r="C4393" s="1"/>
    </row>
    <row r="4394" spans="3:3">
      <c r="C4394" s="1"/>
    </row>
    <row r="4395" spans="3:3">
      <c r="C4395" s="1"/>
    </row>
    <row r="4396" spans="3:3">
      <c r="C4396" s="1"/>
    </row>
    <row r="4397" spans="3:3">
      <c r="C4397" s="1"/>
    </row>
    <row r="4398" spans="3:3">
      <c r="C4398" s="1"/>
    </row>
    <row r="4399" spans="3:3">
      <c r="C4399" s="1"/>
    </row>
    <row r="4400" spans="3:3">
      <c r="C4400" s="1"/>
    </row>
    <row r="4401" spans="3:3">
      <c r="C4401" s="1"/>
    </row>
    <row r="4402" spans="3:3">
      <c r="C4402" s="1"/>
    </row>
    <row r="4403" spans="3:3">
      <c r="C4403" s="1"/>
    </row>
    <row r="4404" spans="3:3">
      <c r="C4404" s="1"/>
    </row>
    <row r="4405" spans="3:3">
      <c r="C4405" s="1"/>
    </row>
    <row r="4406" spans="3:3">
      <c r="C4406" s="1"/>
    </row>
    <row r="4407" spans="3:3">
      <c r="C4407" s="1"/>
    </row>
    <row r="4408" spans="3:3">
      <c r="C4408" s="1"/>
    </row>
    <row r="4409" spans="3:3">
      <c r="C4409" s="1"/>
    </row>
    <row r="4410" spans="3:3">
      <c r="C4410" s="1"/>
    </row>
    <row r="4411" spans="3:3">
      <c r="C4411" s="1"/>
    </row>
    <row r="4412" spans="3:3">
      <c r="C4412" s="1"/>
    </row>
    <row r="4413" spans="3:3">
      <c r="C4413" s="1"/>
    </row>
    <row r="4414" spans="3:3">
      <c r="C4414" s="1"/>
    </row>
    <row r="4415" spans="3:3">
      <c r="C4415" s="1"/>
    </row>
    <row r="4416" spans="3:3">
      <c r="C4416" s="1"/>
    </row>
    <row r="4417" spans="3:3">
      <c r="C4417" s="1"/>
    </row>
    <row r="4418" spans="3:3">
      <c r="C4418" s="1"/>
    </row>
    <row r="4419" spans="3:3">
      <c r="C4419" s="1"/>
    </row>
    <row r="4420" spans="3:3">
      <c r="C4420" s="1"/>
    </row>
    <row r="4421" spans="3:3">
      <c r="C4421" s="1"/>
    </row>
    <row r="4422" spans="3:3">
      <c r="C4422" s="1"/>
    </row>
    <row r="4423" spans="3:3">
      <c r="C4423" s="1"/>
    </row>
    <row r="4424" spans="3:3">
      <c r="C4424" s="1"/>
    </row>
    <row r="4425" spans="3:3">
      <c r="C4425" s="1"/>
    </row>
    <row r="4426" spans="3:3">
      <c r="C4426" s="1"/>
    </row>
    <row r="4427" spans="3:3">
      <c r="C4427" s="1"/>
    </row>
    <row r="4428" spans="3:3">
      <c r="C4428" s="1"/>
    </row>
    <row r="4429" spans="3:3">
      <c r="C4429" s="1"/>
    </row>
    <row r="4430" spans="3:3">
      <c r="C4430" s="1"/>
    </row>
    <row r="4431" spans="3:3">
      <c r="C4431" s="1"/>
    </row>
    <row r="4432" spans="3:3">
      <c r="C4432" s="1"/>
    </row>
    <row r="4433" spans="3:3">
      <c r="C4433" s="1"/>
    </row>
    <row r="4434" spans="3:3">
      <c r="C4434" s="1"/>
    </row>
    <row r="4435" spans="3:3">
      <c r="C4435" s="1"/>
    </row>
    <row r="4436" spans="3:3">
      <c r="C4436" s="1"/>
    </row>
    <row r="4437" spans="3:3">
      <c r="C4437" s="1"/>
    </row>
    <row r="4438" spans="3:3">
      <c r="C4438" s="1"/>
    </row>
    <row r="4439" spans="3:3">
      <c r="C4439" s="1"/>
    </row>
    <row r="4440" spans="3:3">
      <c r="C4440" s="1"/>
    </row>
    <row r="4441" spans="3:3">
      <c r="C4441" s="1"/>
    </row>
    <row r="4442" spans="3:3">
      <c r="C4442" s="1"/>
    </row>
    <row r="4443" spans="3:3">
      <c r="C4443" s="1"/>
    </row>
    <row r="4444" spans="3:3">
      <c r="C4444" s="1"/>
    </row>
    <row r="4445" spans="3:3">
      <c r="C4445" s="1"/>
    </row>
    <row r="4446" spans="3:3">
      <c r="C4446" s="1"/>
    </row>
    <row r="4447" spans="3:3">
      <c r="C4447" s="1"/>
    </row>
    <row r="4448" spans="3:3">
      <c r="C4448" s="1"/>
    </row>
    <row r="4449" spans="3:3">
      <c r="C4449" s="1"/>
    </row>
    <row r="4450" spans="3:3">
      <c r="C4450" s="1"/>
    </row>
    <row r="4451" spans="3:3">
      <c r="C4451" s="1"/>
    </row>
    <row r="4452" spans="3:3">
      <c r="C4452" s="1"/>
    </row>
    <row r="4453" spans="3:3">
      <c r="C4453" s="1"/>
    </row>
    <row r="4454" spans="3:3">
      <c r="C4454" s="1"/>
    </row>
    <row r="4455" spans="3:3">
      <c r="C4455" s="1"/>
    </row>
    <row r="4456" spans="3:3">
      <c r="C4456" s="1"/>
    </row>
    <row r="4457" spans="3:3">
      <c r="C4457" s="1"/>
    </row>
    <row r="4458" spans="3:3">
      <c r="C4458" s="1"/>
    </row>
    <row r="4459" spans="3:3">
      <c r="C4459" s="1"/>
    </row>
    <row r="4460" spans="3:3">
      <c r="C4460" s="1"/>
    </row>
    <row r="4461" spans="3:3">
      <c r="C4461" s="1"/>
    </row>
    <row r="4462" spans="3:3">
      <c r="C4462" s="1"/>
    </row>
    <row r="4463" spans="3:3">
      <c r="C4463" s="1"/>
    </row>
    <row r="4464" spans="3:3">
      <c r="C4464" s="1"/>
    </row>
    <row r="4465" spans="3:3">
      <c r="C4465" s="1"/>
    </row>
    <row r="4466" spans="3:3">
      <c r="C4466" s="1"/>
    </row>
    <row r="4467" spans="3:3">
      <c r="C4467" s="1"/>
    </row>
    <row r="4468" spans="3:3">
      <c r="C4468" s="1"/>
    </row>
    <row r="4469" spans="3:3">
      <c r="C4469" s="1"/>
    </row>
    <row r="4470" spans="3:3">
      <c r="C4470" s="1"/>
    </row>
    <row r="4471" spans="3:3">
      <c r="C4471" s="1"/>
    </row>
    <row r="4472" spans="3:3">
      <c r="C4472" s="1"/>
    </row>
    <row r="4473" spans="3:3">
      <c r="C4473" s="1"/>
    </row>
    <row r="4474" spans="3:3">
      <c r="C4474" s="1"/>
    </row>
    <row r="4475" spans="3:3">
      <c r="C4475" s="1"/>
    </row>
    <row r="4476" spans="3:3">
      <c r="C4476" s="1"/>
    </row>
    <row r="4477" spans="3:3">
      <c r="C4477" s="1"/>
    </row>
    <row r="4478" spans="3:3">
      <c r="C4478" s="1"/>
    </row>
    <row r="4479" spans="3:3">
      <c r="C4479" s="1"/>
    </row>
    <row r="4480" spans="3:3">
      <c r="C4480" s="1"/>
    </row>
    <row r="4481" spans="3:3">
      <c r="C4481" s="1"/>
    </row>
    <row r="4482" spans="3:3">
      <c r="C4482" s="1"/>
    </row>
    <row r="4483" spans="3:3">
      <c r="C4483" s="1"/>
    </row>
    <row r="4484" spans="3:3">
      <c r="C4484" s="1"/>
    </row>
    <row r="4485" spans="3:3">
      <c r="C4485" s="1"/>
    </row>
    <row r="4486" spans="3:3">
      <c r="C4486" s="1"/>
    </row>
    <row r="4487" spans="3:3">
      <c r="C4487" s="1"/>
    </row>
    <row r="4488" spans="3:3">
      <c r="C4488" s="1"/>
    </row>
    <row r="4489" spans="3:3">
      <c r="C4489" s="1"/>
    </row>
    <row r="4490" spans="3:3">
      <c r="C4490" s="1"/>
    </row>
    <row r="4491" spans="3:3">
      <c r="C4491" s="1"/>
    </row>
    <row r="4492" spans="3:3">
      <c r="C4492" s="1"/>
    </row>
    <row r="4493" spans="3:3">
      <c r="C4493" s="1"/>
    </row>
    <row r="4494" spans="3:3">
      <c r="C4494" s="1"/>
    </row>
    <row r="4495" spans="3:3">
      <c r="C4495" s="1"/>
    </row>
    <row r="4496" spans="3:3">
      <c r="C4496" s="1"/>
    </row>
    <row r="4497" spans="3:3">
      <c r="C4497" s="1"/>
    </row>
    <row r="4498" spans="3:3">
      <c r="C4498" s="1"/>
    </row>
    <row r="4499" spans="3:3">
      <c r="C4499" s="1"/>
    </row>
    <row r="4500" spans="3:3">
      <c r="C4500" s="1"/>
    </row>
    <row r="4501" spans="3:3">
      <c r="C4501" s="1"/>
    </row>
    <row r="4502" spans="3:3">
      <c r="C4502" s="1"/>
    </row>
    <row r="4503" spans="3:3">
      <c r="C4503" s="1"/>
    </row>
    <row r="4504" spans="3:3">
      <c r="C4504" s="1"/>
    </row>
    <row r="4505" spans="3:3">
      <c r="C4505" s="1"/>
    </row>
    <row r="4506" spans="3:3">
      <c r="C4506" s="1"/>
    </row>
    <row r="4507" spans="3:3">
      <c r="C4507" s="1"/>
    </row>
    <row r="4508" spans="3:3">
      <c r="C4508" s="1"/>
    </row>
    <row r="4509" spans="3:3">
      <c r="C4509" s="1"/>
    </row>
    <row r="4510" spans="3:3">
      <c r="C4510" s="1"/>
    </row>
    <row r="4511" spans="3:3">
      <c r="C4511" s="1"/>
    </row>
    <row r="4512" spans="3:3">
      <c r="C4512" s="1"/>
    </row>
    <row r="4513" spans="3:3">
      <c r="C4513" s="1"/>
    </row>
    <row r="4514" spans="3:3">
      <c r="C4514" s="1"/>
    </row>
    <row r="4515" spans="3:3">
      <c r="C4515" s="1"/>
    </row>
    <row r="4516" spans="3:3">
      <c r="C4516" s="1"/>
    </row>
    <row r="4517" spans="3:3">
      <c r="C4517" s="1"/>
    </row>
    <row r="4518" spans="3:3">
      <c r="C4518" s="1"/>
    </row>
    <row r="4519" spans="3:3">
      <c r="C4519" s="1"/>
    </row>
    <row r="4520" spans="3:3">
      <c r="C4520" s="1"/>
    </row>
    <row r="4521" spans="3:3">
      <c r="C4521" s="1"/>
    </row>
    <row r="4522" spans="3:3">
      <c r="C4522" s="1"/>
    </row>
    <row r="4523" spans="3:3">
      <c r="C4523" s="1"/>
    </row>
    <row r="4524" spans="3:3">
      <c r="C4524" s="1"/>
    </row>
    <row r="4525" spans="3:3">
      <c r="C4525" s="1"/>
    </row>
    <row r="4526" spans="3:3">
      <c r="C4526" s="1"/>
    </row>
    <row r="4527" spans="3:3">
      <c r="C4527" s="1"/>
    </row>
    <row r="4528" spans="3:3">
      <c r="C4528" s="1"/>
    </row>
    <row r="4529" spans="3:3">
      <c r="C4529" s="1"/>
    </row>
    <row r="4530" spans="3:3">
      <c r="C4530" s="1"/>
    </row>
    <row r="4531" spans="3:3">
      <c r="C4531" s="1"/>
    </row>
    <row r="4532" spans="3:3">
      <c r="C4532" s="1"/>
    </row>
    <row r="4533" spans="3:3">
      <c r="C4533" s="1"/>
    </row>
    <row r="4534" spans="3:3">
      <c r="C4534" s="1"/>
    </row>
    <row r="4535" spans="3:3">
      <c r="C4535" s="1"/>
    </row>
    <row r="4536" spans="3:3">
      <c r="C4536" s="1"/>
    </row>
    <row r="4537" spans="3:3">
      <c r="C4537" s="1"/>
    </row>
    <row r="4538" spans="3:3">
      <c r="C4538" s="1"/>
    </row>
    <row r="4539" spans="3:3">
      <c r="C4539" s="1"/>
    </row>
    <row r="4540" spans="3:3">
      <c r="C4540" s="1"/>
    </row>
    <row r="4541" spans="3:3">
      <c r="C4541" s="1"/>
    </row>
    <row r="4542" spans="3:3">
      <c r="C4542" s="1"/>
    </row>
    <row r="4543" spans="3:3">
      <c r="C4543" s="1"/>
    </row>
    <row r="4544" spans="3:3">
      <c r="C4544" s="1"/>
    </row>
    <row r="4545" spans="3:3">
      <c r="C4545" s="1"/>
    </row>
    <row r="4546" spans="3:3">
      <c r="C4546" s="1"/>
    </row>
    <row r="4547" spans="3:3">
      <c r="C4547" s="1"/>
    </row>
    <row r="4548" spans="3:3">
      <c r="C4548" s="1"/>
    </row>
    <row r="4549" spans="3:3">
      <c r="C4549" s="1"/>
    </row>
    <row r="4550" spans="3:3">
      <c r="C4550" s="1"/>
    </row>
    <row r="4551" spans="3:3">
      <c r="C4551" s="1"/>
    </row>
    <row r="4552" spans="3:3">
      <c r="C4552" s="1"/>
    </row>
    <row r="4553" spans="3:3">
      <c r="C4553" s="1"/>
    </row>
    <row r="4554" spans="3:3">
      <c r="C4554" s="1"/>
    </row>
    <row r="4555" spans="3:3">
      <c r="C4555" s="1"/>
    </row>
    <row r="4556" spans="3:3">
      <c r="C4556" s="1"/>
    </row>
    <row r="4557" spans="3:3">
      <c r="C4557" s="1"/>
    </row>
    <row r="4558" spans="3:3">
      <c r="C4558" s="1"/>
    </row>
    <row r="4559" spans="3:3">
      <c r="C4559" s="1"/>
    </row>
    <row r="4560" spans="3:3">
      <c r="C4560" s="1"/>
    </row>
    <row r="4561" spans="3:3">
      <c r="C4561" s="1"/>
    </row>
    <row r="4562" spans="3:3">
      <c r="C4562" s="1"/>
    </row>
    <row r="4563" spans="3:3">
      <c r="C4563" s="1"/>
    </row>
    <row r="4564" spans="3:3">
      <c r="C4564" s="1"/>
    </row>
    <row r="4565" spans="3:3">
      <c r="C4565" s="1"/>
    </row>
    <row r="4566" spans="3:3">
      <c r="C4566" s="1"/>
    </row>
    <row r="4567" spans="3:3">
      <c r="C4567" s="1"/>
    </row>
    <row r="4568" spans="3:3">
      <c r="C4568" s="1"/>
    </row>
    <row r="4569" spans="3:3">
      <c r="C4569" s="1"/>
    </row>
    <row r="4570" spans="3:3">
      <c r="C4570" s="1"/>
    </row>
    <row r="4571" spans="3:3">
      <c r="C4571" s="1"/>
    </row>
    <row r="4572" spans="3:3">
      <c r="C4572" s="1"/>
    </row>
    <row r="4573" spans="3:3">
      <c r="C4573" s="1"/>
    </row>
    <row r="4574" spans="3:3">
      <c r="C4574" s="1"/>
    </row>
    <row r="4575" spans="3:3">
      <c r="C4575" s="1"/>
    </row>
    <row r="4576" spans="3:3">
      <c r="C4576" s="1"/>
    </row>
    <row r="4577" spans="3:3">
      <c r="C4577" s="1"/>
    </row>
    <row r="4578" spans="3:3">
      <c r="C4578" s="1"/>
    </row>
    <row r="4579" spans="3:3">
      <c r="C4579" s="1"/>
    </row>
    <row r="4580" spans="3:3">
      <c r="C4580" s="1"/>
    </row>
    <row r="4581" spans="3:3">
      <c r="C4581" s="1"/>
    </row>
    <row r="4582" spans="3:3">
      <c r="C4582" s="1"/>
    </row>
    <row r="4583" spans="3:3">
      <c r="C4583" s="1"/>
    </row>
    <row r="4584" spans="3:3">
      <c r="C4584" s="1"/>
    </row>
    <row r="4585" spans="3:3">
      <c r="C4585" s="1"/>
    </row>
    <row r="4586" spans="3:3">
      <c r="C4586" s="1"/>
    </row>
    <row r="4587" spans="3:3">
      <c r="C4587" s="1"/>
    </row>
    <row r="4588" spans="3:3">
      <c r="C4588" s="1"/>
    </row>
    <row r="4589" spans="3:3">
      <c r="C4589" s="1"/>
    </row>
    <row r="4590" spans="3:3">
      <c r="C4590" s="1"/>
    </row>
    <row r="4591" spans="3:3">
      <c r="C4591" s="1"/>
    </row>
    <row r="4592" spans="3:3">
      <c r="C4592" s="1"/>
    </row>
    <row r="4593" spans="3:3">
      <c r="C4593" s="1"/>
    </row>
    <row r="4594" spans="3:3">
      <c r="C4594" s="1"/>
    </row>
    <row r="4595" spans="3:3">
      <c r="C4595" s="1"/>
    </row>
    <row r="4596" spans="3:3">
      <c r="C4596" s="1"/>
    </row>
    <row r="4597" spans="3:3">
      <c r="C4597" s="1"/>
    </row>
    <row r="4598" spans="3:3">
      <c r="C4598" s="1"/>
    </row>
    <row r="4599" spans="3:3">
      <c r="C4599" s="1"/>
    </row>
    <row r="4600" spans="3:3">
      <c r="C4600" s="1"/>
    </row>
    <row r="4601" spans="3:3">
      <c r="C4601" s="1"/>
    </row>
    <row r="4602" spans="3:3">
      <c r="C4602" s="1"/>
    </row>
    <row r="4603" spans="3:3">
      <c r="C4603" s="1"/>
    </row>
    <row r="4604" spans="3:3">
      <c r="C4604" s="1"/>
    </row>
    <row r="4605" spans="3:3">
      <c r="C4605" s="1"/>
    </row>
    <row r="4606" spans="3:3">
      <c r="C4606" s="1"/>
    </row>
    <row r="4607" spans="3:3">
      <c r="C4607" s="1"/>
    </row>
    <row r="4608" spans="3:3">
      <c r="C4608" s="1"/>
    </row>
    <row r="4609" spans="3:3">
      <c r="C4609" s="1"/>
    </row>
    <row r="4610" spans="3:3">
      <c r="C4610" s="1"/>
    </row>
    <row r="4611" spans="3:3">
      <c r="C4611" s="1"/>
    </row>
    <row r="4612" spans="3:3">
      <c r="C4612" s="1"/>
    </row>
    <row r="4613" spans="3:3">
      <c r="C4613" s="1"/>
    </row>
    <row r="4614" spans="3:3">
      <c r="C4614" s="1"/>
    </row>
    <row r="4615" spans="3:3">
      <c r="C4615" s="1"/>
    </row>
    <row r="4616" spans="3:3">
      <c r="C4616" s="1"/>
    </row>
    <row r="4617" spans="3:3">
      <c r="C4617" s="1"/>
    </row>
    <row r="4618" spans="3:3">
      <c r="C4618" s="1"/>
    </row>
    <row r="4619" spans="3:3">
      <c r="C4619" s="1"/>
    </row>
    <row r="4620" spans="3:3">
      <c r="C4620" s="1"/>
    </row>
    <row r="4621" spans="3:3">
      <c r="C4621" s="1"/>
    </row>
    <row r="4622" spans="3:3">
      <c r="C4622" s="1"/>
    </row>
    <row r="4623" spans="3:3">
      <c r="C4623" s="1"/>
    </row>
    <row r="4624" spans="3:3">
      <c r="C4624" s="1"/>
    </row>
    <row r="4625" spans="3:3">
      <c r="C4625" s="1"/>
    </row>
    <row r="4626" spans="3:3">
      <c r="C4626" s="1"/>
    </row>
    <row r="4627" spans="3:3">
      <c r="C4627" s="1"/>
    </row>
    <row r="4628" spans="3:3">
      <c r="C4628" s="1"/>
    </row>
    <row r="4629" spans="3:3">
      <c r="C4629" s="1"/>
    </row>
    <row r="4630" spans="3:3">
      <c r="C4630" s="1"/>
    </row>
    <row r="4631" spans="3:3">
      <c r="C4631" s="1"/>
    </row>
    <row r="4632" spans="3:3">
      <c r="C4632" s="1"/>
    </row>
    <row r="4633" spans="3:3">
      <c r="C4633" s="1"/>
    </row>
    <row r="4634" spans="3:3">
      <c r="C4634" s="1"/>
    </row>
    <row r="4635" spans="3:3">
      <c r="C4635" s="1"/>
    </row>
    <row r="4636" spans="3:3">
      <c r="C4636" s="1"/>
    </row>
    <row r="4637" spans="3:3">
      <c r="C4637" s="1"/>
    </row>
    <row r="4638" spans="3:3">
      <c r="C4638" s="1"/>
    </row>
    <row r="4639" spans="3:3">
      <c r="C4639" s="1"/>
    </row>
    <row r="4640" spans="3:3">
      <c r="C4640" s="1"/>
    </row>
    <row r="4641" spans="3:3">
      <c r="C4641" s="1"/>
    </row>
    <row r="4642" spans="3:3">
      <c r="C4642" s="1"/>
    </row>
    <row r="4643" spans="3:3">
      <c r="C4643" s="1"/>
    </row>
    <row r="4644" spans="3:3">
      <c r="C4644" s="1"/>
    </row>
    <row r="4645" spans="3:3">
      <c r="C4645" s="1"/>
    </row>
    <row r="4646" spans="3:3">
      <c r="C4646" s="1"/>
    </row>
    <row r="4647" spans="3:3">
      <c r="C4647" s="1"/>
    </row>
    <row r="4648" spans="3:3">
      <c r="C4648" s="1"/>
    </row>
    <row r="4649" spans="3:3">
      <c r="C4649" s="1"/>
    </row>
    <row r="4650" spans="3:3">
      <c r="C4650" s="1"/>
    </row>
    <row r="4651" spans="3:3">
      <c r="C4651" s="1"/>
    </row>
    <row r="4652" spans="3:3">
      <c r="C4652" s="1"/>
    </row>
    <row r="4653" spans="3:3">
      <c r="C4653" s="1"/>
    </row>
    <row r="4654" spans="3:3">
      <c r="C4654" s="1"/>
    </row>
    <row r="4655" spans="3:3">
      <c r="C4655" s="1"/>
    </row>
    <row r="4656" spans="3:3">
      <c r="C4656" s="1"/>
    </row>
    <row r="4657" spans="3:3">
      <c r="C4657" s="1"/>
    </row>
    <row r="4658" spans="3:3">
      <c r="C4658" s="1"/>
    </row>
    <row r="4659" spans="3:3">
      <c r="C4659" s="1"/>
    </row>
    <row r="4660" spans="3:3">
      <c r="C4660" s="1"/>
    </row>
    <row r="4661" spans="3:3">
      <c r="C4661" s="1"/>
    </row>
    <row r="4662" spans="3:3">
      <c r="C4662" s="1"/>
    </row>
    <row r="4663" spans="3:3">
      <c r="C4663" s="1"/>
    </row>
    <row r="4664" spans="3:3">
      <c r="C4664" s="1"/>
    </row>
    <row r="4665" spans="3:3">
      <c r="C4665" s="1"/>
    </row>
    <row r="4666" spans="3:3">
      <c r="C4666" s="1"/>
    </row>
    <row r="4667" spans="3:3">
      <c r="C4667" s="1"/>
    </row>
    <row r="4668" spans="3:3">
      <c r="C4668" s="1"/>
    </row>
    <row r="4669" spans="3:3">
      <c r="C4669" s="1"/>
    </row>
    <row r="4670" spans="3:3">
      <c r="C4670" s="1"/>
    </row>
    <row r="4671" spans="3:3">
      <c r="C4671" s="1"/>
    </row>
    <row r="4672" spans="3:3">
      <c r="C4672" s="1"/>
    </row>
    <row r="4673" spans="3:3">
      <c r="C4673" s="1"/>
    </row>
    <row r="4674" spans="3:3">
      <c r="C4674" s="1"/>
    </row>
    <row r="4675" spans="3:3">
      <c r="C4675" s="1"/>
    </row>
    <row r="4676" spans="3:3">
      <c r="C4676" s="1"/>
    </row>
    <row r="4677" spans="3:3">
      <c r="C4677" s="1"/>
    </row>
    <row r="4678" spans="3:3">
      <c r="C4678" s="1"/>
    </row>
    <row r="4679" spans="3:3">
      <c r="C4679" s="1"/>
    </row>
    <row r="4680" spans="3:3">
      <c r="C4680" s="1"/>
    </row>
    <row r="4681" spans="3:3">
      <c r="C4681" s="1"/>
    </row>
    <row r="4682" spans="3:3">
      <c r="C4682" s="1"/>
    </row>
    <row r="4683" spans="3:3">
      <c r="C4683" s="1"/>
    </row>
    <row r="4684" spans="3:3">
      <c r="C4684" s="1"/>
    </row>
    <row r="4685" spans="3:3">
      <c r="C4685" s="1"/>
    </row>
    <row r="4686" spans="3:3">
      <c r="C4686" s="1"/>
    </row>
    <row r="4687" spans="3:3">
      <c r="C4687" s="1"/>
    </row>
    <row r="4688" spans="3:3">
      <c r="C4688" s="1"/>
    </row>
    <row r="4689" spans="3:3">
      <c r="C4689" s="1"/>
    </row>
    <row r="4690" spans="3:3">
      <c r="C4690" s="1"/>
    </row>
    <row r="4691" spans="3:3">
      <c r="C4691" s="1"/>
    </row>
    <row r="4692" spans="3:3">
      <c r="C4692" s="1"/>
    </row>
    <row r="4693" spans="3:3">
      <c r="C4693" s="1"/>
    </row>
    <row r="4694" spans="3:3">
      <c r="C4694" s="1"/>
    </row>
    <row r="4695" spans="3:3">
      <c r="C4695" s="1"/>
    </row>
    <row r="4696" spans="3:3">
      <c r="C4696" s="1"/>
    </row>
    <row r="4697" spans="3:3">
      <c r="C4697" s="1"/>
    </row>
    <row r="4698" spans="3:3">
      <c r="C4698" s="1"/>
    </row>
    <row r="4699" spans="3:3">
      <c r="C4699" s="1"/>
    </row>
    <row r="4700" spans="3:3">
      <c r="C4700" s="1"/>
    </row>
    <row r="4701" spans="3:3">
      <c r="C4701" s="1"/>
    </row>
    <row r="4702" spans="3:3">
      <c r="C4702" s="1"/>
    </row>
    <row r="4703" spans="3:3">
      <c r="C4703" s="1"/>
    </row>
    <row r="4704" spans="3:3">
      <c r="C4704" s="1"/>
    </row>
    <row r="4705" spans="3:3">
      <c r="C4705" s="1"/>
    </row>
    <row r="4706" spans="3:3">
      <c r="C4706" s="1"/>
    </row>
    <row r="4707" spans="3:3">
      <c r="C4707" s="1"/>
    </row>
    <row r="4708" spans="3:3">
      <c r="C4708" s="1"/>
    </row>
    <row r="4709" spans="3:3">
      <c r="C4709" s="1"/>
    </row>
    <row r="4710" spans="3:3">
      <c r="C4710" s="1"/>
    </row>
    <row r="4711" spans="3:3">
      <c r="C4711" s="1"/>
    </row>
    <row r="4712" spans="3:3">
      <c r="C4712" s="1"/>
    </row>
    <row r="4713" spans="3:3">
      <c r="C4713" s="1"/>
    </row>
    <row r="4714" spans="3:3">
      <c r="C4714" s="1"/>
    </row>
    <row r="4715" spans="3:3">
      <c r="C4715" s="1"/>
    </row>
    <row r="4716" spans="3:3">
      <c r="C4716" s="1"/>
    </row>
    <row r="4717" spans="3:3">
      <c r="C4717" s="1"/>
    </row>
    <row r="4718" spans="3:3">
      <c r="C4718" s="1"/>
    </row>
    <row r="4719" spans="3:3">
      <c r="C4719" s="1"/>
    </row>
    <row r="4720" spans="3:3">
      <c r="C4720" s="1"/>
    </row>
    <row r="4721" spans="3:3">
      <c r="C4721" s="1"/>
    </row>
    <row r="4722" spans="3:3">
      <c r="C4722" s="1"/>
    </row>
    <row r="4723" spans="3:3">
      <c r="C4723" s="1"/>
    </row>
    <row r="4724" spans="3:3">
      <c r="C4724" s="1"/>
    </row>
    <row r="4725" spans="3:3">
      <c r="C4725" s="1"/>
    </row>
    <row r="4726" spans="3:3">
      <c r="C4726" s="1"/>
    </row>
    <row r="4727" spans="3:3">
      <c r="C4727" s="1"/>
    </row>
    <row r="4728" spans="3:3">
      <c r="C4728" s="1"/>
    </row>
    <row r="4729" spans="3:3">
      <c r="C4729" s="1"/>
    </row>
    <row r="4730" spans="3:3">
      <c r="C4730" s="1"/>
    </row>
    <row r="4731" spans="3:3">
      <c r="C4731" s="1"/>
    </row>
    <row r="4732" spans="3:3">
      <c r="C4732" s="1"/>
    </row>
    <row r="4733" spans="3:3">
      <c r="C4733" s="1"/>
    </row>
    <row r="4734" spans="3:3">
      <c r="C4734" s="1"/>
    </row>
    <row r="4735" spans="3:3">
      <c r="C4735" s="1"/>
    </row>
    <row r="4736" spans="3:3">
      <c r="C4736" s="1"/>
    </row>
    <row r="4737" spans="3:3">
      <c r="C4737" s="1"/>
    </row>
    <row r="4738" spans="3:3">
      <c r="C4738" s="1"/>
    </row>
    <row r="4739" spans="3:3">
      <c r="C4739" s="1"/>
    </row>
    <row r="4740" spans="3:3">
      <c r="C4740" s="1"/>
    </row>
    <row r="4741" spans="3:3">
      <c r="C4741" s="1"/>
    </row>
    <row r="4742" spans="3:3">
      <c r="C4742" s="1"/>
    </row>
    <row r="4743" spans="3:3">
      <c r="C4743" s="1"/>
    </row>
    <row r="4744" spans="3:3">
      <c r="C4744" s="1"/>
    </row>
    <row r="4745" spans="3:3">
      <c r="C4745" s="1"/>
    </row>
    <row r="4746" spans="3:3">
      <c r="C4746" s="1"/>
    </row>
    <row r="4747" spans="3:3">
      <c r="C4747" s="1"/>
    </row>
    <row r="4748" spans="3:3">
      <c r="C4748" s="1"/>
    </row>
    <row r="4749" spans="3:3">
      <c r="C4749" s="1"/>
    </row>
    <row r="4750" spans="3:3">
      <c r="C4750" s="1"/>
    </row>
    <row r="4751" spans="3:3">
      <c r="C4751" s="1"/>
    </row>
    <row r="4752" spans="3:3">
      <c r="C4752" s="1"/>
    </row>
    <row r="4753" spans="3:3">
      <c r="C4753" s="1"/>
    </row>
    <row r="4754" spans="3:3">
      <c r="C4754" s="1"/>
    </row>
    <row r="4755" spans="3:3">
      <c r="C4755" s="1"/>
    </row>
    <row r="4756" spans="3:3">
      <c r="C4756" s="1"/>
    </row>
    <row r="4757" spans="3:3">
      <c r="C4757" s="1"/>
    </row>
    <row r="4758" spans="3:3">
      <c r="C4758" s="1"/>
    </row>
    <row r="4759" spans="3:3">
      <c r="C4759" s="1"/>
    </row>
    <row r="4760" spans="3:3">
      <c r="C4760" s="1"/>
    </row>
    <row r="4761" spans="3:3">
      <c r="C4761" s="1"/>
    </row>
    <row r="4762" spans="3:3">
      <c r="C4762" s="1"/>
    </row>
    <row r="4763" spans="3:3">
      <c r="C4763" s="1"/>
    </row>
    <row r="4764" spans="3:3">
      <c r="C4764" s="1"/>
    </row>
    <row r="4765" spans="3:3">
      <c r="C4765" s="1"/>
    </row>
    <row r="4766" spans="3:3">
      <c r="C4766" s="1"/>
    </row>
    <row r="4767" spans="3:3">
      <c r="C4767" s="1"/>
    </row>
    <row r="4768" spans="3:3">
      <c r="C4768" s="1"/>
    </row>
    <row r="4769" spans="3:3">
      <c r="C4769" s="1"/>
    </row>
    <row r="4770" spans="3:3">
      <c r="C4770" s="1"/>
    </row>
    <row r="4771" spans="3:3">
      <c r="C4771" s="1"/>
    </row>
    <row r="4772" spans="3:3">
      <c r="C4772" s="1"/>
    </row>
    <row r="4773" spans="3:3">
      <c r="C4773" s="1"/>
    </row>
    <row r="4774" spans="3:3">
      <c r="C4774" s="1"/>
    </row>
    <row r="4775" spans="3:3">
      <c r="C4775" s="1"/>
    </row>
    <row r="4776" spans="3:3">
      <c r="C4776" s="1"/>
    </row>
    <row r="4777" spans="3:3">
      <c r="C4777" s="1"/>
    </row>
    <row r="4778" spans="3:3">
      <c r="C4778" s="1"/>
    </row>
    <row r="4779" spans="3:3">
      <c r="C4779" s="1"/>
    </row>
    <row r="4780" spans="3:3">
      <c r="C4780" s="1"/>
    </row>
    <row r="4781" spans="3:3">
      <c r="C4781" s="1"/>
    </row>
    <row r="4782" spans="3:3">
      <c r="C4782" s="1"/>
    </row>
    <row r="4783" spans="3:3">
      <c r="C4783" s="1"/>
    </row>
    <row r="4784" spans="3:3">
      <c r="C4784" s="1"/>
    </row>
    <row r="4785" spans="3:3">
      <c r="C4785" s="1"/>
    </row>
    <row r="4786" spans="3:3">
      <c r="C4786" s="1"/>
    </row>
    <row r="4787" spans="3:3">
      <c r="C4787" s="1"/>
    </row>
    <row r="4788" spans="3:3">
      <c r="C4788" s="1"/>
    </row>
    <row r="4789" spans="3:3">
      <c r="C4789" s="1"/>
    </row>
    <row r="4790" spans="3:3">
      <c r="C4790" s="1"/>
    </row>
    <row r="4791" spans="3:3">
      <c r="C4791" s="1"/>
    </row>
    <row r="4792" spans="3:3">
      <c r="C4792" s="1"/>
    </row>
    <row r="4793" spans="3:3">
      <c r="C4793" s="1"/>
    </row>
    <row r="4794" spans="3:3">
      <c r="C4794" s="1"/>
    </row>
    <row r="4795" spans="3:3">
      <c r="C4795" s="1"/>
    </row>
    <row r="4796" spans="3:3">
      <c r="C4796" s="1"/>
    </row>
    <row r="4797" spans="3:3">
      <c r="C4797" s="1"/>
    </row>
    <row r="4798" spans="3:3">
      <c r="C4798" s="1"/>
    </row>
    <row r="4799" spans="3:3">
      <c r="C4799" s="1"/>
    </row>
    <row r="4800" spans="3:3">
      <c r="C4800" s="1"/>
    </row>
    <row r="4801" spans="3:3">
      <c r="C4801" s="1"/>
    </row>
    <row r="4802" spans="3:3">
      <c r="C4802" s="1"/>
    </row>
    <row r="4803" spans="3:3">
      <c r="C4803" s="1"/>
    </row>
    <row r="4804" spans="3:3">
      <c r="C4804" s="1"/>
    </row>
    <row r="4805" spans="3:3">
      <c r="C4805" s="1"/>
    </row>
    <row r="4806" spans="3:3">
      <c r="C4806" s="1"/>
    </row>
    <row r="4807" spans="3:3">
      <c r="C4807" s="1"/>
    </row>
    <row r="4808" spans="3:3">
      <c r="C4808" s="1"/>
    </row>
    <row r="4809" spans="3:3">
      <c r="C4809" s="1"/>
    </row>
    <row r="4810" spans="3:3">
      <c r="C4810" s="1"/>
    </row>
    <row r="4811" spans="3:3">
      <c r="C4811" s="1"/>
    </row>
    <row r="4812" spans="3:3">
      <c r="C4812" s="1"/>
    </row>
    <row r="4813" spans="3:3">
      <c r="C4813" s="1"/>
    </row>
    <row r="4814" spans="3:3">
      <c r="C4814" s="1"/>
    </row>
    <row r="4815" spans="3:3">
      <c r="C4815" s="1"/>
    </row>
    <row r="4816" spans="3:3">
      <c r="C4816" s="1"/>
    </row>
    <row r="4817" spans="3:3">
      <c r="C4817" s="1"/>
    </row>
    <row r="4818" spans="3:3">
      <c r="C4818" s="1"/>
    </row>
    <row r="4819" spans="3:3">
      <c r="C4819" s="1"/>
    </row>
    <row r="4820" spans="3:3">
      <c r="C4820" s="1"/>
    </row>
    <row r="4821" spans="3:3">
      <c r="C4821" s="1"/>
    </row>
    <row r="4822" spans="3:3">
      <c r="C4822" s="1"/>
    </row>
    <row r="4823" spans="3:3">
      <c r="C4823" s="1"/>
    </row>
    <row r="4824" spans="3:3">
      <c r="C4824" s="1"/>
    </row>
    <row r="4825" spans="3:3">
      <c r="C4825" s="1"/>
    </row>
    <row r="4826" spans="3:3">
      <c r="C4826" s="1"/>
    </row>
    <row r="4827" spans="3:3">
      <c r="C4827" s="1"/>
    </row>
    <row r="4828" spans="3:3">
      <c r="C4828" s="1"/>
    </row>
    <row r="4829" spans="3:3">
      <c r="C4829" s="1"/>
    </row>
    <row r="4830" spans="3:3">
      <c r="C4830" s="1"/>
    </row>
    <row r="4831" spans="3:3">
      <c r="C4831" s="1"/>
    </row>
    <row r="4832" spans="3:3">
      <c r="C4832" s="1"/>
    </row>
    <row r="4833" spans="3:3">
      <c r="C4833" s="1"/>
    </row>
    <row r="4834" spans="3:3">
      <c r="C4834" s="1"/>
    </row>
    <row r="4835" spans="3:3">
      <c r="C4835" s="1"/>
    </row>
    <row r="4836" spans="3:3">
      <c r="C4836" s="1"/>
    </row>
    <row r="4837" spans="3:3">
      <c r="C4837" s="1"/>
    </row>
    <row r="4838" spans="3:3">
      <c r="C4838" s="1"/>
    </row>
    <row r="4839" spans="3:3">
      <c r="C4839" s="1"/>
    </row>
    <row r="4840" spans="3:3">
      <c r="C4840" s="1"/>
    </row>
    <row r="4841" spans="3:3">
      <c r="C4841" s="1"/>
    </row>
    <row r="4842" spans="3:3">
      <c r="C4842" s="1"/>
    </row>
    <row r="4843" spans="3:3">
      <c r="C4843" s="1"/>
    </row>
    <row r="4844" spans="3:3">
      <c r="C4844" s="1"/>
    </row>
    <row r="4845" spans="3:3">
      <c r="C4845" s="1"/>
    </row>
    <row r="4846" spans="3:3">
      <c r="C4846" s="1"/>
    </row>
    <row r="4847" spans="3:3">
      <c r="C4847" s="1"/>
    </row>
    <row r="4848" spans="3:3">
      <c r="C4848" s="1"/>
    </row>
    <row r="4849" spans="3:3">
      <c r="C4849" s="1"/>
    </row>
    <row r="4850" spans="3:3">
      <c r="C4850" s="1"/>
    </row>
    <row r="4851" spans="3:3">
      <c r="C4851" s="1"/>
    </row>
    <row r="4852" spans="3:3">
      <c r="C4852" s="1"/>
    </row>
    <row r="4853" spans="3:3">
      <c r="C4853" s="1"/>
    </row>
    <row r="4854" spans="3:3">
      <c r="C4854" s="1"/>
    </row>
    <row r="4855" spans="3:3">
      <c r="C4855" s="1"/>
    </row>
    <row r="4856" spans="3:3">
      <c r="C4856" s="1"/>
    </row>
    <row r="4857" spans="3:3">
      <c r="C4857" s="1"/>
    </row>
    <row r="4858" spans="3:3">
      <c r="C4858" s="1"/>
    </row>
    <row r="4859" spans="3:3">
      <c r="C4859" s="1"/>
    </row>
    <row r="4860" spans="3:3">
      <c r="C4860" s="1"/>
    </row>
    <row r="4861" spans="3:3">
      <c r="C4861" s="1"/>
    </row>
    <row r="4862" spans="3:3">
      <c r="C4862" s="1"/>
    </row>
    <row r="4863" spans="3:3">
      <c r="C4863" s="1"/>
    </row>
    <row r="4864" spans="3:3">
      <c r="C4864" s="1"/>
    </row>
    <row r="4865" spans="3:3">
      <c r="C4865" s="1"/>
    </row>
    <row r="4866" spans="3:3">
      <c r="C4866" s="1"/>
    </row>
    <row r="4867" spans="3:3">
      <c r="C4867" s="1"/>
    </row>
    <row r="4868" spans="3:3">
      <c r="C4868" s="1"/>
    </row>
    <row r="4869" spans="3:3">
      <c r="C4869" s="1"/>
    </row>
    <row r="4870" spans="3:3">
      <c r="C4870" s="1"/>
    </row>
    <row r="4871" spans="3:3">
      <c r="C4871" s="1"/>
    </row>
    <row r="4872" spans="3:3">
      <c r="C4872" s="1"/>
    </row>
    <row r="4873" spans="3:3">
      <c r="C4873" s="1"/>
    </row>
    <row r="4874" spans="3:3">
      <c r="C4874" s="1"/>
    </row>
    <row r="4875" spans="3:3">
      <c r="C4875" s="1"/>
    </row>
    <row r="4876" spans="3:3">
      <c r="C4876" s="1"/>
    </row>
    <row r="4877" spans="3:3">
      <c r="C4877" s="1"/>
    </row>
    <row r="4878" spans="3:3">
      <c r="C4878" s="1"/>
    </row>
    <row r="4879" spans="3:3">
      <c r="C4879" s="1"/>
    </row>
    <row r="4880" spans="3:3">
      <c r="C4880" s="1"/>
    </row>
    <row r="4881" spans="3:3">
      <c r="C4881" s="1"/>
    </row>
    <row r="4882" spans="3:3">
      <c r="C4882" s="1"/>
    </row>
    <row r="4883" spans="3:3">
      <c r="C4883" s="1"/>
    </row>
    <row r="4884" spans="3:3">
      <c r="C4884" s="1"/>
    </row>
    <row r="4885" spans="3:3">
      <c r="C4885" s="1"/>
    </row>
    <row r="4886" spans="3:3">
      <c r="C4886" s="1"/>
    </row>
    <row r="4887" spans="3:3">
      <c r="C4887" s="1"/>
    </row>
    <row r="4888" spans="3:3">
      <c r="C4888" s="1"/>
    </row>
    <row r="4889" spans="3:3">
      <c r="C4889" s="1"/>
    </row>
    <row r="4890" spans="3:3">
      <c r="C4890" s="1"/>
    </row>
    <row r="4891" spans="3:3">
      <c r="C4891" s="1"/>
    </row>
    <row r="4892" spans="3:3">
      <c r="C4892" s="1"/>
    </row>
    <row r="4893" spans="3:3">
      <c r="C4893" s="1"/>
    </row>
    <row r="4894" spans="3:3">
      <c r="C4894" s="1"/>
    </row>
    <row r="4895" spans="3:3">
      <c r="C4895" s="1"/>
    </row>
    <row r="4896" spans="3:3">
      <c r="C4896" s="1"/>
    </row>
    <row r="4897" spans="3:3">
      <c r="C4897" s="1"/>
    </row>
    <row r="4898" spans="3:3">
      <c r="C4898" s="1"/>
    </row>
    <row r="4899" spans="3:3">
      <c r="C4899" s="1"/>
    </row>
    <row r="4900" spans="3:3">
      <c r="C4900" s="1"/>
    </row>
    <row r="4901" spans="3:3">
      <c r="C4901" s="1"/>
    </row>
    <row r="4902" spans="3:3">
      <c r="C4902" s="1"/>
    </row>
    <row r="4903" spans="3:3">
      <c r="C4903" s="1"/>
    </row>
    <row r="4904" spans="3:3">
      <c r="C4904" s="1"/>
    </row>
    <row r="4905" spans="3:3">
      <c r="C4905" s="1"/>
    </row>
    <row r="4906" spans="3:3">
      <c r="C4906" s="1"/>
    </row>
    <row r="4907" spans="3:3">
      <c r="C4907" s="1"/>
    </row>
    <row r="4908" spans="3:3">
      <c r="C4908" s="1"/>
    </row>
    <row r="4909" spans="3:3">
      <c r="C4909" s="1"/>
    </row>
    <row r="4910" spans="3:3">
      <c r="C4910" s="1"/>
    </row>
    <row r="4911" spans="3:3">
      <c r="C4911" s="1"/>
    </row>
    <row r="4912" spans="3:3">
      <c r="C4912" s="1"/>
    </row>
    <row r="4913" spans="3:3">
      <c r="C4913" s="1"/>
    </row>
    <row r="4914" spans="3:3">
      <c r="C4914" s="1"/>
    </row>
    <row r="4915" spans="3:3">
      <c r="C4915" s="1"/>
    </row>
    <row r="4916" spans="3:3">
      <c r="C4916" s="1"/>
    </row>
    <row r="4917" spans="3:3">
      <c r="C4917" s="1"/>
    </row>
    <row r="4918" spans="3:3">
      <c r="C4918" s="1"/>
    </row>
    <row r="4919" spans="3:3">
      <c r="C4919" s="1"/>
    </row>
    <row r="4920" spans="3:3">
      <c r="C4920" s="1"/>
    </row>
    <row r="4921" spans="3:3">
      <c r="C4921" s="1"/>
    </row>
    <row r="4922" spans="3:3">
      <c r="C4922" s="1"/>
    </row>
    <row r="4923" spans="3:3">
      <c r="C4923" s="1"/>
    </row>
    <row r="4924" spans="3:3">
      <c r="C4924" s="1"/>
    </row>
    <row r="4925" spans="3:3">
      <c r="C4925" s="1"/>
    </row>
    <row r="4926" spans="3:3">
      <c r="C4926" s="1"/>
    </row>
    <row r="4927" spans="3:3">
      <c r="C4927" s="1"/>
    </row>
    <row r="4928" spans="3:3">
      <c r="C4928" s="1"/>
    </row>
    <row r="4929" spans="3:3">
      <c r="C4929" s="1"/>
    </row>
    <row r="4930" spans="3:3">
      <c r="C4930" s="1"/>
    </row>
    <row r="4931" spans="3:3">
      <c r="C4931" s="1"/>
    </row>
    <row r="4932" spans="3:3">
      <c r="C4932" s="1"/>
    </row>
    <row r="4933" spans="3:3">
      <c r="C4933" s="1"/>
    </row>
    <row r="4934" spans="3:3">
      <c r="C4934" s="1"/>
    </row>
    <row r="4935" spans="3:3">
      <c r="C4935" s="1"/>
    </row>
    <row r="4936" spans="3:3">
      <c r="C4936" s="1"/>
    </row>
    <row r="4937" spans="3:3">
      <c r="C4937" s="1"/>
    </row>
    <row r="4938" spans="3:3">
      <c r="C4938" s="1"/>
    </row>
    <row r="4939" spans="3:3">
      <c r="C4939" s="1"/>
    </row>
    <row r="4940" spans="3:3">
      <c r="C4940" s="1"/>
    </row>
    <row r="4941" spans="3:3">
      <c r="C4941" s="1"/>
    </row>
    <row r="4942" spans="3:3">
      <c r="C4942" s="1"/>
    </row>
    <row r="4943" spans="3:3">
      <c r="C4943" s="1"/>
    </row>
    <row r="4944" spans="3:3">
      <c r="C4944" s="1"/>
    </row>
    <row r="4945" spans="3:3">
      <c r="C4945" s="1"/>
    </row>
    <row r="4946" spans="3:3">
      <c r="C4946" s="1"/>
    </row>
    <row r="4947" spans="3:3">
      <c r="C4947" s="1"/>
    </row>
    <row r="4948" spans="3:3">
      <c r="C4948" s="1"/>
    </row>
    <row r="4949" spans="3:3">
      <c r="C4949" s="1"/>
    </row>
    <row r="4950" spans="3:3">
      <c r="C4950" s="1"/>
    </row>
    <row r="4951" spans="3:3">
      <c r="C4951" s="1"/>
    </row>
    <row r="4952" spans="3:3">
      <c r="C4952" s="1"/>
    </row>
    <row r="4953" spans="3:3">
      <c r="C4953" s="1"/>
    </row>
    <row r="4954" spans="3:3">
      <c r="C4954" s="1"/>
    </row>
    <row r="4955" spans="3:3">
      <c r="C4955" s="1"/>
    </row>
    <row r="4956" spans="3:3">
      <c r="C4956" s="1"/>
    </row>
    <row r="4957" spans="3:3">
      <c r="C4957" s="1"/>
    </row>
    <row r="4958" spans="3:3">
      <c r="C4958" s="1"/>
    </row>
    <row r="4959" spans="3:3">
      <c r="C4959" s="1"/>
    </row>
    <row r="4960" spans="3:3">
      <c r="C4960" s="1"/>
    </row>
    <row r="4961" spans="3:3">
      <c r="C4961" s="1"/>
    </row>
    <row r="4962" spans="3:3">
      <c r="C4962" s="1"/>
    </row>
    <row r="4963" spans="3:3">
      <c r="C4963" s="1"/>
    </row>
    <row r="4964" spans="3:3">
      <c r="C4964" s="1"/>
    </row>
    <row r="4965" spans="3:3">
      <c r="C4965" s="1"/>
    </row>
    <row r="4966" spans="3:3">
      <c r="C4966" s="1"/>
    </row>
    <row r="4967" spans="3:3">
      <c r="C4967" s="1"/>
    </row>
    <row r="4968" spans="3:3">
      <c r="C4968" s="1"/>
    </row>
    <row r="4969" spans="3:3">
      <c r="C4969" s="1"/>
    </row>
    <row r="4970" spans="3:3">
      <c r="C4970" s="1"/>
    </row>
    <row r="4971" spans="3:3">
      <c r="C4971" s="1"/>
    </row>
    <row r="4972" spans="3:3">
      <c r="C4972" s="1"/>
    </row>
    <row r="4973" spans="3:3">
      <c r="C4973" s="1"/>
    </row>
    <row r="4974" spans="3:3">
      <c r="C4974" s="1"/>
    </row>
    <row r="4975" spans="3:3">
      <c r="C4975" s="1"/>
    </row>
    <row r="4976" spans="3:3">
      <c r="C4976" s="1"/>
    </row>
    <row r="4977" spans="3:3">
      <c r="C4977" s="1"/>
    </row>
    <row r="4978" spans="3:3">
      <c r="C4978" s="1"/>
    </row>
    <row r="4979" spans="3:3">
      <c r="C4979" s="1"/>
    </row>
    <row r="4980" spans="3:3">
      <c r="C4980" s="1"/>
    </row>
    <row r="4981" spans="3:3">
      <c r="C4981" s="1"/>
    </row>
    <row r="4982" spans="3:3">
      <c r="C4982" s="1"/>
    </row>
    <row r="4983" spans="3:3">
      <c r="C4983" s="1"/>
    </row>
    <row r="4984" spans="3:3">
      <c r="C4984" s="1"/>
    </row>
    <row r="4985" spans="3:3">
      <c r="C4985" s="1"/>
    </row>
    <row r="4986" spans="3:3">
      <c r="C4986" s="1"/>
    </row>
    <row r="4987" spans="3:3">
      <c r="C4987" s="1"/>
    </row>
    <row r="4988" spans="3:3">
      <c r="C4988" s="1"/>
    </row>
    <row r="4989" spans="3:3">
      <c r="C4989" s="1"/>
    </row>
    <row r="4990" spans="3:3">
      <c r="C4990" s="1"/>
    </row>
    <row r="4991" spans="3:3">
      <c r="C4991" s="1"/>
    </row>
    <row r="4992" spans="3:3">
      <c r="C4992" s="1"/>
    </row>
    <row r="4993" spans="3:3">
      <c r="C4993" s="1"/>
    </row>
    <row r="4994" spans="3:3">
      <c r="C4994" s="1"/>
    </row>
    <row r="4995" spans="3:3">
      <c r="C4995" s="1"/>
    </row>
    <row r="4996" spans="3:3">
      <c r="C4996" s="1"/>
    </row>
    <row r="4997" spans="3:3">
      <c r="C4997" s="1"/>
    </row>
    <row r="4998" spans="3:3">
      <c r="C4998" s="1"/>
    </row>
    <row r="4999" spans="3:3">
      <c r="C4999" s="1"/>
    </row>
    <row r="5000" spans="3:3">
      <c r="C5000" s="1"/>
    </row>
    <row r="5001" spans="3:3">
      <c r="C5001" s="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5AB5-F126-4D1F-A92F-970EA2A35DA4}">
  <dimension ref="A1:B4"/>
  <sheetViews>
    <sheetView workbookViewId="0">
      <selection activeCell="A3" sqref="A3"/>
    </sheetView>
  </sheetViews>
  <sheetFormatPr defaultRowHeight="14.5"/>
  <cols>
    <col min="1" max="1" width="9.36328125" style="13" bestFit="1" customWidth="1"/>
    <col min="2" max="2" width="14" bestFit="1" customWidth="1"/>
    <col min="3" max="3" width="33.1796875" bestFit="1" customWidth="1"/>
    <col min="4" max="4" width="19.36328125" bestFit="1" customWidth="1"/>
  </cols>
  <sheetData>
    <row r="1" spans="1:2">
      <c r="A1" s="13">
        <f>SUM(Data!M:M)</f>
        <v>560385.67999999982</v>
      </c>
      <c r="B1" s="3" t="s">
        <v>1194</v>
      </c>
    </row>
    <row r="2" spans="1:2">
      <c r="A2" s="14">
        <f>AVERAGE(Data!T:T)</f>
        <v>3.9168141592920356</v>
      </c>
      <c r="B2" s="3" t="s">
        <v>1195</v>
      </c>
    </row>
    <row r="3" spans="1:2">
      <c r="A3" s="13">
        <f>COUNTA(Data!A:A)</f>
        <v>566</v>
      </c>
      <c r="B3" s="3" t="s">
        <v>1196</v>
      </c>
    </row>
    <row r="4" spans="1:2">
      <c r="A4" s="15">
        <f>AVERAGE(Table1[Session_Duration_Minutes])</f>
        <v>14.753982300884955</v>
      </c>
      <c r="B4" s="3" t="s">
        <v>1197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Data</vt:lpstr>
      <vt:lpstr>Analysis</vt:lpstr>
      <vt:lpstr>Raw Data</vt:lpstr>
      <vt:lpstr>Calculation</vt:lpstr>
      <vt:lpstr>Customer_behavior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 K</cp:lastModifiedBy>
  <dcterms:created xsi:type="dcterms:W3CDTF">2026-05-05T06:29:12Z</dcterms:created>
  <dcterms:modified xsi:type="dcterms:W3CDTF">2026-05-05T12:08:39Z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DD1127FA50CD44178BBF5EA71853CFF3_13</vt:lpwstr>
  </property>
  <property fmtid="{D5CDD505-2E9C-101B-9397-08002B2CF9AE}" pid="3" name="KSOProductBuildVer">
    <vt:lpwstr>1033-12.2.0.23196</vt:lpwstr>
  </property>
</Properties>
</file>